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G:\Krish\01_Excel\Task\"/>
    </mc:Choice>
  </mc:AlternateContent>
  <xr:revisionPtr revIDLastSave="0" documentId="13_ncr:1_{09CB5221-9127-45BB-8CA1-35893A08E0D0}" xr6:coauthVersionLast="47" xr6:coauthVersionMax="47" xr10:uidLastSave="{00000000-0000-0000-0000-000000000000}"/>
  <bookViews>
    <workbookView xWindow="-120" yWindow="-120" windowWidth="24240" windowHeight="13140" firstSheet="1" activeTab="5" xr2:uid="{00000000-000D-0000-FFFF-FFFF00000000}"/>
  </bookViews>
  <sheets>
    <sheet name="👋 START HERE" sheetId="1" r:id="rId1"/>
    <sheet name="🗃️ RAW_DATA" sheetId="2" r:id="rId2"/>
    <sheet name="🎯 CONFUSION_MATRIX" sheetId="3" r:id="rId3"/>
    <sheet name="📋 TASK_GUIDE" sheetId="4" r:id="rId4"/>
    <sheet name="📖 ML_FORMULA_REF" sheetId="5" r:id="rId5"/>
    <sheet name="✔️ CHECKLIS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3" i="6" l="1"/>
  <c r="C11" i="6" s="1"/>
  <c r="D18" i="1"/>
  <c r="B24" i="5" a="1"/>
  <c r="B24" i="5" s="1"/>
  <c r="B13" i="5" a="1"/>
  <c r="B13" i="5" s="1"/>
  <c r="Y14" i="2"/>
  <c r="Y16" i="2" s="1"/>
  <c r="B41" i="3"/>
  <c r="B40" i="3"/>
  <c r="B39" i="3"/>
  <c r="B38" i="3"/>
  <c r="B37" i="3"/>
  <c r="B21" i="5"/>
  <c r="B36" i="3"/>
  <c r="B35" i="3"/>
  <c r="B34" i="3"/>
  <c r="B33" i="3"/>
  <c r="G6" i="3"/>
  <c r="G7" i="3"/>
  <c r="G8" i="3"/>
  <c r="G9" i="3"/>
  <c r="G10" i="3"/>
  <c r="G11" i="3"/>
  <c r="G12" i="3"/>
  <c r="G13" i="3"/>
  <c r="G14" i="3"/>
  <c r="G15" i="3"/>
  <c r="G16" i="3"/>
  <c r="G17" i="3"/>
  <c r="G18" i="3"/>
  <c r="G19" i="3"/>
  <c r="G20" i="3"/>
  <c r="G21" i="3"/>
  <c r="G22" i="3"/>
  <c r="G23" i="3"/>
  <c r="G24" i="3"/>
  <c r="G5" i="3"/>
  <c r="F6" i="3"/>
  <c r="F7" i="3"/>
  <c r="F8" i="3"/>
  <c r="F9" i="3"/>
  <c r="F10" i="3"/>
  <c r="F11" i="3"/>
  <c r="F12" i="3"/>
  <c r="F13" i="3"/>
  <c r="F14" i="3"/>
  <c r="F15" i="3"/>
  <c r="F16" i="3"/>
  <c r="F17" i="3"/>
  <c r="F18" i="3"/>
  <c r="F19" i="3"/>
  <c r="F20" i="3"/>
  <c r="F21" i="3"/>
  <c r="F22" i="3"/>
  <c r="F23" i="3"/>
  <c r="F24" i="3"/>
  <c r="F5" i="3"/>
  <c r="E6" i="3"/>
  <c r="E7" i="3"/>
  <c r="E8" i="3"/>
  <c r="E9" i="3"/>
  <c r="E10" i="3"/>
  <c r="E11" i="3"/>
  <c r="E12" i="3"/>
  <c r="E13" i="3"/>
  <c r="E14" i="3"/>
  <c r="E15" i="3"/>
  <c r="E16" i="3"/>
  <c r="E17" i="3"/>
  <c r="E18" i="3"/>
  <c r="E19" i="3"/>
  <c r="E20" i="3"/>
  <c r="E21" i="3"/>
  <c r="E22" i="3"/>
  <c r="E23" i="3"/>
  <c r="E24" i="3"/>
  <c r="E5" i="3"/>
  <c r="D6" i="3"/>
  <c r="D7" i="3"/>
  <c r="D8" i="3"/>
  <c r="D9" i="3"/>
  <c r="D10" i="3"/>
  <c r="D11" i="3"/>
  <c r="D12" i="3"/>
  <c r="D13" i="3"/>
  <c r="D14" i="3"/>
  <c r="D15" i="3"/>
  <c r="D16" i="3"/>
  <c r="D17" i="3"/>
  <c r="D18" i="3"/>
  <c r="D19" i="3"/>
  <c r="D20" i="3"/>
  <c r="D21" i="3"/>
  <c r="D22" i="3"/>
  <c r="D23" i="3"/>
  <c r="D24" i="3"/>
  <c r="D5" i="3"/>
  <c r="X38" i="2"/>
  <c r="X37" i="2"/>
  <c r="X36" i="2"/>
  <c r="X35" i="2"/>
  <c r="X21" i="2"/>
  <c r="Z16" i="2"/>
  <c r="Z15" i="2"/>
  <c r="Z14" i="2"/>
  <c r="Z13" i="2"/>
  <c r="Z12" i="2"/>
  <c r="Z11" i="2"/>
  <c r="Z10" i="2"/>
  <c r="Z9" i="2"/>
  <c r="Z8" i="2"/>
  <c r="Z7" i="2"/>
  <c r="Z6" i="2"/>
  <c r="W16" i="2"/>
  <c r="X16" i="2"/>
  <c r="Y15" i="2"/>
  <c r="Y13" i="2"/>
  <c r="Y12" i="2"/>
  <c r="Y11" i="2"/>
  <c r="Y10" i="2"/>
  <c r="Y9" i="2"/>
  <c r="Y8" i="2"/>
  <c r="Y7" i="2"/>
  <c r="X7" i="2"/>
  <c r="Y6" i="2"/>
  <c r="X6" i="2"/>
  <c r="X34" i="2"/>
  <c r="X33" i="2"/>
  <c r="X32" i="2"/>
  <c r="B88" i="4"/>
  <c r="B89" i="4"/>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7" i="2"/>
  <c r="T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6" i="2"/>
  <c r="D51" i="2"/>
  <c r="L47" i="2"/>
  <c r="L46" i="2"/>
  <c r="Y25" i="2"/>
  <c r="Y23" i="2"/>
  <c r="Y22" i="2"/>
  <c r="Y21" i="2"/>
  <c r="X25" i="2"/>
  <c r="X24" i="2"/>
  <c r="X22" i="2"/>
  <c r="W25" i="2"/>
  <c r="W24" i="2"/>
  <c r="W23" i="2"/>
  <c r="W21" i="2"/>
  <c r="V25" i="2"/>
  <c r="V24" i="2"/>
  <c r="V23" i="2"/>
  <c r="V22" i="2"/>
  <c r="B65" i="4"/>
  <c r="Z24" i="2"/>
  <c r="Z23" i="2"/>
  <c r="Z22" i="2"/>
  <c r="Z21" i="2"/>
  <c r="X15" i="2"/>
  <c r="X14" i="2"/>
  <c r="W14" i="2"/>
  <c r="X13" i="2"/>
  <c r="X12" i="2"/>
  <c r="X9" i="2"/>
  <c r="W9" i="2"/>
  <c r="X8" i="2"/>
  <c r="X11" i="2"/>
  <c r="X10" i="2"/>
  <c r="W8" i="2"/>
  <c r="B57" i="4"/>
  <c r="W15" i="2"/>
  <c r="B55" i="4"/>
  <c r="W13" i="2"/>
  <c r="B54" i="4"/>
  <c r="W12" i="2"/>
  <c r="B53" i="4"/>
  <c r="W11" i="2"/>
  <c r="W10" i="2"/>
  <c r="B51" i="4"/>
  <c r="W6" i="2"/>
  <c r="W7"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6" i="2"/>
  <c r="A53" i="2"/>
  <c r="A51" i="2"/>
  <c r="B5" i="4"/>
  <c r="C8" i="6"/>
  <c r="B23" i="5"/>
  <c r="B22" i="5"/>
  <c r="B20" i="5"/>
  <c r="B18" i="5"/>
  <c r="B17" i="5"/>
  <c r="B16" i="5"/>
  <c r="B15" i="5"/>
  <c r="B14" i="5"/>
  <c r="B12" i="5"/>
  <c r="B11" i="5"/>
  <c r="B10" i="5"/>
  <c r="B9" i="5"/>
  <c r="B8" i="5"/>
  <c r="B7" i="5"/>
  <c r="B6" i="5"/>
  <c r="B5" i="5"/>
  <c r="B4" i="5"/>
  <c r="B124" i="4"/>
  <c r="B123" i="4"/>
  <c r="B122" i="4"/>
  <c r="B121" i="4"/>
  <c r="B109" i="4"/>
  <c r="B108" i="4"/>
  <c r="B107" i="4"/>
  <c r="B106" i="4"/>
  <c r="B105" i="4"/>
  <c r="B104" i="4"/>
  <c r="B103" i="4"/>
  <c r="B93" i="4"/>
  <c r="B92" i="4"/>
  <c r="B91" i="4"/>
  <c r="B90" i="4"/>
  <c r="B78" i="4"/>
  <c r="B77" i="4"/>
  <c r="B76" i="4"/>
  <c r="B75" i="4"/>
  <c r="B74" i="4"/>
  <c r="B56" i="4"/>
  <c r="B52" i="4"/>
  <c r="B41" i="4"/>
  <c r="B30" i="4"/>
  <c r="B21" i="4"/>
  <c r="B20" i="4"/>
  <c r="B19" i="4"/>
  <c r="B18" i="4"/>
  <c r="B17" i="4"/>
  <c r="B8" i="4"/>
  <c r="B7" i="4"/>
  <c r="B6" i="4"/>
  <c r="H24" i="3"/>
  <c r="H23" i="3"/>
  <c r="H22" i="3"/>
  <c r="H21" i="3"/>
  <c r="H20" i="3"/>
  <c r="H19" i="3"/>
  <c r="H18" i="3"/>
  <c r="H17" i="3"/>
  <c r="H16" i="3"/>
  <c r="H15" i="3"/>
  <c r="H14" i="3"/>
  <c r="H13" i="3"/>
  <c r="H12" i="3"/>
  <c r="H11" i="3"/>
  <c r="H10" i="3"/>
  <c r="H9" i="3"/>
  <c r="H8" i="3"/>
  <c r="H7" i="3"/>
  <c r="H6" i="3"/>
  <c r="H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<sst xmlns="http://schemas.openxmlformats.org/spreadsheetml/2006/main" count="766" uniqueCount="481">
  <si>
    <t>🤖  Excel Formula Bar — AI &amp; ML Student Task</t>
  </si>
  <si>
    <t>Feature Engineering • Statistics • Normalisation • Correlation — All in the Formula Bar</t>
  </si>
  <si>
    <t>🎯  YOUR SCENARIO</t>
  </si>
  <si>
    <t>You are a junior data scientist at an EdTech startup. Your manager has given you a raw dataset of 40 students with study habits and exam results. Before you can build any ML model, you must use Excel's formula bar to: clean the data, engineer new features, calculate statistics, normalise values, measure correlation, and build a confusion matrix. This is real ML data preparation work — no Python yet!</t>
  </si>
  <si>
    <t>🔬  YOUR 10 ML FORMULA CHALLENGES</t>
  </si>
  <si>
    <t>TASK 1</t>
  </si>
  <si>
    <t>Data Quality Check</t>
  </si>
  <si>
    <t>Find missing values and wrong data types — first step in any ML pipeline</t>
  </si>
  <si>
    <t>TASK 2</t>
  </si>
  <si>
    <t>Feature Engineering</t>
  </si>
  <si>
    <t>Create new features: FamilySize, IsAlone, AgeGroup, EffortScore</t>
  </si>
  <si>
    <t>TASK 3</t>
  </si>
  <si>
    <t>Z-Score Normalisation</t>
  </si>
  <si>
    <t>Scale StudyHours to Z-score — required for SVM, KNN, Neural Networks</t>
  </si>
  <si>
    <t>TASK 4</t>
  </si>
  <si>
    <t>Min-Max Normalisation</t>
  </si>
  <si>
    <t>Normalise TestScore to [0,1] — required for Neural Networks</t>
  </si>
  <si>
    <t>TASK 5</t>
  </si>
  <si>
    <t>Descriptive Statistics</t>
  </si>
  <si>
    <t>Full statistical profile of every feature — EDA step</t>
  </si>
  <si>
    <t>TASK 6</t>
  </si>
  <si>
    <t>Pearson Correlation</t>
  </si>
  <si>
    <t>Build correlation matrix between all numeric features</t>
  </si>
  <si>
    <t>TASK 7</t>
  </si>
  <si>
    <t>COUNTIF Class Distribution</t>
  </si>
  <si>
    <t>Measure class imbalance — critical ML step before training</t>
  </si>
  <si>
    <t>TASK 8</t>
  </si>
  <si>
    <t>Outlier Detection (IQR)</t>
  </si>
  <si>
    <t>Find outliers using IQR method — same as box plot logic</t>
  </si>
  <si>
    <t>TASK 9</t>
  </si>
  <si>
    <t>Confusion Matrix Metrics</t>
  </si>
  <si>
    <t>Build a manual confusion matrix and calculate ML evaluation metrics</t>
  </si>
  <si>
    <t>TASK 10</t>
  </si>
  <si>
    <t>Advanced: RANK &amp; Binning</t>
  </si>
  <si>
    <t>Rank observations, create percentile bins — feature transformations</t>
  </si>
  <si>
    <t>➡️   Go to  🗃️ RAW_DATA  sheet — 40 student records are ready!</t>
  </si>
  <si>
    <t>🗃️  Student Performance Raw Dataset — 40 Observations, 18 Features (Pre-ML Preparation)</t>
  </si>
  <si>
    <t>Yellow cells = formula columns you must fill in. Use the 📋 TASK_GUIDE sheet for detailed instructions.</t>
  </si>
  <si>
    <t>ID</t>
  </si>
  <si>
    <t>Age</t>
  </si>
  <si>
    <t>Gender</t>
  </si>
  <si>
    <t>StudyHrs</t>
  </si>
  <si>
    <t>SibCount</t>
  </si>
  <si>
    <t>ParchCount</t>
  </si>
  <si>
    <t>AttendPct</t>
  </si>
  <si>
    <t>Quiz1</t>
  </si>
  <si>
    <t>Quiz2</t>
  </si>
  <si>
    <t>Quiz3</t>
  </si>
  <si>
    <t>FinalExam</t>
  </si>
  <si>
    <t>Passed</t>
  </si>
  <si>
    <t>FamilySize</t>
  </si>
  <si>
    <t>IsAlone</t>
  </si>
  <si>
    <t>AgeGroup</t>
  </si>
  <si>
    <t>EffortScore</t>
  </si>
  <si>
    <t>StudyHrs_Z</t>
  </si>
  <si>
    <t>Exam_MinMax</t>
  </si>
  <si>
    <t>QuizAvg</t>
  </si>
  <si>
    <t>📊  TASK 5 — DESCRIPTIVE STATISTICS (fill in the formula cells below)</t>
  </si>
  <si>
    <t>StudentID</t>
  </si>
  <si>
    <t>15-19</t>
  </si>
  <si>
    <t>M/F</t>
  </si>
  <si>
    <t>hrs/week</t>
  </si>
  <si>
    <t>siblings</t>
  </si>
  <si>
    <t>parent count</t>
  </si>
  <si>
    <t>0-100%</t>
  </si>
  <si>
    <t>0-100</t>
  </si>
  <si>
    <t>1=Yes 0=No</t>
  </si>
  <si>
    <t>← Task 2</t>
  </si>
  <si>
    <t>← Task 3</t>
  </si>
  <si>
    <t>← Task 4</t>
  </si>
  <si>
    <t>← Task 5</t>
  </si>
  <si>
    <t>Feature →</t>
  </si>
  <si>
    <t>ML001</t>
  </si>
  <si>
    <t>M</t>
  </si>
  <si>
    <t>← formula</t>
  </si>
  <si>
    <t>Mean</t>
  </si>
  <si>
    <t>ML002</t>
  </si>
  <si>
    <t>F</t>
  </si>
  <si>
    <t>Median</t>
  </si>
  <si>
    <t>ML003</t>
  </si>
  <si>
    <t>Std Dev</t>
  </si>
  <si>
    <t>ML004</t>
  </si>
  <si>
    <t>Variance</t>
  </si>
  <si>
    <t>ML005</t>
  </si>
  <si>
    <t>Min</t>
  </si>
  <si>
    <t>ML006</t>
  </si>
  <si>
    <t>Max</t>
  </si>
  <si>
    <t>ML007</t>
  </si>
  <si>
    <t>Skewness</t>
  </si>
  <si>
    <t>ML008</t>
  </si>
  <si>
    <t>Kurtosis</t>
  </si>
  <si>
    <t>ML009</t>
  </si>
  <si>
    <t>25th Percentile</t>
  </si>
  <si>
    <t>ML010</t>
  </si>
  <si>
    <t>75th Percentile</t>
  </si>
  <si>
    <t>ML011</t>
  </si>
  <si>
    <t>IQR</t>
  </si>
  <si>
    <t>ML012</t>
  </si>
  <si>
    <t>ML013</t>
  </si>
  <si>
    <t>ML014</t>
  </si>
  <si>
    <t>🔗  TASK 6 — CORRELATION MATRIX  (Pearson Correlation)</t>
  </si>
  <si>
    <t>ML015</t>
  </si>
  <si>
    <t>ML016</t>
  </si>
  <si>
    <t>ML017</t>
  </si>
  <si>
    <t>ML018</t>
  </si>
  <si>
    <t>ML019</t>
  </si>
  <si>
    <t>ML020</t>
  </si>
  <si>
    <t>ML021</t>
  </si>
  <si>
    <t>ML022</t>
  </si>
  <si>
    <t>ML023</t>
  </si>
  <si>
    <t>X</t>
  </si>
  <si>
    <t>ML024</t>
  </si>
  <si>
    <t>ML025</t>
  </si>
  <si>
    <t>ML026</t>
  </si>
  <si>
    <t>ML027</t>
  </si>
  <si>
    <t>ML028</t>
  </si>
  <si>
    <t>ML029</t>
  </si>
  <si>
    <t>ML030</t>
  </si>
  <si>
    <t>ML031</t>
  </si>
  <si>
    <t>ML032</t>
  </si>
  <si>
    <t>ML033</t>
  </si>
  <si>
    <t>ML034</t>
  </si>
  <si>
    <t>ML035</t>
  </si>
  <si>
    <t>ML036</t>
  </si>
  <si>
    <t>ML037</t>
  </si>
  <si>
    <t>ML038</t>
  </si>
  <si>
    <t>ML039</t>
  </si>
  <si>
    <t>ML040</t>
  </si>
  <si>
    <t>🎯  TASK 9 — Confusion Matrix &amp; ML Evaluation Metrics</t>
  </si>
  <si>
    <t>A simple model predicted PASS/FAIL for 20 students. Fill in ALL the metric formulas below.</t>
  </si>
  <si>
    <t>Student</t>
  </si>
  <si>
    <t>Actual</t>
  </si>
  <si>
    <t>Predicted</t>
  </si>
  <si>
    <t>TP</t>
  </si>
  <si>
    <t>FP</t>
  </si>
  <si>
    <t>TN</t>
  </si>
  <si>
    <t>FN</t>
  </si>
  <si>
    <t>Correct?</t>
  </si>
  <si>
    <t>Student 01</t>
  </si>
  <si>
    <t>Student 02</t>
  </si>
  <si>
    <t>Student 03</t>
  </si>
  <si>
    <t>Student 04</t>
  </si>
  <si>
    <t>Student 05</t>
  </si>
  <si>
    <t>Student 06</t>
  </si>
  <si>
    <t>Student 07</t>
  </si>
  <si>
    <t>Student 08</t>
  </si>
  <si>
    <t>Student 09</t>
  </si>
  <si>
    <t>Student 10</t>
  </si>
  <si>
    <t>Student 11</t>
  </si>
  <si>
    <t>Student 12</t>
  </si>
  <si>
    <t>Student 13</t>
  </si>
  <si>
    <t>Student 14</t>
  </si>
  <si>
    <t>Student 15</t>
  </si>
  <si>
    <t>Student 16</t>
  </si>
  <si>
    <t>Student 17</t>
  </si>
  <si>
    <t>Student 18</t>
  </si>
  <si>
    <t>Student 19</t>
  </si>
  <si>
    <t>Student 20</t>
  </si>
  <si>
    <t>📊  CONFUSION MATRIX GRID</t>
  </si>
  <si>
    <t>Predicted PASS</t>
  </si>
  <si>
    <t>Predicted FAIL</t>
  </si>
  <si>
    <t>Actual PASS</t>
  </si>
  <si>
    <t>TP = True Positive</t>
  </si>
  <si>
    <t>FN = False Negative</t>
  </si>
  <si>
    <t>Actual FAIL</t>
  </si>
  <si>
    <t>FP = False Positive</t>
  </si>
  <si>
    <t>TN = True Negative</t>
  </si>
  <si>
    <t>📐  CALCULATE THESE METRICS USING FORMULAS:</t>
  </si>
  <si>
    <t>Total TP</t>
  </si>
  <si>
    <t>Count all True Positives</t>
  </si>
  <si>
    <t>Total FP</t>
  </si>
  <si>
    <t>Count all False Positives</t>
  </si>
  <si>
    <t>Total TN</t>
  </si>
  <si>
    <t>Count all True Negatives</t>
  </si>
  <si>
    <t>Total FN</t>
  </si>
  <si>
    <t>Count all False Negatives</t>
  </si>
  <si>
    <t>Accuracy</t>
  </si>
  <si>
    <t>Overall correct predictions / total</t>
  </si>
  <si>
    <t>Precision</t>
  </si>
  <si>
    <t>Of predicted PASS, how many were right?</t>
  </si>
  <si>
    <t>Recall</t>
  </si>
  <si>
    <t>Of actual PASS, how many did we catch?</t>
  </si>
  <si>
    <t>F1 Score</t>
  </si>
  <si>
    <t>Harmonic mean of Precision &amp; Recall</t>
  </si>
  <si>
    <t>Specificity</t>
  </si>
  <si>
    <t>Of actual FAIL, how many did we correctly identify?</t>
  </si>
  <si>
    <t>📋  AI &amp; ML FORMULA BAR TASK GUIDE — All 10 Challenges</t>
  </si>
  <si>
    <t>Type every formula in the formula bar of the 🗃️ RAW_DATA sheet. Understand WHAT each formula does and WHY it matters for ML.</t>
  </si>
  <si>
    <t>TASK 1  —  Data Quality Check — Find Missing Values &amp; Wrong Types</t>
  </si>
  <si>
    <t>In ML, dirty data causes silent model failures. Before any feature engineering, you MUST check: (1) Are there missing values? (2) Are values the right type? (3) Are there impossible values? This mirrors the pandas df.info() and df.describe() step.</t>
  </si>
  <si>
    <t>Formula:</t>
  </si>
  <si>
    <t>Result: count of empty StudyHrs cells</t>
  </si>
  <si>
    <t>COUNTBLANK finds missing values — your ML nulls</t>
  </si>
  <si>
    <t>Result: TRUE or FALSE</t>
  </si>
  <si>
    <t>Checks if cell is a number — catches text stored as number</t>
  </si>
  <si>
    <t>Result: 1 or ERROR</t>
  </si>
  <si>
    <t>Quick way to flag divide-by-zero / bad values</t>
  </si>
  <si>
    <t>Result: data quality flag</t>
  </si>
  <si>
    <t>Validate attendance range</t>
  </si>
  <si>
    <t xml:space="preserve">  1</t>
  </si>
  <si>
    <t>In a blank area, type: =COUNTBLANK(D6:D45). How many missing StudyHrs values are there?</t>
  </si>
  <si>
    <t xml:space="preserve">  2</t>
  </si>
  <si>
    <t>Type: =COUNTBLANK(G6:G45). How many missing AttendPct values?</t>
  </si>
  <si>
    <t xml:space="preserve">  3</t>
  </si>
  <si>
    <t>In a new column beside row 6, type: =IF(G6&gt;100,"⚠️ IMPOSSIBLE",IF(ISBLANK(G6),"MISSING","OK")). Copy down. This is your data quality flag column.</t>
  </si>
  <si>
    <t xml:space="preserve">  4</t>
  </si>
  <si>
    <t>Count the impossible values: =COUNTIF(your_flag_range,"⚠️ IMPOSSIBLE").</t>
  </si>
  <si>
    <t>💡 ML CONNECTION: COUNTBLANK is equivalent to df.isnull().sum() in pandas. Missing values in the wrong columns cause sklearn models to throw ValueError. Always check this FIRST in any real ML project.</t>
  </si>
  <si>
    <t>TASK 2  —  Feature Engineering — Create 4 New Features</t>
  </si>
  <si>
    <t>Feature engineering is creating new meaningful columns from existing ones. This is often the single most powerful step in improving ML model accuracy. You will create: FamilySize, IsAlone, AgeGroup, and EffortScore — all inspired by real Kaggle Titanic feature engineering techniques.</t>
  </si>
  <si>
    <t>Result: FamilySize value</t>
  </si>
  <si>
    <t>SibCount + ParchCount + 1 (for self) = total family</t>
  </si>
  <si>
    <t>Result: 1 or 0</t>
  </si>
  <si>
    <t>IsAlone: 1 if no siblings or parents</t>
  </si>
  <si>
    <t>Result: AgeGroup text</t>
  </si>
  <si>
    <t>Age band feature</t>
  </si>
  <si>
    <t>Result: EffortScore</t>
  </si>
  <si>
    <t>StudyHrs × AttendPct — combined effort measure</t>
  </si>
  <si>
    <t>Result: engagement category</t>
  </si>
  <si>
    <t>AND checks both conditions</t>
  </si>
  <si>
    <t>Click cell M6 (FamilySize column). Type: =E6+F6+1. Copy down to M45.</t>
  </si>
  <si>
    <t>Click cell N6 (IsAlone). Type: =IF(E6+F6=0,1,0). Copy to N45.</t>
  </si>
  <si>
    <t>Click cell O6 (AgeGroup). Type: =IF(B6&lt;17,"Teen",IF(B6&lt;19,"Young Adult","Adult")). Copy to O45.</t>
  </si>
  <si>
    <t>Click cell P6 (EffortScore). Type: =D6*G6/100. Copy to P45.</t>
  </si>
  <si>
    <t xml:space="preserve">  5</t>
  </si>
  <si>
    <t>CHECK: For student ML001, manually verify: if SibCount=2, ParchCount=1, then FamilySize should be 4.</t>
  </si>
  <si>
    <t>TASK 3  —  Z-Score Normalisation — Standard Scaling (mean=0, std=1)</t>
  </si>
  <si>
    <t>Z-score scaling transforms a feature so it has mean=0 and standard deviation=1. Formula: Z = (X - mean) / std_dev. This is REQUIRED for SVM, KNN, Neural Networks, and Logistic Regression. Without it, features with large values dominate distance calculations.</t>
  </si>
  <si>
    <t>Result: Z-score of StudyHrs for row 6</t>
  </si>
  <si>
    <t>$ signs lock the range so it doesn't shift when copied down</t>
  </si>
  <si>
    <t>Click cell Q6 (StudyHrs_Z column). Look at the column header to confirm.</t>
  </si>
  <si>
    <t>Type this formula — carefully notice the $ signs: =(D6-AVERAGE($D$6:$D$45))/STDEV.S($D$6:$D$45)</t>
  </si>
  <si>
    <t>Press Enter. You will see a value near 0 (could be positive or negative).</t>
  </si>
  <si>
    <t>Copy Q6 down to Q45 for all 40 students.</t>
  </si>
  <si>
    <t>VERIFY: In a spare cell, type =AVERAGE(Q6:Q45). The result should be 0 (or very close like 0.000000001).</t>
  </si>
  <si>
    <t xml:space="preserve">  6</t>
  </si>
  <si>
    <t>VERIFY: Type =STDEV.S(Q6:Q45). The result should be exactly 1.0.</t>
  </si>
  <si>
    <t>💡 ML CONNECTION: This formula does exactly what sklearn's StandardScaler().fit_transform() does. When you use Z-scores, all features contribute equally to distance-based algorithms. A Z-score of +2 means 'this student studies 2 standard deviations above average'.</t>
  </si>
  <si>
    <t>TASK 4  —  Min-Max Normalisation — Scale to [0,1] Range</t>
  </si>
  <si>
    <t>Min-Max scaling transforms all values to fit between 0 and 1. Formula: X_norm = (X - Min) / (Max - Min). Required for Neural Networks and any algorithm expecting values in [0,1]. A value of 0.0 means the minimum, 1.0 means the maximum.</t>
  </si>
  <si>
    <t>Result: FinalExam normalised to [0,1]</t>
  </si>
  <si>
    <t>K=FinalExam column. $ locks range for copying.</t>
  </si>
  <si>
    <t>Click cell R6 (Exam_MinMax column).</t>
  </si>
  <si>
    <t>Type: =(K6-MIN($K$6:$K$45))/(MAX($K$6:$K$45)-MIN($K$6:$K$45))</t>
  </si>
  <si>
    <t>Copy down to R45.</t>
  </si>
  <si>
    <t>VERIFY: =MIN(R6:R45) should equal 0. =MAX(R6:R45) should equal 1.</t>
  </si>
  <si>
    <t>VERIFY: The student with the lowest FinalExam score should have Exam_MinMax = 0.0.</t>
  </si>
  <si>
    <t>CHALLENGE: In a spare cell, apply Min-Max to StudyHrs (column D). What is the formula?</t>
  </si>
  <si>
    <t>TASK 5  —  Descriptive Statistics — Full Feature Profile</t>
  </si>
  <si>
    <t>Before building any ML model, you must understand your data's distribution. Go to the STATISTICS AREA (columns T onwards on RAW_DATA sheet) and fill in ALL 11 statistics for all 4 features. This is equivalent to df.describe() in pandas.</t>
  </si>
  <si>
    <t>Result: std deviation</t>
  </si>
  <si>
    <t>Use STDEV.S (sample) not STDEV.P (population) for datasets</t>
  </si>
  <si>
    <t>Result: variance</t>
  </si>
  <si>
    <t>Variance = Std Dev squared</t>
  </si>
  <si>
    <t>Result: skewness value</t>
  </si>
  <si>
    <t>Positive=right skew, Negative=left skew, 0=symmetric</t>
  </si>
  <si>
    <t>Result: kurtosis value</t>
  </si>
  <si>
    <t>&gt;3=heavy tails (outliers likely), &lt;3=light tails</t>
  </si>
  <si>
    <t>Result: Q1 (25th pct)</t>
  </si>
  <si>
    <t>Lower quartile</t>
  </si>
  <si>
    <t>Result: Q3 (75th pct)</t>
  </si>
  <si>
    <t>Upper quartile</t>
  </si>
  <si>
    <t>Result: IQR</t>
  </si>
  <si>
    <t>Q3 minus Q1</t>
  </si>
  <si>
    <t>Scroll right on RAW_DATA to column T — the statistics table is there.</t>
  </si>
  <si>
    <t>Fill in all 11 rows × 4 feature columns = 44 formula cells total.</t>
  </si>
  <si>
    <t>After completing, answer: Is StudyHrs right-skewed (mean &gt; median) or left-skewed?</t>
  </si>
  <si>
    <t>Answer: Is FinalExam distribution approximately normal (skewness near 0)?</t>
  </si>
  <si>
    <t>TASK 6  —  Pearson Correlation Matrix — Feature Relationships</t>
  </si>
  <si>
    <t>Pearson correlation measures the LINEAR relationship between two features. Values range from -1 (perfect negative) to +1 (perfect positive). Near 0 = no linear relationship. You will build a 5×5 correlation matrix — equivalent to df.corr() in pandas.</t>
  </si>
  <si>
    <t>Result: correlation between StudyHrs and AttendPct</t>
  </si>
  <si>
    <t>CORREL takes two equal-length ranges</t>
  </si>
  <si>
    <t>In the CORRELATION MATRIX area (scroll right on RAW_DATA), fill in all 20 non-diagonal cells.</t>
  </si>
  <si>
    <t>Each cell uses =CORREL(col1_range, col2_range). Always use $ to lock ranges.</t>
  </si>
  <si>
    <t>Which two features have the HIGHEST positive correlation? ______________________</t>
  </si>
  <si>
    <t>Which feature correlates MOST strongly with FinalExam (target variable)? ______</t>
  </si>
  <si>
    <t>Is any correlation ABOVE 0.8? That would indicate multicollinearity — a problem for some ML models.</t>
  </si>
  <si>
    <t>TASK 7  —  Class Distribution — Measure Class Imbalance</t>
  </si>
  <si>
    <t>Class imbalance is when one category (e.g. PASS) has far more samples than another (FAIL). This is one of the most common ML problems and must be measured before training. Use COUNTIF and COUNTIFS to build a frequency table.</t>
  </si>
  <si>
    <t>Result: count of PASS students (Passed=1)</t>
  </si>
  <si>
    <t>How many students passed?</t>
  </si>
  <si>
    <t>Result: count of FAIL students (Passed=0)</t>
  </si>
  <si>
    <t>How many failed?</t>
  </si>
  <si>
    <t>Result: pass rate as decimal</t>
  </si>
  <si>
    <t>Format as % for readability</t>
  </si>
  <si>
    <t>Result: Female students who passed</t>
  </si>
  <si>
    <t>COUNTIFS = multiple conditions</t>
  </si>
  <si>
    <t>Result: Male students who failed</t>
  </si>
  <si>
    <t>AND logic with COUNTIFS</t>
  </si>
  <si>
    <t>In a spare area, build a Class Distribution table:</t>
  </si>
  <si>
    <t>Row 1: Passed | Count | % of Total</t>
  </si>
  <si>
    <t>Row 2: Yes (1) | =COUNTIF(L6:L45,1) | =above/40</t>
  </si>
  <si>
    <t>Row 3: No (0)  | =COUNTIF(L6:L45,0) | =above/40</t>
  </si>
  <si>
    <t>Is the dataset balanced? (50/50) or imbalanced? What % imbalance? ______</t>
  </si>
  <si>
    <t>CHALLENGE: =COUNTIFS(C6:C45,"F",L6:L45,1) — Female students who passed. Do females have a higher pass rate than males?</t>
  </si>
  <si>
    <t>TASK 8  —  Outlier Detection — IQR Method</t>
  </si>
  <si>
    <t>Outliers distort ML models — especially linear regression and KNN. The IQR (Interquartile Range) method defines outlier boundaries as: Lower = Q1 - 1.5×IQR  |  Upper = Q3 + 1.5×IQR. Any value outside these bounds is a potential outlier.</t>
  </si>
  <si>
    <t>Result: Q1</t>
  </si>
  <si>
    <t>25th percentile of StudyHrs</t>
  </si>
  <si>
    <t>Result: Q3</t>
  </si>
  <si>
    <t>75th percentile of StudyHrs</t>
  </si>
  <si>
    <t>Interquartile Range</t>
  </si>
  <si>
    <t>Result: Lower Boundary</t>
  </si>
  <si>
    <t>Below this = outlier</t>
  </si>
  <si>
    <t>Result: Upper Boundary</t>
  </si>
  <si>
    <t>Above this = outlier</t>
  </si>
  <si>
    <t>Result: flag</t>
  </si>
  <si>
    <t>Flag each student as outlier or not</t>
  </si>
  <si>
    <t>In a spare area, calculate Q1, Q3, IQR for StudyHrs using the formulas above.</t>
  </si>
  <si>
    <t>Calculate Lower Boundary: =Q1_cell-1.5*(Q3_cell-Q1_cell)</t>
  </si>
  <si>
    <t>Calculate Upper Boundary: =Q3_cell+1.5*(Q3_cell-Q1_cell)</t>
  </si>
  <si>
    <t>In a new column, flag each student: =IF(OR(D6&lt;lower_cell,D6&gt;upper_cell),"OUTLIER","OK")</t>
  </si>
  <si>
    <t>Count outliers: =COUNTIF(your_flag_col,"OUTLIER"). How many StudyHrs outliers? ______</t>
  </si>
  <si>
    <t>Repeat for FinalExam (column K). Are there more or fewer outliers in exam scores?</t>
  </si>
  <si>
    <t>TASK 9  —  Confusion Matrix — Build ML Evaluation Metrics</t>
  </si>
  <si>
    <t>Go to the 🎯 CONFUSION_MATRIX sheet. A model made 20 predictions. You will calculate TP, FP, TN, FN for each row, then compute Accuracy, Precision, Recall, F1 Score, and Specificity — the 5 core ML classification metrics.</t>
  </si>
  <si>
    <t>TP: Actual=1 AND Predicted=1</t>
  </si>
  <si>
    <t>FP: Actual=0 AND Predicted=1 (false alarm)</t>
  </si>
  <si>
    <t>TN: Actual=0 AND Predicted=0</t>
  </si>
  <si>
    <t>FN: Actual=1 AND Predicted=0 (missed!)</t>
  </si>
  <si>
    <t>Result: e.g. 0.80</t>
  </si>
  <si>
    <t>Accuracy: overall correct rate</t>
  </si>
  <si>
    <t>Result: e.g. 0.75</t>
  </si>
  <si>
    <t>Precision: quality of positive predictions</t>
  </si>
  <si>
    <t>Result: e.g. 0.83</t>
  </si>
  <si>
    <t>Recall: ability to find all true positives</t>
  </si>
  <si>
    <t>Result: e.g. 0.79</t>
  </si>
  <si>
    <t>F1: balanced precision and recall</t>
  </si>
  <si>
    <t>Go to the 🎯 CONFUSION_MATRIX sheet.</t>
  </si>
  <si>
    <t>For row 5 (Student 01): in cell D5 type =IF(AND(B5=1,C5=1),1,0) — TP formula.</t>
  </si>
  <si>
    <t>In E5: =IF(AND(B5=0,C5=1),1,0) — FP. In F5: =IF(AND(B5=0,C5=0),1,0) — TN.</t>
  </si>
  <si>
    <t>In G5: =IF(AND(B5=1,C5=0),1,0) — FN. Copy all four columns down to row 24.</t>
  </si>
  <si>
    <t>In the METRICS area: Sum each column for total TP, FP, TN, FN.</t>
  </si>
  <si>
    <t>Calculate Accuracy, Precision, Recall, F1, Specificity using the formulas above.</t>
  </si>
  <si>
    <t xml:space="preserve">  7</t>
  </si>
  <si>
    <t>What is the model's Accuracy? ____  Precision? ____  Recall? ____  F1? ____</t>
  </si>
  <si>
    <t>TASK 10  —  RANK &amp; Percentile Binning — Feature Transformations</t>
  </si>
  <si>
    <t>RANK.EQ assigns a rank to each observation. Percentile binning divides data into equal-frequency groups (quartiles, deciles). Both are common feature engineering techniques used before tree-based models and for reducing the impact of outliers.</t>
  </si>
  <si>
    <t>Result: rank 1=highest</t>
  </si>
  <si>
    <t>Rank FinalExam — 1=best student</t>
  </si>
  <si>
    <t>Result: rank 1=lowest</t>
  </si>
  <si>
    <t>Ascending rank — 1=worst score</t>
  </si>
  <si>
    <t>Result: Q1/Q2/Q3/Q4</t>
  </si>
  <si>
    <t>Quartile bin label for each student</t>
  </si>
  <si>
    <t>Result: percentile score</t>
  </si>
  <si>
    <t>Percentile position of this student</t>
  </si>
  <si>
    <t>Click cell S6 (StudyBin column). This is your binning column.</t>
  </si>
  <si>
    <t>Type the quartile bin formula: =IF(K6&gt;=PERCENTILE.INC($K$6:$K$45,0.75),"Q4 Top",IF(K6&gt;=PERCENTILE.INC($K$6:$K$45,0.5),"Q3",IF(K6&gt;=PERCENTILE.INC($K$6:$K$45,0.25),"Q2","Q1 Bottom")))</t>
  </si>
  <si>
    <t>Copy S6 down to S45.</t>
  </si>
  <si>
    <t>Count how many in each bin: =COUNTIF(S6:S45,"Q4 Top"). Should be close to 10.</t>
  </si>
  <si>
    <t>In a spare area, add RANK.EQ formula for FinalExam — rank all 40 students by score.</t>
  </si>
  <si>
    <t>CHALLENGE: Combine rank with IF to create a Top25/Bottom25 binary feature (useful for creating stratified train/test splits).</t>
  </si>
  <si>
    <t>📖  ML Formula Reference Card — Keep Open While Working</t>
  </si>
  <si>
    <t>Formula</t>
  </si>
  <si>
    <t>Syntax</t>
  </si>
  <si>
    <t>ML Equivalent</t>
  </si>
  <si>
    <t>Use Case</t>
  </si>
  <si>
    <t>Category</t>
  </si>
  <si>
    <t>Difficulty</t>
  </si>
  <si>
    <t>COUNTBLANK</t>
  </si>
  <si>
    <t>df.isnull().sum()</t>
  </si>
  <si>
    <t>Find missing values</t>
  </si>
  <si>
    <t>Data Quality</t>
  </si>
  <si>
    <t>⭐</t>
  </si>
  <si>
    <t>ISNUMBER</t>
  </si>
  <si>
    <t>pd.api.types.is_numeric_dtype</t>
  </si>
  <si>
    <t>Check data type</t>
  </si>
  <si>
    <t>IFERROR</t>
  </si>
  <si>
    <t>try/except</t>
  </si>
  <si>
    <t>Handle formula errors safely</t>
  </si>
  <si>
    <t>Z-Score</t>
  </si>
  <si>
    <t>StandardScaler</t>
  </si>
  <si>
    <t>Standardise to mean=0, std=1</t>
  </si>
  <si>
    <t>Normalisation</t>
  </si>
  <si>
    <t>⭐⭐</t>
  </si>
  <si>
    <t>Min-Max</t>
  </si>
  <si>
    <t>MinMaxScaler</t>
  </si>
  <si>
    <t>Scale to [0,1] range</t>
  </si>
  <si>
    <t>STDEV.S</t>
  </si>
  <si>
    <t>df.std()</t>
  </si>
  <si>
    <t>Sample standard deviation</t>
  </si>
  <si>
    <t>Statistics</t>
  </si>
  <si>
    <t>VAR.S</t>
  </si>
  <si>
    <t>df.var()</t>
  </si>
  <si>
    <t>Sample variance</t>
  </si>
  <si>
    <t>SKEW</t>
  </si>
  <si>
    <t>df.skew()</t>
  </si>
  <si>
    <t>Distribution skewness</t>
  </si>
  <si>
    <t>KURT</t>
  </si>
  <si>
    <t>df.kurtosis()</t>
  </si>
  <si>
    <t>Distribution kurtosis/tail weight</t>
  </si>
  <si>
    <t>PERCENTILE</t>
  </si>
  <si>
    <t>df.quantile(0.25)</t>
  </si>
  <si>
    <t>Q1, Q3, any percentile</t>
  </si>
  <si>
    <t>CORREL</t>
  </si>
  <si>
    <t>df.corr()</t>
  </si>
  <si>
    <t>Pearson correlation coefficient</t>
  </si>
  <si>
    <t>Correlation</t>
  </si>
  <si>
    <t>COUNTIF</t>
  </si>
  <si>
    <t>df.value_counts()</t>
  </si>
  <si>
    <t>Count by category / class</t>
  </si>
  <si>
    <t>Distribution</t>
  </si>
  <si>
    <t>COUNTIFS</t>
  </si>
  <si>
    <t>df[mask].value_counts()</t>
  </si>
  <si>
    <t>Count with multiple conditions</t>
  </si>
  <si>
    <t>RANK.EQ</t>
  </si>
  <si>
    <t>scipy.stats.rankdata</t>
  </si>
  <si>
    <t>Rank observations</t>
  </si>
  <si>
    <t>Feature Eng</t>
  </si>
  <si>
    <t>iqr from scipy.stats</t>
  </si>
  <si>
    <t>Interquartile range</t>
  </si>
  <si>
    <t>Outliers</t>
  </si>
  <si>
    <t>Outlier Flag</t>
  </si>
  <si>
    <t>isolation_forest</t>
  </si>
  <si>
    <t>IQR outlier detection</t>
  </si>
  <si>
    <t>⭐⭐⭐</t>
  </si>
  <si>
    <t>TP Formula</t>
  </si>
  <si>
    <t>confusion_matrix[1,1]</t>
  </si>
  <si>
    <t>True Positive count</t>
  </si>
  <si>
    <t>Evaluation</t>
  </si>
  <si>
    <t>accuracy_score</t>
  </si>
  <si>
    <t>Overall correct predictions</t>
  </si>
  <si>
    <t>precision_score</t>
  </si>
  <si>
    <t>Quality of positive predictions</t>
  </si>
  <si>
    <t>recall_score</t>
  </si>
  <si>
    <t>Coverage of true positives</t>
  </si>
  <si>
    <t>f1_score</t>
  </si>
  <si>
    <t>Harmonic mean of P and R</t>
  </si>
  <si>
    <t>Quartile Bin</t>
  </si>
  <si>
    <t>pd.qcut(df,4)</t>
  </si>
  <si>
    <t>Quartile feature binning</t>
  </si>
  <si>
    <t>✔️  ML FORMULA PROGRESS — Type ✓ as you complete each item</t>
  </si>
  <si>
    <t>Task</t>
  </si>
  <si>
    <t>What You Did</t>
  </si>
  <si>
    <t>Done ✓</t>
  </si>
  <si>
    <t>Found count of missing StudyHrs and AttendPct values</t>
  </si>
  <si>
    <t>Data Flag</t>
  </si>
  <si>
    <t>Built data quality flag column with IF/ISBLANK/impossible check</t>
  </si>
  <si>
    <t>ML insight</t>
  </si>
  <si>
    <t>Understood why missing values break sklearn models</t>
  </si>
  <si>
    <t>IF-based age band feature created</t>
  </si>
  <si>
    <t>Verified</t>
  </si>
  <si>
    <t>AVERAGE of Z-score column ≈ 0 and STDEV ≈ 1</t>
  </si>
  <si>
    <t>Understood why Z-score is needed for SVM/KNN/NeuralNet</t>
  </si>
  <si>
    <t>MIN of Min-Max col=0 and MAX=1</t>
  </si>
  <si>
    <t>All 44 stat cells filled (11 rows × 4 features)</t>
  </si>
  <si>
    <t>Identified if StudyHrs distribution is right or left skewed</t>
  </si>
  <si>
    <t>5×5 correlation matrix completed (20 non-diagonal cells)</t>
  </si>
  <si>
    <t>Finding</t>
  </si>
  <si>
    <t>Identified which feature correlates most with FinalExam</t>
  </si>
  <si>
    <t>Pass/Fail class distribution table built</t>
  </si>
  <si>
    <t>Male vs Female pass rates calculated with COUNTIFS</t>
  </si>
  <si>
    <t>Imbalance</t>
  </si>
  <si>
    <t>Determined if dataset is balanced or imbalanced</t>
  </si>
  <si>
    <t>Q1, Q3, IQR calculated for StudyHrs</t>
  </si>
  <si>
    <t>Boundaries</t>
  </si>
  <si>
    <t>Lower and Upper outlier boundaries calculated</t>
  </si>
  <si>
    <t>Flag column</t>
  </si>
  <si>
    <t>Outlier flag column built with OR formula</t>
  </si>
  <si>
    <t>TP/FP/TN/FN</t>
  </si>
  <si>
    <t>All 4 columns filled for 20 students on CONFUSION_MATRIX sheet</t>
  </si>
  <si>
    <t>Accuracy metric formula built and calculated</t>
  </si>
  <si>
    <t>Precision/Recall</t>
  </si>
  <si>
    <t>Precision, Recall, F1 all calculated</t>
  </si>
  <si>
    <t>FinalExam rank column built</t>
  </si>
  <si>
    <t>Binning</t>
  </si>
  <si>
    <t>Quartile bin column (Q1 Bottom/Q2/Q3/Q4 Top) completed</t>
  </si>
  <si>
    <t>BONUS</t>
  </si>
  <si>
    <t>Percentile</t>
  </si>
  <si>
    <t>Percentile position formula: PERCENTILE.INC used with RANK</t>
  </si>
  <si>
    <t>MY SCORE:</t>
  </si>
  <si>
    <t>&gt;100,&lt;100</t>
  </si>
  <si>
    <t>Data Quality Flag</t>
  </si>
  <si>
    <t>Failed</t>
  </si>
  <si>
    <t>Q1</t>
  </si>
  <si>
    <t>Q3</t>
  </si>
  <si>
    <t>Lower Boundary</t>
  </si>
  <si>
    <t>Upper Boundary</t>
  </si>
  <si>
    <t>OUTLIER</t>
  </si>
  <si>
    <t>COUNT OUTLIER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</si>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</sst>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39" x14ac:knownFonts="1">
    <font>
      <sz val="11"/>
      <color theme="1"/>
      <name val="Calibri"/>
      <family val="2"/>
      <scheme val="minor"/>
    </font>
    <font>
      <b/>
      <sz val="18"/>
      <color rgb="FFFFFFFF"/>
      <name val="Arial"/>
    </font>
    <font>
      <i/>
      <sz val="11"/>
      <color rgb="FFFFFFFF"/>
      <name val="Arial"/>
    </font>
    <font>
      <b/>
      <sz val="12"/>
      <color rgb="FFFFFFFF"/>
      <name val="Arial"/>
    </font>
    <font>
      <sz val="10"/>
      <color rgb="FF212121"/>
      <name val="Arial"/>
    </font>
    <font>
      <b/>
      <sz val="10"/>
      <color rgb="FFFFFFFF"/>
      <name val="Arial"/>
    </font>
    <font>
      <b/>
      <sz val="10"/>
      <color rgb="FF212121"/>
      <name val="Arial"/>
    </font>
    <font>
      <sz val="8"/>
      <color rgb="FF4A148C"/>
      <name val="Courier New"/>
    </font>
    <font>
      <i/>
      <sz val="9"/>
      <color rgb="FF616161"/>
      <name val="Arial"/>
    </font>
    <font>
      <i/>
      <sz val="9"/>
      <color rgb="FF1565C0"/>
      <name val="Arial"/>
    </font>
    <font>
      <b/>
      <sz val="9"/>
      <color rgb="FFFFFFFF"/>
      <name val="Arial"/>
    </font>
    <font>
      <i/>
      <sz val="8"/>
      <color rgb="FFFFFFFF"/>
      <name val="Arial"/>
    </font>
    <font>
      <i/>
      <sz val="8"/>
      <color rgb="FF4A148C"/>
      <name val="Arial"/>
    </font>
    <font>
      <sz val="9"/>
      <color rgb="FF212121"/>
      <name val="Arial"/>
    </font>
    <font>
      <i/>
      <sz val="8"/>
      <color rgb="FFE65100"/>
      <name val="Arial"/>
    </font>
    <font>
      <b/>
      <sz val="9"/>
      <color rgb="FFB71C1C"/>
      <name val="Arial"/>
    </font>
    <font>
      <b/>
      <sz val="9"/>
      <color rgb="FFE65100"/>
      <name val="Arial"/>
    </font>
    <font>
      <b/>
      <sz val="8"/>
      <color rgb="FFFFFFFF"/>
      <name val="Arial"/>
    </font>
    <font>
      <b/>
      <sz val="13"/>
      <color rgb="FFFFFFFF"/>
      <name val="Arial"/>
    </font>
    <font>
      <i/>
      <sz val="10"/>
      <color rgb="FF1565C0"/>
      <name val="Arial"/>
    </font>
    <font>
      <b/>
      <sz val="10"/>
      <color rgb="FF1B5E20"/>
      <name val="Arial"/>
    </font>
    <font>
      <i/>
      <sz val="9"/>
      <color rgb="FFE65100"/>
      <name val="Arial"/>
    </font>
    <font>
      <sz val="11"/>
      <color rgb="FF212121"/>
      <name val="Arial"/>
    </font>
    <font>
      <b/>
      <sz val="10"/>
      <color rgb="FFB71C1C"/>
      <name val="Arial"/>
    </font>
    <font>
      <b/>
      <sz val="11"/>
      <color rgb="FFFFFFFF"/>
      <name val="Arial"/>
    </font>
    <font>
      <b/>
      <sz val="15"/>
      <color rgb="FFFFFFFF"/>
      <name val="Arial"/>
    </font>
    <font>
      <i/>
      <sz val="10"/>
      <color rgb="FF4A148C"/>
      <name val="Arial"/>
    </font>
    <font>
      <b/>
      <sz val="9"/>
      <color rgb="FF4A148C"/>
      <name val="Courier New"/>
    </font>
    <font>
      <b/>
      <sz val="9"/>
      <color rgb="FF1B5E20"/>
      <name val="Arial"/>
    </font>
    <font>
      <i/>
      <sz val="8"/>
      <color rgb="FF616161"/>
      <name val="Arial"/>
    </font>
    <font>
      <sz val="8"/>
      <color rgb="FF00695C"/>
      <name val="Courier New"/>
    </font>
    <font>
      <sz val="11"/>
      <color rgb="FFE65100"/>
      <name val="Arial"/>
    </font>
    <font>
      <b/>
      <sz val="12"/>
      <color rgb="FF1B5E20"/>
      <name val="Arial"/>
    </font>
    <font>
      <b/>
      <sz val="11"/>
      <color rgb="FF1B5E20"/>
      <name val="Arial"/>
    </font>
    <font>
      <i/>
      <sz val="8"/>
      <color rgb="FFFF0000"/>
      <name val="Arial"/>
      <family val="2"/>
    </font>
    <font>
      <sz val="9"/>
      <color rgb="FF212121"/>
      <name val="Arial"/>
      <family val="2"/>
    </font>
    <font>
      <i/>
      <sz val="8"/>
      <color rgb="FFE65100"/>
      <name val="Arial"/>
      <family val="2"/>
    </font>
    <font>
      <sz val="8"/>
      <color rgb="FF4A148C"/>
      <name val="Courier New"/>
      <family val="3"/>
    </font>
    <font>
      <b/>
      <sz val="10"/>
      <color rgb="FFFFFFFF"/>
      <name val="Arial"/>
      <family val="2"/>
    </font>
  </fonts>
  <fills count="22">
    <fill>
      <patternFill patternType="none"/>
    </fill>
    <fill>
      <patternFill patternType="gray125"/>
    </fill>
    <fill>
      <patternFill patternType="solid">
        <fgColor rgb="FF0D1B2A"/>
      </patternFill>
    </fill>
    <fill>
      <patternFill patternType="solid">
        <fgColor rgb="FF1565C0"/>
      </patternFill>
    </fill>
    <fill>
      <patternFill patternType="solid">
        <fgColor rgb="FF4A148C"/>
      </patternFill>
    </fill>
    <fill>
      <patternFill patternType="solid">
        <fgColor rgb="FFEDE7F6"/>
      </patternFill>
    </fill>
    <fill>
      <patternFill patternType="solid">
        <fgColor rgb="FF006064"/>
      </patternFill>
    </fill>
    <fill>
      <patternFill patternType="solid">
        <fgColor rgb="FFF5F5F5"/>
      </patternFill>
    </fill>
    <fill>
      <patternFill patternType="solid">
        <fgColor rgb="FFFFFDE7"/>
      </patternFill>
    </fill>
    <fill>
      <patternFill patternType="solid">
        <fgColor rgb="FFFFFFFF"/>
      </patternFill>
    </fill>
    <fill>
      <patternFill patternType="solid">
        <fgColor rgb="FF1B5E20"/>
      </patternFill>
    </fill>
    <fill>
      <patternFill patternType="solid">
        <fgColor rgb="FFE65100"/>
      </patternFill>
    </fill>
    <fill>
      <patternFill patternType="solid">
        <fgColor rgb="FFB71C1C"/>
      </patternFill>
    </fill>
    <fill>
      <patternFill patternType="solid">
        <fgColor rgb="FFF9A825"/>
      </patternFill>
    </fill>
    <fill>
      <patternFill patternType="solid">
        <fgColor rgb="FF00695C"/>
      </patternFill>
    </fill>
    <fill>
      <patternFill patternType="solid">
        <fgColor rgb="FFE3F2FD"/>
      </patternFill>
    </fill>
    <fill>
      <patternFill patternType="solid">
        <fgColor rgb="FFFFEBEE"/>
      </patternFill>
    </fill>
    <fill>
      <patternFill patternType="solid">
        <fgColor rgb="FFFFF3E0"/>
      </patternFill>
    </fill>
    <fill>
      <patternFill patternType="solid">
        <fgColor rgb="FFE8F5E9"/>
      </patternFill>
    </fill>
    <fill>
      <patternFill patternType="solid">
        <fgColor rgb="FFE0F7FA"/>
      </patternFill>
    </fill>
    <fill>
      <patternFill patternType="solid">
        <fgColor rgb="FFE0F2F1"/>
      </patternFill>
    </fill>
    <fill>
      <patternFill patternType="solid">
        <fgColor theme="0"/>
        <bgColor indexed="64"/>
      </patternFill>
    </fill>
  </fills>
  <borders count="16">
    <border>
      <left/>
      <right/>
      <top/>
      <bottom/>
      <diagonal/>
    </border>
    <border>
      <left style="thin">
        <color rgb="FFBDBDBD"/>
      </left>
      <right style="thin">
        <color rgb="FFBDBDBD"/>
      </right>
      <top style="thin">
        <color rgb="FFBDBDBD"/>
      </top>
      <bottom style="thin">
        <color rgb="FFBDBDBD"/>
      </bottom>
      <diagonal/>
    </border>
    <border>
      <left/>
      <right/>
      <top style="thin">
        <color rgb="FFBDBDBD"/>
      </top>
      <bottom/>
      <diagonal/>
    </border>
    <border>
      <left/>
      <right style="thin">
        <color rgb="FFBDBDBD"/>
      </right>
      <top style="thin">
        <color rgb="FFBDBDBD"/>
      </top>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style="thin">
        <color rgb="FFBDBDBD"/>
      </left>
      <right style="thin">
        <color rgb="FFBDBDBD"/>
      </right>
      <top style="thin">
        <color rgb="FFBDBDBD"/>
      </top>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rgb="FFBDBDBD"/>
      </left>
      <right/>
      <top/>
      <bottom/>
      <diagonal/>
    </border>
    <border>
      <left/>
      <right style="thin">
        <color rgb="FFBDBDBD"/>
      </right>
      <top/>
      <bottom style="thin">
        <color rgb="FFBDBDBD"/>
      </bottom>
      <diagonal/>
    </border>
    <border>
      <left/>
      <right/>
      <top/>
      <bottom style="thin">
        <color theme="0" tint="-0.14999847407452621"/>
      </bottom>
      <diagonal/>
    </border>
    <border>
      <left style="thin">
        <color rgb="FFBDBDBD"/>
      </left>
      <right style="thin">
        <color rgb="FFBDBDBD"/>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5">
    <xf numFmtId="0" fontId="0" fillId="0" borderId="0" xfId="0"/>
    <xf numFmtId="0" fontId="5" fillId="3"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11" borderId="1" xfId="0" applyFont="1" applyFill="1" applyBorder="1" applyAlignment="1">
      <alignment horizontal="center" vertical="center"/>
    </xf>
    <xf numFmtId="0" fontId="13" fillId="7" borderId="1" xfId="0" applyFont="1" applyFill="1" applyBorder="1" applyAlignment="1">
      <alignment horizontal="center" vertical="center"/>
    </xf>
    <xf numFmtId="0" fontId="14" fillId="8" borderId="1" xfId="0" applyFont="1" applyFill="1" applyBorder="1" applyAlignment="1">
      <alignment horizontal="center" vertical="center"/>
    </xf>
    <xf numFmtId="0" fontId="13" fillId="9" borderId="1" xfId="0" applyFont="1" applyFill="1" applyBorder="1" applyAlignment="1">
      <alignment horizontal="center" vertical="center"/>
    </xf>
    <xf numFmtId="0" fontId="15" fillId="16" borderId="1" xfId="0" applyFont="1" applyFill="1" applyBorder="1" applyAlignment="1">
      <alignment horizontal="center" vertical="center"/>
    </xf>
    <xf numFmtId="0" fontId="17" fillId="1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7" borderId="1" xfId="0" applyFont="1" applyFill="1" applyBorder="1" applyAlignment="1">
      <alignment horizontal="center" vertical="center"/>
    </xf>
    <xf numFmtId="0" fontId="20" fillId="18" borderId="1" xfId="0" applyFont="1" applyFill="1" applyBorder="1" applyAlignment="1">
      <alignment horizontal="center" vertical="center"/>
    </xf>
    <xf numFmtId="0" fontId="21" fillId="8" borderId="1" xfId="0" applyFont="1" applyFill="1" applyBorder="1" applyAlignment="1">
      <alignment horizontal="center" vertical="center"/>
    </xf>
    <xf numFmtId="0" fontId="22" fillId="7" borderId="1" xfId="0" applyFont="1" applyFill="1" applyBorder="1" applyAlignment="1">
      <alignment horizontal="center" vertical="center"/>
    </xf>
    <xf numFmtId="0" fontId="4" fillId="9" borderId="1" xfId="0" applyFont="1" applyFill="1" applyBorder="1" applyAlignment="1">
      <alignment horizontal="center" vertical="center"/>
    </xf>
    <xf numFmtId="0" fontId="22" fillId="9" borderId="1" xfId="0" applyFont="1" applyFill="1" applyBorder="1" applyAlignment="1">
      <alignment horizontal="center" vertical="center"/>
    </xf>
    <xf numFmtId="0" fontId="23" fillId="16" borderId="1" xfId="0" applyFont="1" applyFill="1" applyBorder="1" applyAlignment="1">
      <alignment horizontal="center" vertical="center"/>
    </xf>
    <xf numFmtId="0" fontId="5" fillId="3" borderId="1" xfId="0" applyFont="1" applyFill="1" applyBorder="1" applyAlignment="1">
      <alignment horizontal="left" vertical="center"/>
    </xf>
    <xf numFmtId="0" fontId="10" fillId="3" borderId="1" xfId="0" applyFont="1" applyFill="1" applyBorder="1" applyAlignment="1">
      <alignment horizontal="center" vertical="center"/>
    </xf>
    <xf numFmtId="0" fontId="13" fillId="7"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10" fillId="10" borderId="1" xfId="0" applyFont="1" applyFill="1" applyBorder="1" applyAlignment="1">
      <alignment horizontal="center" vertical="center"/>
    </xf>
    <xf numFmtId="0" fontId="10" fillId="12" borderId="1" xfId="0" applyFont="1" applyFill="1" applyBorder="1" applyAlignment="1">
      <alignment horizontal="center" vertical="center"/>
    </xf>
    <xf numFmtId="0" fontId="10" fillId="13" borderId="1" xfId="0" applyFont="1" applyFill="1" applyBorder="1" applyAlignment="1">
      <alignment horizontal="center" vertical="center"/>
    </xf>
    <xf numFmtId="0" fontId="10" fillId="14" borderId="1" xfId="0" applyFont="1" applyFill="1" applyBorder="1" applyAlignment="1">
      <alignment horizontal="center" vertical="center"/>
    </xf>
    <xf numFmtId="0" fontId="7" fillId="9" borderId="1" xfId="0" applyFont="1" applyFill="1" applyBorder="1" applyAlignment="1">
      <alignment horizontal="center" vertical="center"/>
    </xf>
    <xf numFmtId="0" fontId="30" fillId="9" borderId="1" xfId="0" applyFont="1" applyFill="1" applyBorder="1" applyAlignment="1">
      <alignment horizontal="center" vertical="center"/>
    </xf>
    <xf numFmtId="0" fontId="13" fillId="9" borderId="1" xfId="0" applyFont="1" applyFill="1" applyBorder="1" applyAlignment="1">
      <alignment horizontal="left" vertical="center"/>
    </xf>
    <xf numFmtId="0" fontId="31" fillId="7" borderId="1" xfId="0" applyFont="1" applyFill="1" applyBorder="1" applyAlignment="1">
      <alignment horizontal="center" vertical="center"/>
    </xf>
    <xf numFmtId="0" fontId="32" fillId="8" borderId="1" xfId="0" applyFont="1" applyFill="1" applyBorder="1" applyAlignment="1">
      <alignment horizontal="center" vertical="center"/>
    </xf>
    <xf numFmtId="0" fontId="13" fillId="9" borderId="1" xfId="0" applyFont="1" applyFill="1" applyBorder="1" applyAlignment="1">
      <alignment horizontal="left" vertical="center" wrapText="1"/>
    </xf>
    <xf numFmtId="0" fontId="31" fillId="9" borderId="1" xfId="0" applyFont="1" applyFill="1" applyBorder="1" applyAlignment="1">
      <alignment horizontal="center" vertical="center"/>
    </xf>
    <xf numFmtId="0" fontId="0" fillId="0" borderId="0" xfId="0"/>
    <xf numFmtId="0" fontId="14" fillId="8" borderId="6" xfId="0" applyFont="1" applyFill="1" applyBorder="1" applyAlignment="1">
      <alignment horizontal="center" vertical="center"/>
    </xf>
    <xf numFmtId="0" fontId="14" fillId="0" borderId="0" xfId="0" applyFont="1" applyFill="1" applyBorder="1" applyAlignment="1">
      <alignment horizontal="center" vertical="center"/>
    </xf>
    <xf numFmtId="0" fontId="0" fillId="0" borderId="2" xfId="0" applyBorder="1"/>
    <xf numFmtId="0" fontId="0" fillId="0" borderId="8" xfId="0" applyBorder="1"/>
    <xf numFmtId="0" fontId="14" fillId="8" borderId="9" xfId="0" applyFont="1" applyFill="1" applyBorder="1" applyAlignment="1">
      <alignment horizontal="center" vertical="center"/>
    </xf>
    <xf numFmtId="0" fontId="0" fillId="0" borderId="0" xfId="0" applyBorder="1" applyAlignment="1"/>
    <xf numFmtId="0" fontId="0" fillId="0" borderId="0" xfId="0" applyBorder="1"/>
    <xf numFmtId="0" fontId="0" fillId="0" borderId="11" xfId="0" applyBorder="1"/>
    <xf numFmtId="0" fontId="0" fillId="0" borderId="13" xfId="0" applyBorder="1" applyAlignment="1"/>
    <xf numFmtId="0" fontId="10" fillId="0" borderId="14" xfId="0" applyFont="1" applyFill="1" applyBorder="1" applyAlignment="1">
      <alignment horizontal="center" vertical="center"/>
    </xf>
    <xf numFmtId="0" fontId="12" fillId="0" borderId="14" xfId="0" applyFont="1" applyFill="1" applyBorder="1" applyAlignment="1">
      <alignment horizontal="center" vertical="center"/>
    </xf>
    <xf numFmtId="0" fontId="14" fillId="8" borderId="5" xfId="0" applyFont="1" applyFill="1" applyBorder="1" applyAlignment="1">
      <alignment horizontal="center" vertical="center"/>
    </xf>
    <xf numFmtId="0" fontId="34" fillId="0" borderId="5" xfId="0" applyFont="1" applyFill="1" applyBorder="1" applyAlignment="1">
      <alignment horizontal="center" vertical="center"/>
    </xf>
    <xf numFmtId="0" fontId="15" fillId="16" borderId="5" xfId="0" applyFont="1" applyFill="1" applyBorder="1" applyAlignment="1">
      <alignment horizontal="center" vertical="center"/>
    </xf>
    <xf numFmtId="0" fontId="12" fillId="5" borderId="7" xfId="0" applyFont="1" applyFill="1" applyBorder="1" applyAlignment="1">
      <alignment horizontal="center" vertical="center"/>
    </xf>
    <xf numFmtId="0" fontId="14" fillId="0" borderId="10" xfId="0" applyFont="1" applyFill="1" applyBorder="1" applyAlignment="1">
      <alignment horizontal="center" vertical="center"/>
    </xf>
    <xf numFmtId="0" fontId="10" fillId="11" borderId="7" xfId="0" applyFont="1" applyFill="1" applyBorder="1" applyAlignment="1">
      <alignment horizontal="center" vertical="center"/>
    </xf>
    <xf numFmtId="0" fontId="34" fillId="0" borderId="12" xfId="0" applyFont="1" applyFill="1" applyBorder="1" applyAlignment="1">
      <alignment horizontal="center" vertical="center"/>
    </xf>
    <xf numFmtId="0" fontId="16" fillId="17" borderId="9" xfId="0" applyFont="1" applyFill="1" applyBorder="1" applyAlignment="1">
      <alignment horizontal="left" vertical="center"/>
    </xf>
    <xf numFmtId="0" fontId="17" fillId="12" borderId="3" xfId="0" applyFont="1" applyFill="1" applyBorder="1" applyAlignment="1">
      <alignment horizontal="center" vertical="center"/>
    </xf>
    <xf numFmtId="0" fontId="15" fillId="16" borderId="9" xfId="0" applyFont="1" applyFill="1" applyBorder="1" applyAlignment="1">
      <alignment horizontal="center" vertical="center"/>
    </xf>
    <xf numFmtId="0" fontId="0" fillId="0" borderId="0" xfId="0" applyAlignment="1">
      <alignment horizontal="center" vertical="center"/>
    </xf>
    <xf numFmtId="2" fontId="14" fillId="8" borderId="5" xfId="0" applyNumberFormat="1" applyFont="1" applyFill="1" applyBorder="1" applyAlignment="1">
      <alignment horizontal="center" vertical="center"/>
    </xf>
    <xf numFmtId="1" fontId="14" fillId="8" borderId="5" xfId="0" applyNumberFormat="1" applyFont="1" applyFill="1" applyBorder="1" applyAlignment="1">
      <alignment horizontal="center" vertical="center"/>
    </xf>
    <xf numFmtId="2" fontId="0" fillId="0" borderId="0" xfId="0" applyNumberFormat="1"/>
    <xf numFmtId="0" fontId="7" fillId="8" borderId="1" xfId="0" applyFont="1" applyFill="1" applyBorder="1" applyAlignment="1">
      <alignment horizontal="left" vertical="center"/>
    </xf>
    <xf numFmtId="0" fontId="0" fillId="0" borderId="0" xfId="0"/>
    <xf numFmtId="0" fontId="6" fillId="7" borderId="1" xfId="0" applyFont="1" applyFill="1" applyBorder="1" applyAlignment="1">
      <alignment horizontal="left" vertical="center"/>
    </xf>
    <xf numFmtId="0" fontId="3" fillId="4" borderId="1" xfId="0" applyFont="1" applyFill="1" applyBorder="1" applyAlignment="1">
      <alignment horizontal="center" vertical="center"/>
    </xf>
    <xf numFmtId="0" fontId="8" fillId="9" borderId="1" xfId="0" applyFont="1" applyFill="1" applyBorder="1" applyAlignment="1">
      <alignment horizontal="left" vertical="center"/>
    </xf>
    <xf numFmtId="0" fontId="4" fillId="5"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3" fillId="10"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9" fillId="15"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12" borderId="4" xfId="0" applyFont="1" applyFill="1" applyBorder="1" applyAlignment="1">
      <alignment horizontal="center" vertical="center"/>
    </xf>
    <xf numFmtId="0" fontId="5" fillId="11" borderId="6" xfId="0" applyFont="1" applyFill="1" applyBorder="1" applyAlignment="1">
      <alignment horizontal="center" vertical="center"/>
    </xf>
    <xf numFmtId="0" fontId="5" fillId="11" borderId="4" xfId="0" applyFont="1" applyFill="1" applyBorder="1" applyAlignment="1">
      <alignment horizontal="center" vertical="center"/>
    </xf>
    <xf numFmtId="0" fontId="8" fillId="7" borderId="1" xfId="0" applyFont="1" applyFill="1" applyBorder="1" applyAlignment="1">
      <alignment horizontal="left" vertical="center"/>
    </xf>
    <xf numFmtId="0" fontId="19" fillId="15" borderId="1" xfId="0" applyFont="1" applyFill="1" applyBorder="1" applyAlignment="1">
      <alignment horizontal="center" vertical="center"/>
    </xf>
    <xf numFmtId="0" fontId="18" fillId="2" borderId="1" xfId="0" applyFont="1" applyFill="1" applyBorder="1" applyAlignment="1">
      <alignment horizontal="center" vertical="center"/>
    </xf>
    <xf numFmtId="0" fontId="24" fillId="3" borderId="1"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5" xfId="0" applyFont="1" applyFill="1" applyBorder="1" applyAlignment="1">
      <alignment horizontal="center" vertical="center"/>
    </xf>
    <xf numFmtId="0" fontId="13" fillId="7" borderId="1" xfId="0" applyFont="1" applyFill="1" applyBorder="1" applyAlignment="1">
      <alignment horizontal="left" vertical="center" wrapText="1"/>
    </xf>
    <xf numFmtId="0" fontId="27" fillId="8" borderId="1" xfId="0" applyFont="1" applyFill="1" applyBorder="1" applyAlignment="1">
      <alignment horizontal="left" vertical="center"/>
    </xf>
    <xf numFmtId="0" fontId="28" fillId="18" borderId="1" xfId="0" applyFont="1" applyFill="1" applyBorder="1" applyAlignment="1">
      <alignment horizontal="center" vertical="center"/>
    </xf>
    <xf numFmtId="0" fontId="29" fillId="7"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3" fillId="11" borderId="1" xfId="0" applyFont="1" applyFill="1" applyBorder="1" applyAlignment="1">
      <alignment horizontal="left" vertical="center"/>
    </xf>
    <xf numFmtId="0" fontId="3" fillId="4" borderId="1" xfId="0" applyFont="1" applyFill="1" applyBorder="1" applyAlignment="1">
      <alignment horizontal="left" vertical="center"/>
    </xf>
    <xf numFmtId="0" fontId="3" fillId="13" borderId="1" xfId="0" applyFont="1" applyFill="1" applyBorder="1" applyAlignment="1">
      <alignment horizontal="left" vertical="center"/>
    </xf>
    <xf numFmtId="0" fontId="13" fillId="17" borderId="1" xfId="0" applyFont="1" applyFill="1" applyBorder="1" applyAlignment="1">
      <alignment horizontal="left" vertical="center" wrapText="1"/>
    </xf>
    <xf numFmtId="0" fontId="13" fillId="15" borderId="1" xfId="0" applyFont="1" applyFill="1" applyBorder="1" applyAlignment="1">
      <alignment horizontal="left" vertical="center" wrapText="1"/>
    </xf>
    <xf numFmtId="0" fontId="3" fillId="10" borderId="1" xfId="0" applyFont="1" applyFill="1" applyBorder="1" applyAlignment="1">
      <alignment horizontal="left" vertical="center"/>
    </xf>
    <xf numFmtId="0" fontId="35" fillId="7" borderId="1" xfId="0" applyFont="1" applyFill="1" applyBorder="1" applyAlignment="1">
      <alignment horizontal="left" vertical="center" wrapText="1"/>
    </xf>
    <xf numFmtId="0" fontId="13" fillId="18" borderId="1" xfId="0" applyFont="1" applyFill="1" applyBorder="1" applyAlignment="1">
      <alignment horizontal="left" vertical="center" wrapText="1"/>
    </xf>
    <xf numFmtId="0" fontId="3" fillId="6" borderId="1" xfId="0" applyFont="1" applyFill="1" applyBorder="1" applyAlignment="1">
      <alignment horizontal="left" vertical="center"/>
    </xf>
    <xf numFmtId="0" fontId="3" fillId="3" borderId="1" xfId="0" applyFont="1" applyFill="1" applyBorder="1" applyAlignment="1">
      <alignment horizontal="left" vertical="center"/>
    </xf>
    <xf numFmtId="0" fontId="26" fillId="5" borderId="1" xfId="0" applyFont="1" applyFill="1" applyBorder="1" applyAlignment="1">
      <alignment horizontal="center" vertical="center" wrapText="1"/>
    </xf>
    <xf numFmtId="0" fontId="3" fillId="12" borderId="1" xfId="0" applyFont="1" applyFill="1" applyBorder="1" applyAlignment="1">
      <alignment horizontal="left" vertical="center"/>
    </xf>
    <xf numFmtId="0" fontId="13" fillId="20" borderId="1" xfId="0" applyFont="1" applyFill="1" applyBorder="1" applyAlignment="1">
      <alignment horizontal="left" vertical="center" wrapText="1"/>
    </xf>
    <xf numFmtId="0" fontId="13" fillId="19" borderId="1" xfId="0" applyFont="1" applyFill="1" applyBorder="1" applyAlignment="1">
      <alignment horizontal="left" vertical="center" wrapText="1"/>
    </xf>
    <xf numFmtId="0" fontId="25" fillId="2" borderId="1" xfId="0" applyFont="1" applyFill="1" applyBorder="1" applyAlignment="1">
      <alignment horizontal="center" vertical="center" wrapText="1"/>
    </xf>
    <xf numFmtId="0" fontId="3" fillId="14" borderId="1" xfId="0" applyFont="1" applyFill="1" applyBorder="1" applyAlignment="1">
      <alignment horizontal="left" vertical="center"/>
    </xf>
    <xf numFmtId="0" fontId="13" fillId="16" borderId="1" xfId="0" applyFont="1" applyFill="1" applyBorder="1" applyAlignment="1">
      <alignment horizontal="left" vertical="center" wrapText="1"/>
    </xf>
    <xf numFmtId="0" fontId="33" fillId="18" borderId="1" xfId="0" applyFont="1" applyFill="1" applyBorder="1" applyAlignment="1">
      <alignment horizontal="center" vertical="center"/>
    </xf>
    <xf numFmtId="0" fontId="3" fillId="6" borderId="1" xfId="0" applyFont="1" applyFill="1" applyBorder="1" applyAlignment="1">
      <alignment horizontal="right" vertical="center"/>
    </xf>
    <xf numFmtId="0" fontId="13" fillId="7" borderId="11" xfId="0" applyFont="1" applyFill="1" applyBorder="1" applyAlignment="1">
      <alignment horizontal="left" vertical="center" wrapText="1"/>
    </xf>
    <xf numFmtId="0" fontId="13" fillId="7" borderId="0" xfId="0" applyFont="1" applyFill="1" applyBorder="1" applyAlignment="1">
      <alignment horizontal="left" vertical="center" wrapText="1"/>
    </xf>
    <xf numFmtId="0" fontId="36" fillId="8" borderId="1" xfId="0" applyFont="1" applyFill="1" applyBorder="1" applyAlignment="1">
      <alignment horizontal="center" vertical="center"/>
    </xf>
    <xf numFmtId="0" fontId="0" fillId="21" borderId="15" xfId="0" applyFont="1" applyFill="1" applyBorder="1"/>
    <xf numFmtId="0" fontId="0" fillId="0" borderId="15" xfId="0" applyBorder="1"/>
    <xf numFmtId="2" fontId="14" fillId="8" borderId="1" xfId="0" applyNumberFormat="1" applyFont="1" applyFill="1" applyBorder="1" applyAlignment="1">
      <alignment horizontal="center" vertical="center"/>
    </xf>
    <xf numFmtId="168" fontId="14" fillId="8" borderId="5" xfId="0" applyNumberFormat="1" applyFont="1" applyFill="1" applyBorder="1" applyAlignment="1">
      <alignment horizontal="center" vertical="center"/>
    </xf>
    <xf numFmtId="168" fontId="14" fillId="8" borderId="9" xfId="0" applyNumberFormat="1" applyFont="1" applyFill="1" applyBorder="1" applyAlignment="1">
      <alignment horizontal="center" vertical="center"/>
    </xf>
    <xf numFmtId="2" fontId="0" fillId="21" borderId="15" xfId="0" applyNumberFormat="1" applyFont="1" applyFill="1" applyBorder="1"/>
    <xf numFmtId="0" fontId="37" fillId="9" borderId="1" xfId="0" applyFont="1" applyFill="1" applyBorder="1" applyAlignment="1">
      <alignment horizontal="center" vertical="center"/>
    </xf>
    <xf numFmtId="0" fontId="38"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showGridLines="0" workbookViewId="0">
      <selection activeCell="D10" sqref="D10:F10"/>
    </sheetView>
  </sheetViews>
  <sheetFormatPr defaultRowHeight="15" x14ac:dyDescent="0.25"/>
  <cols>
    <col min="1" max="1" width="12" customWidth="1"/>
    <col min="2" max="2" width="18" customWidth="1"/>
    <col min="3" max="3" width="14" customWidth="1"/>
    <col min="4" max="4" width="20" customWidth="1"/>
    <col min="5" max="6" width="12" customWidth="1"/>
    <col min="7" max="7" width="38" customWidth="1"/>
    <col min="8" max="10" width="8" customWidth="1"/>
  </cols>
  <sheetData>
    <row r="1" spans="1:10" ht="39.950000000000003" customHeight="1" x14ac:dyDescent="0.25">
      <c r="A1" s="77" t="s">
        <v>0</v>
      </c>
      <c r="B1" s="69"/>
      <c r="C1" s="69"/>
      <c r="D1" s="69"/>
      <c r="E1" s="69"/>
      <c r="F1" s="69"/>
      <c r="G1" s="69"/>
      <c r="H1" s="69"/>
      <c r="I1" s="69"/>
      <c r="J1" s="69"/>
    </row>
    <row r="2" spans="1:10" ht="21.95" customHeight="1" x14ac:dyDescent="0.25">
      <c r="A2" s="76" t="s">
        <v>1</v>
      </c>
      <c r="B2" s="69"/>
      <c r="C2" s="69"/>
      <c r="D2" s="69"/>
      <c r="E2" s="69"/>
      <c r="F2" s="69"/>
      <c r="G2" s="69"/>
      <c r="H2" s="69"/>
      <c r="I2" s="69"/>
      <c r="J2" s="69"/>
    </row>
    <row r="3" spans="1:10" ht="8.1" customHeight="1" x14ac:dyDescent="0.25"/>
    <row r="4" spans="1:10" ht="24" customHeight="1" x14ac:dyDescent="0.25">
      <c r="A4" s="71" t="s">
        <v>2</v>
      </c>
      <c r="B4" s="69"/>
      <c r="C4" s="69"/>
      <c r="D4" s="69"/>
      <c r="E4" s="69"/>
      <c r="F4" s="69"/>
      <c r="G4" s="69"/>
      <c r="H4" s="69"/>
      <c r="I4" s="69"/>
      <c r="J4" s="69"/>
    </row>
    <row r="5" spans="1:10" ht="27.95" customHeight="1" x14ac:dyDescent="0.25">
      <c r="A5" s="73" t="s">
        <v>3</v>
      </c>
      <c r="B5" s="69"/>
      <c r="C5" s="69"/>
      <c r="D5" s="69"/>
      <c r="E5" s="69"/>
      <c r="F5" s="69"/>
      <c r="G5" s="69"/>
      <c r="H5" s="69"/>
      <c r="I5" s="69"/>
      <c r="J5" s="69"/>
    </row>
    <row r="6" spans="1:10" ht="27.95" customHeight="1" x14ac:dyDescent="0.25">
      <c r="A6" s="69"/>
      <c r="B6" s="69"/>
      <c r="C6" s="69"/>
      <c r="D6" s="69"/>
      <c r="E6" s="69"/>
      <c r="F6" s="69"/>
      <c r="G6" s="69"/>
      <c r="H6" s="69"/>
      <c r="I6" s="69"/>
      <c r="J6" s="69"/>
    </row>
    <row r="7" spans="1:10" ht="27.95" customHeight="1" x14ac:dyDescent="0.25">
      <c r="A7" s="69"/>
      <c r="B7" s="69"/>
      <c r="C7" s="69"/>
      <c r="D7" s="69"/>
      <c r="E7" s="69"/>
      <c r="F7" s="69"/>
      <c r="G7" s="69"/>
      <c r="H7" s="69"/>
      <c r="I7" s="69"/>
      <c r="J7" s="69"/>
    </row>
    <row r="8" spans="1:10" ht="8.1" customHeight="1" x14ac:dyDescent="0.25"/>
    <row r="9" spans="1:10" ht="24" customHeight="1" x14ac:dyDescent="0.25">
      <c r="A9" s="74" t="s">
        <v>4</v>
      </c>
      <c r="B9" s="69"/>
      <c r="C9" s="69"/>
      <c r="D9" s="69"/>
      <c r="E9" s="69"/>
      <c r="F9" s="69"/>
      <c r="G9" s="69"/>
      <c r="H9" s="69"/>
      <c r="I9" s="69"/>
      <c r="J9" s="69"/>
    </row>
    <row r="10" spans="1:10" ht="21.95" customHeight="1" x14ac:dyDescent="0.25">
      <c r="A10" s="1" t="s">
        <v>5</v>
      </c>
      <c r="B10" s="70" t="s">
        <v>6</v>
      </c>
      <c r="C10" s="69"/>
      <c r="D10" s="68"/>
      <c r="E10" s="69"/>
      <c r="F10" s="69"/>
      <c r="G10" s="72" t="s">
        <v>7</v>
      </c>
      <c r="H10" s="69"/>
      <c r="I10" s="69"/>
      <c r="J10" s="69"/>
    </row>
    <row r="11" spans="1:10" ht="21.95" customHeight="1" x14ac:dyDescent="0.25">
      <c r="A11" s="2" t="s">
        <v>8</v>
      </c>
      <c r="B11" s="70" t="s">
        <v>9</v>
      </c>
      <c r="C11" s="69"/>
      <c r="D11" s="68"/>
      <c r="E11" s="69"/>
      <c r="F11" s="69"/>
      <c r="G11" s="72" t="s">
        <v>10</v>
      </c>
      <c r="H11" s="69"/>
      <c r="I11" s="69"/>
      <c r="J11" s="69"/>
    </row>
    <row r="12" spans="1:10" ht="21.95" customHeight="1" x14ac:dyDescent="0.25">
      <c r="A12" s="3" t="s">
        <v>11</v>
      </c>
      <c r="B12" s="70" t="s">
        <v>12</v>
      </c>
      <c r="C12" s="69"/>
      <c r="D12" s="68"/>
      <c r="E12" s="69"/>
      <c r="F12" s="69"/>
      <c r="G12" s="72" t="s">
        <v>13</v>
      </c>
      <c r="H12" s="69"/>
      <c r="I12" s="69"/>
      <c r="J12" s="69"/>
    </row>
    <row r="13" spans="1:10" ht="21.95" customHeight="1" x14ac:dyDescent="0.25">
      <c r="A13" s="4" t="s">
        <v>14</v>
      </c>
      <c r="B13" s="70" t="s">
        <v>15</v>
      </c>
      <c r="C13" s="69"/>
      <c r="D13" s="68"/>
      <c r="E13" s="69"/>
      <c r="F13" s="69"/>
      <c r="G13" s="72" t="s">
        <v>16</v>
      </c>
      <c r="H13" s="69"/>
      <c r="I13" s="69"/>
      <c r="J13" s="69"/>
    </row>
    <row r="14" spans="1:10" ht="21.95" customHeight="1" x14ac:dyDescent="0.25">
      <c r="A14" s="5" t="s">
        <v>17</v>
      </c>
      <c r="B14" s="70" t="s">
        <v>18</v>
      </c>
      <c r="C14" s="69"/>
      <c r="D14" s="68"/>
      <c r="E14" s="69"/>
      <c r="F14" s="69"/>
      <c r="G14" s="72" t="s">
        <v>19</v>
      </c>
      <c r="H14" s="69"/>
      <c r="I14" s="69"/>
      <c r="J14" s="69"/>
    </row>
    <row r="15" spans="1:10" ht="21.95" customHeight="1" x14ac:dyDescent="0.25">
      <c r="A15" s="6" t="s">
        <v>20</v>
      </c>
      <c r="B15" s="70" t="s">
        <v>21</v>
      </c>
      <c r="C15" s="69"/>
      <c r="D15" s="68"/>
      <c r="E15" s="69"/>
      <c r="F15" s="69"/>
      <c r="G15" s="72" t="s">
        <v>22</v>
      </c>
      <c r="H15" s="69"/>
      <c r="I15" s="69"/>
      <c r="J15" s="69"/>
    </row>
    <row r="16" spans="1:10" ht="21.95" customHeight="1" x14ac:dyDescent="0.25">
      <c r="A16" s="7" t="s">
        <v>23</v>
      </c>
      <c r="B16" s="70" t="s">
        <v>24</v>
      </c>
      <c r="C16" s="69"/>
      <c r="D16" s="68"/>
      <c r="E16" s="69"/>
      <c r="F16" s="69"/>
      <c r="G16" s="72" t="s">
        <v>25</v>
      </c>
      <c r="H16" s="69"/>
      <c r="I16" s="69"/>
      <c r="J16" s="69"/>
    </row>
    <row r="17" spans="1:10" ht="21.95" customHeight="1" x14ac:dyDescent="0.25">
      <c r="A17" s="8" t="s">
        <v>26</v>
      </c>
      <c r="B17" s="70" t="s">
        <v>27</v>
      </c>
      <c r="C17" s="69"/>
      <c r="D17" s="68"/>
      <c r="E17" s="69"/>
      <c r="F17" s="69"/>
      <c r="G17" s="72" t="s">
        <v>28</v>
      </c>
      <c r="H17" s="69"/>
      <c r="I17" s="69"/>
      <c r="J17" s="69"/>
    </row>
    <row r="18" spans="1:10" ht="21.95" customHeight="1" x14ac:dyDescent="0.25">
      <c r="A18" s="1" t="s">
        <v>29</v>
      </c>
      <c r="B18" s="70" t="s">
        <v>30</v>
      </c>
      <c r="C18" s="69"/>
      <c r="D18" s="68" t="e">
        <f>TP, FP, FN, TN → Accuracy, Precision, Recall</f>
        <v>#NAME?</v>
      </c>
      <c r="E18" s="69"/>
      <c r="F18" s="69"/>
      <c r="G18" s="72" t="s">
        <v>31</v>
      </c>
      <c r="H18" s="69"/>
      <c r="I18" s="69"/>
      <c r="J18" s="69"/>
    </row>
    <row r="19" spans="1:10" ht="21.95" customHeight="1" x14ac:dyDescent="0.25">
      <c r="A19" s="4" t="s">
        <v>32</v>
      </c>
      <c r="B19" s="70" t="s">
        <v>33</v>
      </c>
      <c r="C19" s="69"/>
      <c r="D19" s="68"/>
      <c r="E19" s="69"/>
      <c r="F19" s="69"/>
      <c r="G19" s="72" t="s">
        <v>34</v>
      </c>
      <c r="H19" s="69"/>
      <c r="I19" s="69"/>
      <c r="J19" s="69"/>
    </row>
    <row r="20" spans="1:10" ht="8.1" customHeight="1" x14ac:dyDescent="0.25"/>
    <row r="21" spans="1:10" ht="27.95" customHeight="1" x14ac:dyDescent="0.25">
      <c r="A21" s="75" t="s">
        <v>35</v>
      </c>
      <c r="B21" s="69"/>
      <c r="C21" s="69"/>
      <c r="D21" s="69"/>
      <c r="E21" s="69"/>
      <c r="F21" s="69"/>
      <c r="G21" s="69"/>
      <c r="H21" s="69"/>
      <c r="I21" s="69"/>
      <c r="J21" s="69"/>
    </row>
  </sheetData>
  <mergeCells count="36">
    <mergeCell ref="A21:J21"/>
    <mergeCell ref="G15:J15"/>
    <mergeCell ref="A2:J2"/>
    <mergeCell ref="G14:J14"/>
    <mergeCell ref="A1:J1"/>
    <mergeCell ref="D14:F14"/>
    <mergeCell ref="G17:J17"/>
    <mergeCell ref="B19:C19"/>
    <mergeCell ref="B10:C10"/>
    <mergeCell ref="G19:J19"/>
    <mergeCell ref="G10:J10"/>
    <mergeCell ref="D10:F10"/>
    <mergeCell ref="G13:J13"/>
    <mergeCell ref="D19:F19"/>
    <mergeCell ref="G18:J18"/>
    <mergeCell ref="B15:C15"/>
    <mergeCell ref="B18:C18"/>
    <mergeCell ref="A5:J7"/>
    <mergeCell ref="D16:F16"/>
    <mergeCell ref="B12:C12"/>
    <mergeCell ref="B11:C11"/>
    <mergeCell ref="A9:J9"/>
    <mergeCell ref="G12:J12"/>
    <mergeCell ref="D12:F12"/>
    <mergeCell ref="D18:F18"/>
    <mergeCell ref="B14:C14"/>
    <mergeCell ref="B17:C17"/>
    <mergeCell ref="G11:J11"/>
    <mergeCell ref="D15:F15"/>
    <mergeCell ref="B13:C13"/>
    <mergeCell ref="D11:F11"/>
    <mergeCell ref="D13:F13"/>
    <mergeCell ref="B16:C16"/>
    <mergeCell ref="A4:J4"/>
    <mergeCell ref="G16:J16"/>
    <mergeCell ref="D17:F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3"/>
  <sheetViews>
    <sheetView topLeftCell="G1" workbookViewId="0">
      <pane ySplit="5" topLeftCell="A6" activePane="bottomLeft" state="frozen"/>
      <selection pane="bottomLeft" activeCell="Y14" sqref="Y14"/>
    </sheetView>
  </sheetViews>
  <sheetFormatPr defaultRowHeight="15" x14ac:dyDescent="0.25"/>
  <cols>
    <col min="1" max="1" width="8.42578125" bestFit="1" customWidth="1"/>
    <col min="2" max="2" width="5.5703125" bestFit="1" customWidth="1"/>
    <col min="3" max="3" width="6.85546875" bestFit="1" customWidth="1"/>
    <col min="4" max="4" width="8.42578125" bestFit="1" customWidth="1"/>
    <col min="5" max="5" width="8.28515625" bestFit="1" customWidth="1"/>
    <col min="6" max="6" width="10.5703125" bestFit="1" customWidth="1"/>
    <col min="7" max="7" width="9" bestFit="1" customWidth="1"/>
    <col min="8" max="10" width="5.5703125" bestFit="1" customWidth="1"/>
    <col min="11" max="11" width="9.28515625" bestFit="1" customWidth="1"/>
    <col min="12" max="12" width="10.140625" bestFit="1" customWidth="1"/>
    <col min="13" max="13" width="14.5703125" style="42" bestFit="1" customWidth="1"/>
    <col min="14" max="14" width="9.5703125" bestFit="1" customWidth="1"/>
    <col min="15" max="15" width="8.28515625" bestFit="1" customWidth="1"/>
    <col min="16" max="16" width="10" bestFit="1" customWidth="1"/>
    <col min="17" max="17" width="10.28515625" bestFit="1" customWidth="1"/>
    <col min="18" max="18" width="11" bestFit="1" customWidth="1"/>
    <col min="19" max="19" width="12.85546875" bestFit="1" customWidth="1"/>
    <col min="20" max="20" width="11" bestFit="1" customWidth="1"/>
    <col min="21" max="21" width="12" customWidth="1"/>
    <col min="22" max="22" width="13.42578125" bestFit="1" customWidth="1"/>
    <col min="23" max="23" width="15.42578125" bestFit="1" customWidth="1"/>
    <col min="24" max="24" width="14.140625" bestFit="1" customWidth="1"/>
    <col min="25" max="25" width="12.28515625" bestFit="1" customWidth="1"/>
    <col min="26" max="26" width="11.5703125" bestFit="1" customWidth="1"/>
  </cols>
  <sheetData>
    <row r="1" spans="1:31" ht="27.95" customHeight="1" x14ac:dyDescent="0.25">
      <c r="A1" s="79" t="s">
        <v>36</v>
      </c>
      <c r="B1" s="69"/>
      <c r="C1" s="69"/>
      <c r="D1" s="69"/>
      <c r="E1" s="69"/>
      <c r="F1" s="69"/>
      <c r="G1" s="69"/>
      <c r="H1" s="69"/>
      <c r="I1" s="69"/>
      <c r="J1" s="69"/>
      <c r="K1" s="69"/>
      <c r="L1" s="69"/>
      <c r="M1" s="69"/>
      <c r="N1" s="69"/>
      <c r="O1" s="69"/>
      <c r="P1" s="69"/>
      <c r="Q1" s="69"/>
      <c r="R1" s="69"/>
      <c r="S1" s="69"/>
      <c r="T1" s="69"/>
    </row>
    <row r="2" spans="1:31" ht="18" customHeight="1" x14ac:dyDescent="0.25">
      <c r="A2" s="78" t="s">
        <v>37</v>
      </c>
      <c r="B2" s="69"/>
      <c r="C2" s="69"/>
      <c r="D2" s="69"/>
      <c r="E2" s="69"/>
      <c r="F2" s="69"/>
      <c r="G2" s="69"/>
      <c r="H2" s="69"/>
      <c r="I2" s="69"/>
      <c r="J2" s="69"/>
      <c r="K2" s="69"/>
      <c r="L2" s="69"/>
      <c r="M2" s="69"/>
      <c r="N2" s="69"/>
      <c r="O2" s="69"/>
      <c r="P2" s="69"/>
      <c r="Q2" s="69"/>
      <c r="R2" s="69"/>
      <c r="S2" s="69"/>
      <c r="T2" s="69"/>
    </row>
    <row r="3" spans="1:31" ht="8.1" customHeight="1" x14ac:dyDescent="0.25">
      <c r="U3" s="49"/>
      <c r="AA3" s="49"/>
      <c r="AD3" s="49"/>
    </row>
    <row r="4" spans="1:31" ht="21.95" customHeight="1" x14ac:dyDescent="0.25">
      <c r="A4" s="9" t="s">
        <v>38</v>
      </c>
      <c r="B4" s="9" t="s">
        <v>39</v>
      </c>
      <c r="C4" s="9" t="s">
        <v>40</v>
      </c>
      <c r="D4" s="9" t="s">
        <v>41</v>
      </c>
      <c r="E4" s="9" t="s">
        <v>42</v>
      </c>
      <c r="F4" s="9" t="s">
        <v>43</v>
      </c>
      <c r="G4" s="9" t="s">
        <v>44</v>
      </c>
      <c r="H4" s="9" t="s">
        <v>45</v>
      </c>
      <c r="I4" s="9" t="s">
        <v>46</v>
      </c>
      <c r="J4" s="9" t="s">
        <v>47</v>
      </c>
      <c r="K4" s="9" t="s">
        <v>48</v>
      </c>
      <c r="L4" s="9" t="s">
        <v>49</v>
      </c>
      <c r="M4" s="9" t="s">
        <v>472</v>
      </c>
      <c r="N4" s="10" t="s">
        <v>50</v>
      </c>
      <c r="O4" s="10" t="s">
        <v>51</v>
      </c>
      <c r="P4" s="10" t="s">
        <v>52</v>
      </c>
      <c r="Q4" s="10" t="s">
        <v>53</v>
      </c>
      <c r="R4" s="10" t="s">
        <v>54</v>
      </c>
      <c r="S4" s="10" t="s">
        <v>55</v>
      </c>
      <c r="T4" s="10" t="s">
        <v>56</v>
      </c>
      <c r="U4" s="52"/>
      <c r="V4" s="81" t="s">
        <v>57</v>
      </c>
      <c r="W4" s="82"/>
      <c r="X4" s="82"/>
      <c r="Y4" s="82"/>
      <c r="Z4" s="82"/>
      <c r="AA4" s="48"/>
      <c r="AB4" s="48"/>
      <c r="AC4" s="48"/>
      <c r="AD4" s="48"/>
      <c r="AE4" s="49"/>
    </row>
    <row r="5" spans="1:31" ht="15.95" customHeight="1" x14ac:dyDescent="0.25">
      <c r="A5" s="11" t="s">
        <v>58</v>
      </c>
      <c r="B5" s="11" t="s">
        <v>59</v>
      </c>
      <c r="C5" s="11" t="s">
        <v>60</v>
      </c>
      <c r="D5" s="11" t="s">
        <v>61</v>
      </c>
      <c r="E5" s="11" t="s">
        <v>62</v>
      </c>
      <c r="F5" s="11" t="s">
        <v>63</v>
      </c>
      <c r="G5" s="11" t="s">
        <v>64</v>
      </c>
      <c r="H5" s="11" t="s">
        <v>65</v>
      </c>
      <c r="I5" s="11" t="s">
        <v>65</v>
      </c>
      <c r="J5" s="11" t="s">
        <v>65</v>
      </c>
      <c r="K5" s="11" t="s">
        <v>65</v>
      </c>
      <c r="L5" s="11" t="s">
        <v>66</v>
      </c>
      <c r="M5" s="11" t="s">
        <v>471</v>
      </c>
      <c r="N5" s="12" t="s">
        <v>67</v>
      </c>
      <c r="O5" s="12" t="s">
        <v>67</v>
      </c>
      <c r="P5" s="12" t="s">
        <v>67</v>
      </c>
      <c r="Q5" s="12" t="s">
        <v>67</v>
      </c>
      <c r="R5" s="12" t="s">
        <v>68</v>
      </c>
      <c r="S5" s="12" t="s">
        <v>69</v>
      </c>
      <c r="T5" s="57" t="s">
        <v>70</v>
      </c>
      <c r="U5" s="53"/>
      <c r="V5" s="59" t="s">
        <v>71</v>
      </c>
      <c r="W5" s="9" t="s">
        <v>41</v>
      </c>
      <c r="X5" s="9" t="s">
        <v>44</v>
      </c>
      <c r="Y5" s="9" t="s">
        <v>45</v>
      </c>
      <c r="Z5" s="9" t="s">
        <v>48</v>
      </c>
      <c r="AA5" s="50"/>
      <c r="AB5" s="49"/>
      <c r="AD5" s="49"/>
    </row>
    <row r="6" spans="1:31" ht="18" customHeight="1" x14ac:dyDescent="0.25">
      <c r="A6" s="14" t="s">
        <v>72</v>
      </c>
      <c r="B6" s="14">
        <v>15</v>
      </c>
      <c r="C6" s="14" t="s">
        <v>73</v>
      </c>
      <c r="D6" s="14">
        <v>18.3</v>
      </c>
      <c r="E6" s="14">
        <v>2</v>
      </c>
      <c r="F6" s="14">
        <v>2</v>
      </c>
      <c r="G6" s="14">
        <v>73</v>
      </c>
      <c r="H6" s="14">
        <v>34</v>
      </c>
      <c r="I6" s="14">
        <v>29</v>
      </c>
      <c r="J6" s="14">
        <v>37</v>
      </c>
      <c r="K6" s="14">
        <v>25</v>
      </c>
      <c r="L6" s="14">
        <v>0</v>
      </c>
      <c r="M6" s="14" t="str">
        <f>IF(G6&gt;100,"IMPOSSIBLE",IF(G6="","MISSING","OK"))</f>
        <v>OK</v>
      </c>
      <c r="N6" s="15">
        <f>E6+F6+1</f>
        <v>5</v>
      </c>
      <c r="O6" s="15" t="str">
        <f>IF(N6=1,"YES","NO")</f>
        <v>NO</v>
      </c>
      <c r="P6" s="15" t="str">
        <f>IF(B6&lt;17,"Teen",IF(B6&lt;19,"Young Adult","Adult"))</f>
        <v>Teen</v>
      </c>
      <c r="Q6" s="15">
        <f>D6*G6/100</f>
        <v>13.359000000000002</v>
      </c>
      <c r="R6" s="15">
        <f>AVERAGE(Q6:Q45)</f>
        <v>14.305875000000004</v>
      </c>
      <c r="S6" s="43">
        <f>(K6-MIN($K$6:$K$45))/(MAX($K$6:$K$45)-MIN($K$6:$K$45))</f>
        <v>7.2463768115942032E-2</v>
      </c>
      <c r="T6" s="47">
        <f>AVERAGE(H6:J6)</f>
        <v>33.333333333333336</v>
      </c>
      <c r="U6" s="58"/>
      <c r="V6" s="61" t="s">
        <v>75</v>
      </c>
      <c r="W6" s="65">
        <f>AVERAGE(D6:D45)</f>
        <v>19.515384615384612</v>
      </c>
      <c r="X6" s="119">
        <f>AVERAGE(G6:G45)</f>
        <v>78.179487179487182</v>
      </c>
      <c r="Y6" s="119">
        <f>AVERAGE(H6:H45)</f>
        <v>44.774999999999999</v>
      </c>
      <c r="Z6" s="119">
        <f>AVERAGE(K6:K45)</f>
        <v>44.674999999999997</v>
      </c>
    </row>
    <row r="7" spans="1:31" ht="18" customHeight="1" x14ac:dyDescent="0.25">
      <c r="A7" s="16" t="s">
        <v>76</v>
      </c>
      <c r="B7" s="16">
        <v>15</v>
      </c>
      <c r="C7" s="16" t="s">
        <v>77</v>
      </c>
      <c r="D7" s="16">
        <v>26.9</v>
      </c>
      <c r="E7" s="16">
        <v>4</v>
      </c>
      <c r="F7" s="16">
        <v>2</v>
      </c>
      <c r="G7" s="16">
        <v>69</v>
      </c>
      <c r="H7" s="16">
        <v>64</v>
      </c>
      <c r="I7" s="16">
        <v>64</v>
      </c>
      <c r="J7" s="16">
        <v>57</v>
      </c>
      <c r="K7" s="16">
        <v>57</v>
      </c>
      <c r="L7" s="16">
        <v>1</v>
      </c>
      <c r="M7" s="14" t="str">
        <f t="shared" ref="M7:M45" si="0">IF(G7&gt;100,"IMPOSSIBLE",IF(G7="","MISSING","OK"))</f>
        <v>OK</v>
      </c>
      <c r="N7" s="15">
        <f t="shared" ref="N7:N45" si="1">E7+F7+1</f>
        <v>7</v>
      </c>
      <c r="O7" s="15" t="str">
        <f t="shared" ref="O7:O45" si="2">IF(N7=1,"YES","NO")</f>
        <v>NO</v>
      </c>
      <c r="P7" s="15" t="str">
        <f t="shared" ref="P7:P45" si="3">IF(B7&lt;17,"Teen",IF(B7&lt;19,"Young Adult","Adult"))</f>
        <v>Teen</v>
      </c>
      <c r="Q7" s="15">
        <f t="shared" ref="Q7:Q45" si="4">D7*G7/100</f>
        <v>18.561</v>
      </c>
      <c r="R7" s="15">
        <f t="shared" ref="R7:R45" si="5">AVERAGE(Q7:Q46)</f>
        <v>14.330153846153848</v>
      </c>
      <c r="S7" s="43">
        <f t="shared" ref="S7:S45" si="6">(K7-MIN($K$6:$K$45))/(MAX($K$6:$K$45)-MIN($K$6:$K$45))</f>
        <v>0.53623188405797106</v>
      </c>
      <c r="T7" s="47">
        <f>AVERAGE(J7)</f>
        <v>57</v>
      </c>
      <c r="U7" s="44"/>
      <c r="V7" s="61" t="s">
        <v>78</v>
      </c>
      <c r="W7" s="66">
        <f>MEDIAN(D6:D45)</f>
        <v>20.3</v>
      </c>
      <c r="X7" s="15">
        <f>MEDIAN(G6:G45)</f>
        <v>78</v>
      </c>
      <c r="Y7" s="15">
        <f>MEDIAN(H6:H45)</f>
        <v>44</v>
      </c>
      <c r="Z7" s="15">
        <f>MEDIAN(K6:K45)</f>
        <v>43</v>
      </c>
    </row>
    <row r="8" spans="1:31" ht="18" customHeight="1" x14ac:dyDescent="0.25">
      <c r="A8" s="14" t="s">
        <v>79</v>
      </c>
      <c r="B8" s="14">
        <v>17</v>
      </c>
      <c r="C8" s="14" t="s">
        <v>73</v>
      </c>
      <c r="D8" s="14">
        <v>30.4</v>
      </c>
      <c r="E8" s="14">
        <v>2</v>
      </c>
      <c r="F8" s="14">
        <v>2</v>
      </c>
      <c r="G8" s="14">
        <v>65</v>
      </c>
      <c r="H8" s="14">
        <v>69</v>
      </c>
      <c r="I8" s="14">
        <v>75</v>
      </c>
      <c r="J8" s="14">
        <v>70</v>
      </c>
      <c r="K8" s="14">
        <v>67</v>
      </c>
      <c r="L8" s="14">
        <v>1</v>
      </c>
      <c r="M8" s="14" t="str">
        <f t="shared" si="0"/>
        <v>OK</v>
      </c>
      <c r="N8" s="15">
        <f t="shared" si="1"/>
        <v>5</v>
      </c>
      <c r="O8" s="15" t="str">
        <f t="shared" si="2"/>
        <v>NO</v>
      </c>
      <c r="P8" s="15" t="str">
        <f t="shared" si="3"/>
        <v>Young Adult</v>
      </c>
      <c r="Q8" s="15">
        <f t="shared" si="4"/>
        <v>19.760000000000002</v>
      </c>
      <c r="R8" s="15">
        <f t="shared" si="5"/>
        <v>14.218815789473689</v>
      </c>
      <c r="S8" s="43">
        <f t="shared" si="6"/>
        <v>0.6811594202898551</v>
      </c>
      <c r="T8" s="47">
        <f t="shared" ref="T8:T43" si="7">AVERAGE(H8:J8)</f>
        <v>71.333333333333329</v>
      </c>
      <c r="U8" s="44"/>
      <c r="V8" s="61" t="s">
        <v>80</v>
      </c>
      <c r="W8" s="65">
        <f>_xlfn.STDEV.S(D6:D45)</f>
        <v>9.5788840812964828</v>
      </c>
      <c r="X8" s="119">
        <f>_xlfn.STDEV.S(G6:G45)</f>
        <v>18.813309671153721</v>
      </c>
      <c r="Y8" s="119">
        <f>_xlfn.STDEV.S(H6:H45)</f>
        <v>20.099097441146906</v>
      </c>
      <c r="Z8" s="119">
        <f>_xlfn.STDEV.S(K6:K45)</f>
        <v>19.570238393265182</v>
      </c>
    </row>
    <row r="9" spans="1:31" ht="18" customHeight="1" x14ac:dyDescent="0.25">
      <c r="A9" s="16" t="s">
        <v>81</v>
      </c>
      <c r="B9" s="16">
        <v>16</v>
      </c>
      <c r="C9" s="16" t="s">
        <v>77</v>
      </c>
      <c r="D9" s="16">
        <v>7</v>
      </c>
      <c r="E9" s="16">
        <v>0</v>
      </c>
      <c r="F9" s="16">
        <v>0</v>
      </c>
      <c r="G9" s="16">
        <v>53</v>
      </c>
      <c r="H9" s="16">
        <v>20</v>
      </c>
      <c r="I9" s="16">
        <v>28</v>
      </c>
      <c r="J9" s="16">
        <v>20</v>
      </c>
      <c r="K9" s="16">
        <v>20</v>
      </c>
      <c r="L9" s="16">
        <v>0</v>
      </c>
      <c r="M9" s="14" t="str">
        <f t="shared" si="0"/>
        <v>OK</v>
      </c>
      <c r="N9" s="15">
        <f t="shared" si="1"/>
        <v>1</v>
      </c>
      <c r="O9" s="15" t="str">
        <f t="shared" si="2"/>
        <v>YES</v>
      </c>
      <c r="P9" s="15" t="str">
        <f t="shared" si="3"/>
        <v>Teen</v>
      </c>
      <c r="Q9" s="15">
        <f t="shared" si="4"/>
        <v>3.71</v>
      </c>
      <c r="R9" s="15">
        <f t="shared" si="5"/>
        <v>14.069054054054059</v>
      </c>
      <c r="S9" s="43">
        <f t="shared" si="6"/>
        <v>0</v>
      </c>
      <c r="T9" s="47">
        <f t="shared" ref="T9:T43" si="8">AVERAGE(J9)</f>
        <v>20</v>
      </c>
      <c r="U9" s="44"/>
      <c r="V9" s="61" t="s">
        <v>82</v>
      </c>
      <c r="W9" s="65">
        <f>_xlfn.VAR.S(D6:D45)</f>
        <v>91.755020242915151</v>
      </c>
      <c r="X9" s="119">
        <f>_xlfn.VAR.S(G6:G45)</f>
        <v>353.94062078272617</v>
      </c>
      <c r="Y9" s="119">
        <f>_xlfn.VAR.S(H6:H45)</f>
        <v>403.9737179487181</v>
      </c>
      <c r="Z9" s="119">
        <f>_xlfn.VAR.S(K6:K45)</f>
        <v>382.99423076923063</v>
      </c>
    </row>
    <row r="10" spans="1:31" ht="18" customHeight="1" x14ac:dyDescent="0.25">
      <c r="A10" s="14" t="s">
        <v>83</v>
      </c>
      <c r="B10" s="14">
        <v>16</v>
      </c>
      <c r="C10" s="14" t="s">
        <v>73</v>
      </c>
      <c r="D10" s="14">
        <v>7.3</v>
      </c>
      <c r="E10" s="14">
        <v>3</v>
      </c>
      <c r="F10" s="14">
        <v>2</v>
      </c>
      <c r="G10" s="14">
        <v>65</v>
      </c>
      <c r="H10" s="14">
        <v>32</v>
      </c>
      <c r="I10" s="14">
        <v>23</v>
      </c>
      <c r="J10" s="14">
        <v>21</v>
      </c>
      <c r="K10" s="14">
        <v>33</v>
      </c>
      <c r="L10" s="14">
        <v>0</v>
      </c>
      <c r="M10" s="14" t="str">
        <f t="shared" si="0"/>
        <v>OK</v>
      </c>
      <c r="N10" s="15">
        <f t="shared" si="1"/>
        <v>6</v>
      </c>
      <c r="O10" s="15" t="str">
        <f t="shared" si="2"/>
        <v>NO</v>
      </c>
      <c r="P10" s="15" t="str">
        <f t="shared" si="3"/>
        <v>Teen</v>
      </c>
      <c r="Q10" s="15">
        <f t="shared" si="4"/>
        <v>4.7450000000000001</v>
      </c>
      <c r="R10" s="15">
        <f t="shared" si="5"/>
        <v>14.35680555555556</v>
      </c>
      <c r="S10" s="43">
        <f t="shared" si="6"/>
        <v>0.18840579710144928</v>
      </c>
      <c r="T10" s="47">
        <f t="shared" ref="T10:T43" si="9">AVERAGE(H10:J10)</f>
        <v>25.333333333333332</v>
      </c>
      <c r="U10" s="44"/>
      <c r="V10" s="61" t="s">
        <v>84</v>
      </c>
      <c r="W10" s="65">
        <f>MIN(D6:D45)</f>
        <v>2.1</v>
      </c>
      <c r="X10" s="119">
        <f>MIN(G6:G45)</f>
        <v>53</v>
      </c>
      <c r="Y10" s="119">
        <f>MIN(H6:H45)</f>
        <v>20</v>
      </c>
      <c r="Z10" s="119">
        <f>MIN(K6:K45)</f>
        <v>20</v>
      </c>
    </row>
    <row r="11" spans="1:31" ht="18" customHeight="1" x14ac:dyDescent="0.25">
      <c r="A11" s="16" t="s">
        <v>85</v>
      </c>
      <c r="B11" s="16">
        <v>16</v>
      </c>
      <c r="C11" s="16" t="s">
        <v>77</v>
      </c>
      <c r="D11" s="16"/>
      <c r="E11" s="16">
        <v>4</v>
      </c>
      <c r="F11" s="16">
        <v>1</v>
      </c>
      <c r="G11" s="16">
        <v>86</v>
      </c>
      <c r="H11" s="16">
        <v>60</v>
      </c>
      <c r="I11" s="16">
        <v>52</v>
      </c>
      <c r="J11" s="16">
        <v>60</v>
      </c>
      <c r="K11" s="16">
        <v>56</v>
      </c>
      <c r="L11" s="16">
        <v>1</v>
      </c>
      <c r="M11" s="14" t="str">
        <f t="shared" si="0"/>
        <v>OK</v>
      </c>
      <c r="N11" s="15">
        <f t="shared" si="1"/>
        <v>6</v>
      </c>
      <c r="O11" s="15" t="str">
        <f t="shared" si="2"/>
        <v>NO</v>
      </c>
      <c r="P11" s="15" t="str">
        <f t="shared" si="3"/>
        <v>Teen</v>
      </c>
      <c r="Q11" s="15">
        <f t="shared" si="4"/>
        <v>0</v>
      </c>
      <c r="R11" s="15">
        <f t="shared" si="5"/>
        <v>14.631428571428572</v>
      </c>
      <c r="S11" s="43">
        <f t="shared" si="6"/>
        <v>0.52173913043478259</v>
      </c>
      <c r="T11" s="47">
        <f t="shared" ref="T11:T43" si="10">AVERAGE(J11)</f>
        <v>60</v>
      </c>
      <c r="U11" s="44"/>
      <c r="V11" s="61" t="s">
        <v>86</v>
      </c>
      <c r="W11" s="65">
        <f>MAX(D7:D46)</f>
        <v>34.1</v>
      </c>
      <c r="X11" s="119">
        <f>MAX(G7:G46)</f>
        <v>150</v>
      </c>
      <c r="Y11" s="119">
        <f>MAX(H6:H45)</f>
        <v>81</v>
      </c>
      <c r="Z11" s="119">
        <f>MAX(K6:K45)</f>
        <v>89</v>
      </c>
    </row>
    <row r="12" spans="1:31" ht="18" customHeight="1" x14ac:dyDescent="0.25">
      <c r="A12" s="14" t="s">
        <v>87</v>
      </c>
      <c r="B12" s="14">
        <v>15</v>
      </c>
      <c r="C12" s="14" t="s">
        <v>73</v>
      </c>
      <c r="D12" s="14">
        <v>21.7</v>
      </c>
      <c r="E12" s="14">
        <v>0</v>
      </c>
      <c r="F12" s="14">
        <v>0</v>
      </c>
      <c r="G12" s="14">
        <v>55</v>
      </c>
      <c r="H12" s="14">
        <v>36</v>
      </c>
      <c r="I12" s="14">
        <v>36</v>
      </c>
      <c r="J12" s="14">
        <v>46</v>
      </c>
      <c r="K12" s="14">
        <v>42</v>
      </c>
      <c r="L12" s="14">
        <v>0</v>
      </c>
      <c r="M12" s="14" t="str">
        <f t="shared" si="0"/>
        <v>OK</v>
      </c>
      <c r="N12" s="15">
        <f t="shared" si="1"/>
        <v>1</v>
      </c>
      <c r="O12" s="15" t="str">
        <f t="shared" si="2"/>
        <v>YES</v>
      </c>
      <c r="P12" s="15" t="str">
        <f t="shared" si="3"/>
        <v>Teen</v>
      </c>
      <c r="Q12" s="15">
        <f t="shared" si="4"/>
        <v>11.935</v>
      </c>
      <c r="R12" s="15">
        <f t="shared" si="5"/>
        <v>15.061764705882354</v>
      </c>
      <c r="S12" s="43">
        <f t="shared" si="6"/>
        <v>0.3188405797101449</v>
      </c>
      <c r="T12" s="47">
        <f t="shared" ref="T12:T43" si="11">AVERAGE(H12:J12)</f>
        <v>39.333333333333336</v>
      </c>
      <c r="U12" s="44"/>
      <c r="V12" s="61" t="s">
        <v>88</v>
      </c>
      <c r="W12" s="65">
        <f>SKEW(D5:D44)</f>
        <v>-0.19847029802972266</v>
      </c>
      <c r="X12" s="119">
        <f>SKEW(G8:G47)</f>
        <v>1.2640747656156586</v>
      </c>
      <c r="Y12" s="119">
        <f>SKEW(H6:H45)</f>
        <v>0.28289965574029474</v>
      </c>
      <c r="Z12" s="119">
        <f>SKEW(K6:K45)</f>
        <v>0.38837435985004765</v>
      </c>
    </row>
    <row r="13" spans="1:31" ht="18" customHeight="1" x14ac:dyDescent="0.25">
      <c r="A13" s="16" t="s">
        <v>89</v>
      </c>
      <c r="B13" s="16">
        <v>19</v>
      </c>
      <c r="C13" s="16" t="s">
        <v>77</v>
      </c>
      <c r="D13" s="16">
        <v>14.7</v>
      </c>
      <c r="E13" s="16">
        <v>3</v>
      </c>
      <c r="F13" s="16">
        <v>0</v>
      </c>
      <c r="G13" s="16">
        <v>55</v>
      </c>
      <c r="H13" s="16">
        <v>38</v>
      </c>
      <c r="I13" s="16">
        <v>39</v>
      </c>
      <c r="J13" s="16">
        <v>26</v>
      </c>
      <c r="K13" s="16">
        <v>43</v>
      </c>
      <c r="L13" s="16">
        <v>0</v>
      </c>
      <c r="M13" s="14" t="str">
        <f t="shared" si="0"/>
        <v>OK</v>
      </c>
      <c r="N13" s="15">
        <f t="shared" si="1"/>
        <v>4</v>
      </c>
      <c r="O13" s="15" t="str">
        <f t="shared" si="2"/>
        <v>NO</v>
      </c>
      <c r="P13" s="15" t="str">
        <f t="shared" si="3"/>
        <v>Adult</v>
      </c>
      <c r="Q13" s="15">
        <f t="shared" si="4"/>
        <v>8.0850000000000009</v>
      </c>
      <c r="R13" s="15">
        <f t="shared" si="5"/>
        <v>15.156515151515151</v>
      </c>
      <c r="S13" s="43">
        <f t="shared" si="6"/>
        <v>0.33333333333333331</v>
      </c>
      <c r="T13" s="47">
        <f t="shared" ref="T13:T43" si="12">AVERAGE(J13)</f>
        <v>26</v>
      </c>
      <c r="U13" s="44"/>
      <c r="V13" s="61" t="s">
        <v>90</v>
      </c>
      <c r="W13" s="65">
        <f>KURT(D5:D44)</f>
        <v>-1.1523844671411991</v>
      </c>
      <c r="X13" s="119">
        <f>KURT(G9:G48)</f>
        <v>3.6418802621504183</v>
      </c>
      <c r="Y13" s="119">
        <f>KURT(H6:H45)</f>
        <v>-1.2141539416596228</v>
      </c>
      <c r="Z13" s="119">
        <f>KURT(K6:K45)</f>
        <v>-0.59454624836558256</v>
      </c>
    </row>
    <row r="14" spans="1:31" ht="18" customHeight="1" x14ac:dyDescent="0.25">
      <c r="A14" s="14" t="s">
        <v>91</v>
      </c>
      <c r="B14" s="14">
        <v>15</v>
      </c>
      <c r="C14" s="14" t="s">
        <v>73</v>
      </c>
      <c r="D14" s="14">
        <v>21.7</v>
      </c>
      <c r="E14" s="14">
        <v>0</v>
      </c>
      <c r="F14" s="14">
        <v>0</v>
      </c>
      <c r="G14" s="14">
        <v>96</v>
      </c>
      <c r="H14" s="14">
        <v>50</v>
      </c>
      <c r="I14" s="14">
        <v>48</v>
      </c>
      <c r="J14" s="14">
        <v>59</v>
      </c>
      <c r="K14" s="14">
        <v>55</v>
      </c>
      <c r="L14" s="14">
        <v>1</v>
      </c>
      <c r="M14" s="14" t="str">
        <f t="shared" si="0"/>
        <v>OK</v>
      </c>
      <c r="N14" s="15">
        <f t="shared" si="1"/>
        <v>1</v>
      </c>
      <c r="O14" s="15" t="str">
        <f t="shared" si="2"/>
        <v>YES</v>
      </c>
      <c r="P14" s="15" t="str">
        <f t="shared" si="3"/>
        <v>Teen</v>
      </c>
      <c r="Q14" s="15">
        <f t="shared" si="4"/>
        <v>20.831999999999997</v>
      </c>
      <c r="R14" s="15">
        <f t="shared" si="5"/>
        <v>15.377500000000003</v>
      </c>
      <c r="S14" s="43">
        <f t="shared" si="6"/>
        <v>0.50724637681159424</v>
      </c>
      <c r="T14" s="47">
        <f t="shared" ref="T14:T43" si="13">AVERAGE(H14:J14)</f>
        <v>52.333333333333336</v>
      </c>
      <c r="U14" s="44"/>
      <c r="V14" s="61" t="s">
        <v>92</v>
      </c>
      <c r="W14" s="65">
        <f>_xlfn.PERCENTILE.INC(D5:D44,0.25)</f>
        <v>12.074999999999999</v>
      </c>
      <c r="X14" s="15">
        <f>_xlfn.PERCENTILE.INC(G5:G44,0.25)</f>
        <v>65</v>
      </c>
      <c r="Y14" s="116">
        <f>_xlfn.PERCENTILE.INC(H6:H45,0.25)</f>
        <v>27.75</v>
      </c>
      <c r="Z14" s="15">
        <f>_xlfn.PERCENTILE.INC(K6:K45,0.25)</f>
        <v>25.75</v>
      </c>
    </row>
    <row r="15" spans="1:31" ht="18" customHeight="1" x14ac:dyDescent="0.25">
      <c r="A15" s="16" t="s">
        <v>93</v>
      </c>
      <c r="B15" s="16">
        <v>19</v>
      </c>
      <c r="C15" s="16" t="s">
        <v>77</v>
      </c>
      <c r="D15" s="16">
        <v>17.399999999999999</v>
      </c>
      <c r="E15" s="17">
        <v>4</v>
      </c>
      <c r="F15" s="16">
        <v>1</v>
      </c>
      <c r="G15" s="16">
        <v>81</v>
      </c>
      <c r="H15" s="16">
        <v>28</v>
      </c>
      <c r="I15" s="16">
        <v>27</v>
      </c>
      <c r="J15" s="16">
        <v>27</v>
      </c>
      <c r="K15" s="16">
        <v>36</v>
      </c>
      <c r="L15" s="16">
        <v>0</v>
      </c>
      <c r="M15" s="14" t="str">
        <f t="shared" si="0"/>
        <v>OK</v>
      </c>
      <c r="N15" s="15">
        <f t="shared" si="1"/>
        <v>6</v>
      </c>
      <c r="O15" s="15" t="str">
        <f t="shared" si="2"/>
        <v>NO</v>
      </c>
      <c r="P15" s="15" t="str">
        <f t="shared" si="3"/>
        <v>Adult</v>
      </c>
      <c r="Q15" s="15">
        <f t="shared" si="4"/>
        <v>14.093999999999999</v>
      </c>
      <c r="R15" s="15">
        <f t="shared" si="5"/>
        <v>15.201548387096777</v>
      </c>
      <c r="S15" s="43">
        <f t="shared" si="6"/>
        <v>0.2318840579710145</v>
      </c>
      <c r="T15" s="47">
        <f t="shared" ref="T15:T43" si="14">AVERAGE(J15)</f>
        <v>27</v>
      </c>
      <c r="U15" s="44"/>
      <c r="V15" s="61" t="s">
        <v>94</v>
      </c>
      <c r="W15" s="54">
        <f>_xlfn.PERCENTILE.INC(D5:D44,0.75)</f>
        <v>27.05</v>
      </c>
      <c r="X15" s="54">
        <f>_xlfn.PERCENTILE.INC(G5:G44,0.75)</f>
        <v>91.75</v>
      </c>
      <c r="Y15" s="15">
        <f>_xlfn.PERCENTILE.INC(H6:H45,0.75)</f>
        <v>61</v>
      </c>
      <c r="Z15" s="15">
        <f>_xlfn.PERCENTILE.INC(K6:K45,0.75)</f>
        <v>58.25</v>
      </c>
    </row>
    <row r="16" spans="1:31" ht="18" customHeight="1" x14ac:dyDescent="0.25">
      <c r="A16" s="14" t="s">
        <v>95</v>
      </c>
      <c r="B16" s="14">
        <v>18</v>
      </c>
      <c r="C16" s="14" t="s">
        <v>73</v>
      </c>
      <c r="D16" s="14">
        <v>10.3</v>
      </c>
      <c r="E16" s="14">
        <v>2</v>
      </c>
      <c r="F16" s="14">
        <v>1</v>
      </c>
      <c r="G16" s="14">
        <v>54</v>
      </c>
      <c r="H16" s="14">
        <v>20</v>
      </c>
      <c r="I16" s="14">
        <v>29</v>
      </c>
      <c r="J16" s="14">
        <v>21</v>
      </c>
      <c r="K16" s="14">
        <v>22</v>
      </c>
      <c r="L16" s="14">
        <v>0</v>
      </c>
      <c r="M16" s="14" t="str">
        <f t="shared" si="0"/>
        <v>OK</v>
      </c>
      <c r="N16" s="15">
        <f t="shared" si="1"/>
        <v>4</v>
      </c>
      <c r="O16" s="15" t="str">
        <f t="shared" si="2"/>
        <v>NO</v>
      </c>
      <c r="P16" s="15" t="str">
        <f t="shared" si="3"/>
        <v>Young Adult</v>
      </c>
      <c r="Q16" s="15">
        <f t="shared" si="4"/>
        <v>5.5620000000000003</v>
      </c>
      <c r="R16" s="15">
        <f t="shared" si="5"/>
        <v>15.238466666666669</v>
      </c>
      <c r="S16" s="43">
        <f t="shared" si="6"/>
        <v>2.8985507246376812E-2</v>
      </c>
      <c r="T16" s="47">
        <f t="shared" ref="T16:T43" si="15">AVERAGE(H16:J16)</f>
        <v>23.333333333333332</v>
      </c>
      <c r="U16" s="44"/>
      <c r="V16" s="61" t="s">
        <v>96</v>
      </c>
      <c r="W16" s="65">
        <f>W15-W14</f>
        <v>14.975000000000001</v>
      </c>
      <c r="X16" s="54">
        <f>X15-X14</f>
        <v>26.75</v>
      </c>
      <c r="Y16" s="15">
        <f>Y15-Y14</f>
        <v>33.25</v>
      </c>
      <c r="Z16" s="15">
        <f>Z15-Z14</f>
        <v>32.5</v>
      </c>
    </row>
    <row r="17" spans="1:30" ht="17.100000000000001" customHeight="1" x14ac:dyDescent="0.25">
      <c r="A17" s="16" t="s">
        <v>97</v>
      </c>
      <c r="B17" s="16">
        <v>15</v>
      </c>
      <c r="C17" s="16" t="s">
        <v>77</v>
      </c>
      <c r="D17" s="16">
        <v>20.3</v>
      </c>
      <c r="E17" s="16">
        <v>4</v>
      </c>
      <c r="F17" s="16">
        <v>1</v>
      </c>
      <c r="G17" s="16">
        <v>98</v>
      </c>
      <c r="H17" s="16">
        <v>45</v>
      </c>
      <c r="I17" s="16">
        <v>40</v>
      </c>
      <c r="J17" s="16">
        <v>52</v>
      </c>
      <c r="K17" s="16">
        <v>53</v>
      </c>
      <c r="L17" s="16">
        <v>1</v>
      </c>
      <c r="M17" s="14" t="str">
        <f t="shared" si="0"/>
        <v>OK</v>
      </c>
      <c r="N17" s="15">
        <f t="shared" si="1"/>
        <v>6</v>
      </c>
      <c r="O17" s="15" t="str">
        <f t="shared" si="2"/>
        <v>NO</v>
      </c>
      <c r="P17" s="15" t="str">
        <f t="shared" si="3"/>
        <v>Teen</v>
      </c>
      <c r="Q17" s="15">
        <f t="shared" si="4"/>
        <v>19.894000000000002</v>
      </c>
      <c r="R17" s="15">
        <f t="shared" si="5"/>
        <v>15.572137931034488</v>
      </c>
      <c r="S17" s="43">
        <f t="shared" si="6"/>
        <v>0.47826086956521741</v>
      </c>
      <c r="T17" s="47">
        <f t="shared" ref="T17:T43" si="16">AVERAGE(J17)</f>
        <v>52</v>
      </c>
      <c r="U17" s="44"/>
      <c r="V17" s="60"/>
    </row>
    <row r="18" spans="1:30" ht="17.100000000000001" customHeight="1" x14ac:dyDescent="0.25">
      <c r="A18" s="14" t="s">
        <v>98</v>
      </c>
      <c r="B18" s="14">
        <v>15</v>
      </c>
      <c r="C18" s="14" t="s">
        <v>73</v>
      </c>
      <c r="D18" s="14">
        <v>33.1</v>
      </c>
      <c r="E18" s="14">
        <v>2</v>
      </c>
      <c r="F18" s="14">
        <v>0</v>
      </c>
      <c r="G18" s="14"/>
      <c r="H18" s="14">
        <v>56</v>
      </c>
      <c r="I18" s="14">
        <v>55</v>
      </c>
      <c r="J18" s="14">
        <v>57</v>
      </c>
      <c r="K18" s="14">
        <v>60</v>
      </c>
      <c r="L18" s="14">
        <v>1</v>
      </c>
      <c r="M18" s="14" t="str">
        <f t="shared" si="0"/>
        <v>MISSING</v>
      </c>
      <c r="N18" s="15">
        <f t="shared" si="1"/>
        <v>3</v>
      </c>
      <c r="O18" s="15" t="str">
        <f t="shared" si="2"/>
        <v>NO</v>
      </c>
      <c r="P18" s="15" t="str">
        <f t="shared" si="3"/>
        <v>Teen</v>
      </c>
      <c r="Q18" s="15">
        <f t="shared" si="4"/>
        <v>0</v>
      </c>
      <c r="R18" s="15">
        <f t="shared" si="5"/>
        <v>15.417785714285717</v>
      </c>
      <c r="S18" s="43">
        <f t="shared" si="6"/>
        <v>0.57971014492753625</v>
      </c>
      <c r="T18" s="47">
        <f t="shared" ref="T18:T43" si="17">AVERAGE(H18:J18)</f>
        <v>56</v>
      </c>
      <c r="U18" s="44"/>
      <c r="V18" s="55"/>
    </row>
    <row r="19" spans="1:30" ht="21.95" customHeight="1" x14ac:dyDescent="0.25">
      <c r="A19" s="16" t="s">
        <v>99</v>
      </c>
      <c r="B19" s="16">
        <v>15</v>
      </c>
      <c r="C19" s="16" t="s">
        <v>77</v>
      </c>
      <c r="D19" s="16">
        <v>24.4</v>
      </c>
      <c r="E19" s="16">
        <v>4</v>
      </c>
      <c r="F19" s="16">
        <v>0</v>
      </c>
      <c r="G19" s="16">
        <v>99</v>
      </c>
      <c r="H19" s="16">
        <v>51</v>
      </c>
      <c r="I19" s="16">
        <v>53</v>
      </c>
      <c r="J19" s="16">
        <v>53</v>
      </c>
      <c r="K19" s="16">
        <v>42</v>
      </c>
      <c r="L19" s="16">
        <v>0</v>
      </c>
      <c r="M19" s="14" t="str">
        <f t="shared" si="0"/>
        <v>OK</v>
      </c>
      <c r="N19" s="15">
        <f t="shared" si="1"/>
        <v>5</v>
      </c>
      <c r="O19" s="15" t="str">
        <f t="shared" si="2"/>
        <v>NO</v>
      </c>
      <c r="P19" s="15" t="str">
        <f t="shared" si="3"/>
        <v>Teen</v>
      </c>
      <c r="Q19" s="15">
        <f t="shared" si="4"/>
        <v>24.155999999999999</v>
      </c>
      <c r="R19" s="15">
        <f t="shared" si="5"/>
        <v>15.988814814814818</v>
      </c>
      <c r="S19" s="43">
        <f t="shared" si="6"/>
        <v>0.3188405797101449</v>
      </c>
      <c r="T19" s="47">
        <f t="shared" ref="T19:T43" si="18">AVERAGE(J19)</f>
        <v>53</v>
      </c>
      <c r="U19" s="44"/>
      <c r="V19" s="80" t="s">
        <v>100</v>
      </c>
      <c r="W19" s="80"/>
      <c r="X19" s="80"/>
      <c r="Y19" s="80"/>
      <c r="Z19" s="80"/>
      <c r="AA19" s="51"/>
      <c r="AB19" s="51"/>
      <c r="AC19" s="51"/>
      <c r="AD19" s="51"/>
    </row>
    <row r="20" spans="1:30" ht="17.100000000000001" customHeight="1" x14ac:dyDescent="0.25">
      <c r="A20" s="14" t="s">
        <v>101</v>
      </c>
      <c r="B20" s="14">
        <v>16</v>
      </c>
      <c r="C20" s="14" t="s">
        <v>73</v>
      </c>
      <c r="D20" s="14">
        <v>5.8</v>
      </c>
      <c r="E20" s="14">
        <v>1</v>
      </c>
      <c r="F20" s="14">
        <v>2</v>
      </c>
      <c r="G20" s="14">
        <v>58</v>
      </c>
      <c r="H20" s="14">
        <v>20</v>
      </c>
      <c r="I20" s="14">
        <v>20</v>
      </c>
      <c r="J20" s="14">
        <v>24</v>
      </c>
      <c r="K20" s="14">
        <v>20</v>
      </c>
      <c r="L20" s="14">
        <v>0</v>
      </c>
      <c r="M20" s="14" t="str">
        <f t="shared" si="0"/>
        <v>OK</v>
      </c>
      <c r="N20" s="15">
        <f t="shared" si="1"/>
        <v>4</v>
      </c>
      <c r="O20" s="15" t="str">
        <f t="shared" si="2"/>
        <v>NO</v>
      </c>
      <c r="P20" s="15" t="str">
        <f t="shared" si="3"/>
        <v>Teen</v>
      </c>
      <c r="Q20" s="15">
        <f t="shared" si="4"/>
        <v>3.3639999999999999</v>
      </c>
      <c r="R20" s="15">
        <f t="shared" si="5"/>
        <v>15.674692307692311</v>
      </c>
      <c r="S20" s="43">
        <f t="shared" si="6"/>
        <v>0</v>
      </c>
      <c r="T20" s="47">
        <f t="shared" ref="T20:T43" si="19">AVERAGE(H20:J20)</f>
        <v>21.333333333333332</v>
      </c>
      <c r="U20" s="44"/>
      <c r="V20" s="62" t="s">
        <v>41</v>
      </c>
      <c r="W20" s="18" t="s">
        <v>44</v>
      </c>
      <c r="X20" s="18" t="s">
        <v>45</v>
      </c>
      <c r="Y20" s="18" t="s">
        <v>46</v>
      </c>
      <c r="Z20" s="18" t="s">
        <v>48</v>
      </c>
      <c r="AA20" s="50"/>
      <c r="AB20" s="49"/>
    </row>
    <row r="21" spans="1:30" ht="18" customHeight="1" x14ac:dyDescent="0.25">
      <c r="A21" s="16" t="s">
        <v>102</v>
      </c>
      <c r="B21" s="16">
        <v>16</v>
      </c>
      <c r="C21" s="16" t="s">
        <v>77</v>
      </c>
      <c r="D21" s="16">
        <v>31.2</v>
      </c>
      <c r="E21" s="16">
        <v>0</v>
      </c>
      <c r="F21" s="16">
        <v>2</v>
      </c>
      <c r="G21" s="16">
        <v>58</v>
      </c>
      <c r="H21" s="16">
        <v>68</v>
      </c>
      <c r="I21" s="16">
        <v>74</v>
      </c>
      <c r="J21" s="16">
        <v>69</v>
      </c>
      <c r="K21" s="16">
        <v>71</v>
      </c>
      <c r="L21" s="16">
        <v>1</v>
      </c>
      <c r="M21" s="14" t="str">
        <f t="shared" si="0"/>
        <v>OK</v>
      </c>
      <c r="N21" s="15">
        <f t="shared" si="1"/>
        <v>3</v>
      </c>
      <c r="O21" s="15" t="str">
        <f t="shared" si="2"/>
        <v>NO</v>
      </c>
      <c r="P21" s="15" t="str">
        <f t="shared" si="3"/>
        <v>Teen</v>
      </c>
      <c r="Q21" s="15">
        <f t="shared" si="4"/>
        <v>18.096</v>
      </c>
      <c r="R21" s="15">
        <f t="shared" si="5"/>
        <v>16.167120000000001</v>
      </c>
      <c r="S21" s="43">
        <f t="shared" si="6"/>
        <v>0.73913043478260865</v>
      </c>
      <c r="T21" s="47">
        <f t="shared" ref="T21:T43" si="20">AVERAGE(J21)</f>
        <v>69</v>
      </c>
      <c r="U21" s="44"/>
      <c r="V21" s="63">
        <v>1</v>
      </c>
      <c r="W21" s="120">
        <f>CORREL($G$6:$G$44,$D$6:$D$44)</f>
        <v>2.6603137626664216E-2</v>
      </c>
      <c r="X21" s="119">
        <f>CORREL(H$6:$H47,$I6:I$47)</f>
        <v>0.95788041968314208</v>
      </c>
      <c r="Y21" s="119">
        <f>CORREL(H$6:$H47,$I6:I$47)</f>
        <v>0.95788041968314208</v>
      </c>
      <c r="Z21" s="15">
        <f>CORREL(K$6:$K47,$K6:K$47)</f>
        <v>1.0000000000000002</v>
      </c>
      <c r="AB21" s="49"/>
    </row>
    <row r="22" spans="1:30" ht="18" customHeight="1" x14ac:dyDescent="0.25">
      <c r="A22" s="14" t="s">
        <v>103</v>
      </c>
      <c r="B22" s="14">
        <v>19</v>
      </c>
      <c r="C22" s="14" t="s">
        <v>73</v>
      </c>
      <c r="D22" s="14">
        <v>26.8</v>
      </c>
      <c r="E22" s="14">
        <v>0</v>
      </c>
      <c r="F22" s="14">
        <v>1</v>
      </c>
      <c r="G22" s="14">
        <v>92</v>
      </c>
      <c r="H22" s="17">
        <v>75</v>
      </c>
      <c r="I22" s="14">
        <v>64</v>
      </c>
      <c r="J22" s="14">
        <v>66</v>
      </c>
      <c r="K22" s="14">
        <v>67</v>
      </c>
      <c r="L22" s="14">
        <v>1</v>
      </c>
      <c r="M22" s="14" t="str">
        <f t="shared" si="0"/>
        <v>OK</v>
      </c>
      <c r="N22" s="15">
        <f t="shared" si="1"/>
        <v>2</v>
      </c>
      <c r="O22" s="15" t="str">
        <f t="shared" si="2"/>
        <v>NO</v>
      </c>
      <c r="P22" s="15" t="str">
        <f t="shared" si="3"/>
        <v>Adult</v>
      </c>
      <c r="Q22" s="15">
        <f t="shared" si="4"/>
        <v>24.655999999999999</v>
      </c>
      <c r="R22" s="15">
        <f t="shared" si="5"/>
        <v>16.086750000000002</v>
      </c>
      <c r="S22" s="43">
        <f t="shared" si="6"/>
        <v>0.6811594202898551</v>
      </c>
      <c r="T22" s="47">
        <f t="shared" ref="T22:T43" si="21">AVERAGE(H22:J22)</f>
        <v>68.333333333333329</v>
      </c>
      <c r="U22" s="44"/>
      <c r="V22" s="121">
        <f>CORREL($D$5:$D$44,$G$5:$G$44)</f>
        <v>2.6603137626664216E-2</v>
      </c>
      <c r="W22" s="56">
        <v>1</v>
      </c>
      <c r="X22" s="119">
        <f>CORREL(H$6:$H47,$I6:I$47)</f>
        <v>0.95788041968314208</v>
      </c>
      <c r="Y22" s="119">
        <f>CORREL(H$6:$H47,$I6:I$47)</f>
        <v>0.95788041968314208</v>
      </c>
      <c r="Z22" s="15">
        <f>CORREL(K$6:$K47,$K6:K$47)</f>
        <v>1.0000000000000002</v>
      </c>
    </row>
    <row r="23" spans="1:30" ht="18" customHeight="1" x14ac:dyDescent="0.25">
      <c r="A23" s="16" t="s">
        <v>104</v>
      </c>
      <c r="B23" s="16">
        <v>19</v>
      </c>
      <c r="C23" s="16" t="s">
        <v>77</v>
      </c>
      <c r="D23" s="16">
        <v>27.4</v>
      </c>
      <c r="E23" s="16">
        <v>1</v>
      </c>
      <c r="F23" s="16">
        <v>0</v>
      </c>
      <c r="G23" s="16">
        <v>80</v>
      </c>
      <c r="H23" s="16">
        <v>47</v>
      </c>
      <c r="I23" s="16">
        <v>47</v>
      </c>
      <c r="J23" s="16">
        <v>56</v>
      </c>
      <c r="K23" s="16">
        <v>45</v>
      </c>
      <c r="L23" s="16">
        <v>0</v>
      </c>
      <c r="M23" s="14" t="str">
        <f t="shared" si="0"/>
        <v>OK</v>
      </c>
      <c r="N23" s="15">
        <f t="shared" si="1"/>
        <v>2</v>
      </c>
      <c r="O23" s="15" t="str">
        <f t="shared" si="2"/>
        <v>NO</v>
      </c>
      <c r="P23" s="15" t="str">
        <f t="shared" si="3"/>
        <v>Adult</v>
      </c>
      <c r="Q23" s="15">
        <f t="shared" si="4"/>
        <v>21.92</v>
      </c>
      <c r="R23" s="15">
        <f t="shared" si="5"/>
        <v>15.71417391304348</v>
      </c>
      <c r="S23" s="43">
        <f t="shared" si="6"/>
        <v>0.36231884057971014</v>
      </c>
      <c r="T23" s="47">
        <f t="shared" ref="T23:T43" si="22">AVERAGE(J23)</f>
        <v>56</v>
      </c>
      <c r="U23" s="44"/>
      <c r="V23" s="121">
        <f>CORREL($D$5:$D$44,$G$5:$G$44)</f>
        <v>2.6603137626664216E-2</v>
      </c>
      <c r="W23" s="120">
        <f>CORREL($G$6:$G$44,$D$6:$D$44)</f>
        <v>2.6603137626664216E-2</v>
      </c>
      <c r="X23" s="17">
        <v>1</v>
      </c>
      <c r="Y23" s="119">
        <f>CORREL(H$6:$H47,$I6:I$47)</f>
        <v>0.95788041968314208</v>
      </c>
      <c r="Z23" s="15">
        <f>CORREL(K$6:$K47,$K6:K$47)</f>
        <v>1.0000000000000002</v>
      </c>
    </row>
    <row r="24" spans="1:30" ht="18" customHeight="1" x14ac:dyDescent="0.25">
      <c r="A24" s="14" t="s">
        <v>105</v>
      </c>
      <c r="B24" s="14">
        <v>15</v>
      </c>
      <c r="C24" s="14" t="s">
        <v>73</v>
      </c>
      <c r="D24" s="14">
        <v>13.2</v>
      </c>
      <c r="E24" s="14">
        <v>2</v>
      </c>
      <c r="F24" s="14">
        <v>2</v>
      </c>
      <c r="G24" s="14">
        <v>150</v>
      </c>
      <c r="H24" s="14">
        <v>27</v>
      </c>
      <c r="I24" s="14">
        <v>28</v>
      </c>
      <c r="J24" s="14">
        <v>28</v>
      </c>
      <c r="K24" s="14">
        <v>20</v>
      </c>
      <c r="L24" s="14">
        <v>0</v>
      </c>
      <c r="M24" s="14" t="str">
        <f t="shared" si="0"/>
        <v>IMPOSSIBLE</v>
      </c>
      <c r="N24" s="15">
        <f t="shared" si="1"/>
        <v>5</v>
      </c>
      <c r="O24" s="15" t="str">
        <f t="shared" si="2"/>
        <v>NO</v>
      </c>
      <c r="P24" s="15" t="str">
        <f t="shared" si="3"/>
        <v>Teen</v>
      </c>
      <c r="Q24" s="15">
        <f t="shared" si="4"/>
        <v>19.8</v>
      </c>
      <c r="R24" s="15">
        <f t="shared" si="5"/>
        <v>15.43209090909091</v>
      </c>
      <c r="S24" s="43">
        <f t="shared" si="6"/>
        <v>0</v>
      </c>
      <c r="T24" s="47">
        <f t="shared" ref="T24:T43" si="23">AVERAGE(H24:J24)</f>
        <v>27.666666666666668</v>
      </c>
      <c r="U24" s="44"/>
      <c r="V24" s="121">
        <f>CORREL($D$5:$D$44,$G$5:$G$44)</f>
        <v>2.6603137626664216E-2</v>
      </c>
      <c r="W24" s="120">
        <f>CORREL($G$6:$G$44,$D$6:$D$44)</f>
        <v>2.6603137626664216E-2</v>
      </c>
      <c r="X24" s="119">
        <f>CORREL(H$6:$H47,$I6:I$47)</f>
        <v>0.95788041968314208</v>
      </c>
      <c r="Y24" s="17">
        <v>1</v>
      </c>
      <c r="Z24" s="15">
        <f>CORREL(K$6:$K47,$K6:K$47)</f>
        <v>1.0000000000000002</v>
      </c>
    </row>
    <row r="25" spans="1:30" ht="18" customHeight="1" x14ac:dyDescent="0.25">
      <c r="A25" s="16" t="s">
        <v>106</v>
      </c>
      <c r="B25" s="16">
        <v>19</v>
      </c>
      <c r="C25" s="16" t="s">
        <v>77</v>
      </c>
      <c r="D25" s="16">
        <v>11.7</v>
      </c>
      <c r="E25" s="16">
        <v>0</v>
      </c>
      <c r="F25" s="16">
        <v>1</v>
      </c>
      <c r="G25" s="16">
        <v>60</v>
      </c>
      <c r="H25" s="16">
        <v>28</v>
      </c>
      <c r="I25" s="16">
        <v>20</v>
      </c>
      <c r="J25" s="16">
        <v>20</v>
      </c>
      <c r="K25" s="16">
        <v>20</v>
      </c>
      <c r="L25" s="16">
        <v>0</v>
      </c>
      <c r="M25" s="14" t="str">
        <f t="shared" si="0"/>
        <v>OK</v>
      </c>
      <c r="N25" s="15">
        <f t="shared" si="1"/>
        <v>2</v>
      </c>
      <c r="O25" s="15" t="str">
        <f t="shared" si="2"/>
        <v>NO</v>
      </c>
      <c r="P25" s="15" t="str">
        <f t="shared" si="3"/>
        <v>Adult</v>
      </c>
      <c r="Q25" s="15">
        <f t="shared" si="4"/>
        <v>7.02</v>
      </c>
      <c r="R25" s="15">
        <f t="shared" si="5"/>
        <v>15.22409523809524</v>
      </c>
      <c r="S25" s="43">
        <f t="shared" si="6"/>
        <v>0</v>
      </c>
      <c r="T25" s="47">
        <f t="shared" ref="T25:T43" si="24">AVERAGE(J25)</f>
        <v>20</v>
      </c>
      <c r="U25" s="44"/>
      <c r="V25" s="121">
        <f>CORREL($D$5:$D$44,$G$5:$G$44)</f>
        <v>2.6603137626664216E-2</v>
      </c>
      <c r="W25" s="120">
        <f>CORREL($G$6:$G$44,$D$6:$D$44)</f>
        <v>2.6603137626664216E-2</v>
      </c>
      <c r="X25" s="119">
        <f>CORREL(H$6:$H47,$I6:I$47)</f>
        <v>0.95788041968314208</v>
      </c>
      <c r="Y25" s="119">
        <f>CORREL(H$6:$H47,$I6:I$47)</f>
        <v>0.95788041968314208</v>
      </c>
      <c r="Z25" s="17">
        <v>1</v>
      </c>
    </row>
    <row r="26" spans="1:30" ht="17.100000000000001" customHeight="1" x14ac:dyDescent="0.25">
      <c r="A26" s="14" t="s">
        <v>107</v>
      </c>
      <c r="B26" s="14">
        <v>16</v>
      </c>
      <c r="C26" s="14" t="s">
        <v>73</v>
      </c>
      <c r="D26" s="14">
        <v>7.2</v>
      </c>
      <c r="E26" s="14">
        <v>1</v>
      </c>
      <c r="F26" s="14">
        <v>1</v>
      </c>
      <c r="G26" s="14">
        <v>66</v>
      </c>
      <c r="H26" s="14">
        <v>20</v>
      </c>
      <c r="I26" s="14">
        <v>21</v>
      </c>
      <c r="J26" s="14">
        <v>26</v>
      </c>
      <c r="K26" s="14">
        <v>20</v>
      </c>
      <c r="L26" s="14">
        <v>0</v>
      </c>
      <c r="M26" s="14" t="str">
        <f t="shared" si="0"/>
        <v>OK</v>
      </c>
      <c r="N26" s="15">
        <f t="shared" si="1"/>
        <v>3</v>
      </c>
      <c r="O26" s="15" t="str">
        <f t="shared" si="2"/>
        <v>NO</v>
      </c>
      <c r="P26" s="15" t="str">
        <f t="shared" si="3"/>
        <v>Teen</v>
      </c>
      <c r="Q26" s="15">
        <f t="shared" si="4"/>
        <v>4.7519999999999998</v>
      </c>
      <c r="R26" s="15">
        <f t="shared" si="5"/>
        <v>15.634300000000001</v>
      </c>
      <c r="S26" s="43">
        <f t="shared" si="6"/>
        <v>0</v>
      </c>
      <c r="T26" s="47">
        <f t="shared" ref="T26:T43" si="25">AVERAGE(H26:J26)</f>
        <v>22.333333333333332</v>
      </c>
      <c r="U26" s="44"/>
      <c r="V26" s="44"/>
      <c r="W26" s="45"/>
    </row>
    <row r="27" spans="1:30" ht="17.100000000000001" customHeight="1" x14ac:dyDescent="0.25">
      <c r="A27" s="16" t="s">
        <v>108</v>
      </c>
      <c r="B27" s="16">
        <v>19</v>
      </c>
      <c r="C27" s="16" t="s">
        <v>77</v>
      </c>
      <c r="D27" s="16">
        <v>2.1</v>
      </c>
      <c r="E27" s="16">
        <v>0</v>
      </c>
      <c r="F27" s="16">
        <v>2</v>
      </c>
      <c r="G27" s="16">
        <v>83</v>
      </c>
      <c r="H27" s="17">
        <v>20</v>
      </c>
      <c r="I27" s="16">
        <v>20</v>
      </c>
      <c r="J27" s="16">
        <v>20</v>
      </c>
      <c r="K27" s="16">
        <v>23</v>
      </c>
      <c r="L27" s="16">
        <v>0</v>
      </c>
      <c r="M27" s="14" t="str">
        <f t="shared" si="0"/>
        <v>OK</v>
      </c>
      <c r="N27" s="15">
        <f t="shared" si="1"/>
        <v>3</v>
      </c>
      <c r="O27" s="15" t="str">
        <f t="shared" si="2"/>
        <v>NO</v>
      </c>
      <c r="P27" s="15" t="str">
        <f t="shared" si="3"/>
        <v>Adult</v>
      </c>
      <c r="Q27" s="15">
        <f t="shared" si="4"/>
        <v>1.7430000000000001</v>
      </c>
      <c r="R27" s="15">
        <f t="shared" si="5"/>
        <v>16.20705263157895</v>
      </c>
      <c r="S27" s="43">
        <f t="shared" si="6"/>
        <v>4.3478260869565216E-2</v>
      </c>
      <c r="T27" s="47">
        <f t="shared" ref="T27:T43" si="26">AVERAGE(J27)</f>
        <v>20</v>
      </c>
      <c r="U27" s="44"/>
    </row>
    <row r="28" spans="1:30" ht="17.100000000000001" customHeight="1" x14ac:dyDescent="0.25">
      <c r="A28" s="14" t="s">
        <v>109</v>
      </c>
      <c r="B28" s="14">
        <v>18</v>
      </c>
      <c r="C28" s="14" t="s">
        <v>110</v>
      </c>
      <c r="D28" s="14">
        <v>25.8</v>
      </c>
      <c r="E28" s="14">
        <v>3</v>
      </c>
      <c r="F28" s="14">
        <v>1</v>
      </c>
      <c r="G28" s="14">
        <v>88</v>
      </c>
      <c r="H28" s="14">
        <v>73</v>
      </c>
      <c r="I28" s="14">
        <v>67</v>
      </c>
      <c r="J28" s="14">
        <v>65</v>
      </c>
      <c r="K28" s="14">
        <v>61</v>
      </c>
      <c r="L28" s="14">
        <v>1</v>
      </c>
      <c r="M28" s="14" t="str">
        <f t="shared" si="0"/>
        <v>OK</v>
      </c>
      <c r="N28" s="15">
        <f t="shared" si="1"/>
        <v>5</v>
      </c>
      <c r="O28" s="15" t="str">
        <f t="shared" si="2"/>
        <v>NO</v>
      </c>
      <c r="P28" s="15" t="str">
        <f t="shared" si="3"/>
        <v>Young Adult</v>
      </c>
      <c r="Q28" s="15">
        <f t="shared" si="4"/>
        <v>22.704000000000001</v>
      </c>
      <c r="R28" s="15">
        <f t="shared" si="5"/>
        <v>17.010611111111114</v>
      </c>
      <c r="S28" s="43">
        <f t="shared" si="6"/>
        <v>0.59420289855072461</v>
      </c>
      <c r="T28" s="47">
        <f t="shared" ref="T28:T43" si="27">AVERAGE(H28:J28)</f>
        <v>68.333333333333329</v>
      </c>
      <c r="U28" s="44"/>
    </row>
    <row r="29" spans="1:30" ht="17.100000000000001" customHeight="1" x14ac:dyDescent="0.25">
      <c r="A29" s="16" t="s">
        <v>111</v>
      </c>
      <c r="B29" s="16">
        <v>16</v>
      </c>
      <c r="C29" s="16" t="s">
        <v>77</v>
      </c>
      <c r="D29" s="17">
        <v>25.7</v>
      </c>
      <c r="E29" s="16">
        <v>2</v>
      </c>
      <c r="F29" s="16">
        <v>0</v>
      </c>
      <c r="G29" s="16">
        <v>77</v>
      </c>
      <c r="H29" s="16">
        <v>67</v>
      </c>
      <c r="I29" s="16">
        <v>64</v>
      </c>
      <c r="J29" s="16">
        <v>65</v>
      </c>
      <c r="K29" s="16">
        <v>67</v>
      </c>
      <c r="L29" s="16">
        <v>1</v>
      </c>
      <c r="M29" s="14" t="str">
        <f t="shared" si="0"/>
        <v>OK</v>
      </c>
      <c r="N29" s="15">
        <f t="shared" si="1"/>
        <v>3</v>
      </c>
      <c r="O29" s="15" t="str">
        <f t="shared" si="2"/>
        <v>NO</v>
      </c>
      <c r="P29" s="15" t="str">
        <f t="shared" si="3"/>
        <v>Teen</v>
      </c>
      <c r="Q29" s="15">
        <f t="shared" si="4"/>
        <v>19.788999999999998</v>
      </c>
      <c r="R29" s="15">
        <f t="shared" si="5"/>
        <v>16.675705882352943</v>
      </c>
      <c r="S29" s="43">
        <f t="shared" si="6"/>
        <v>0.6811594202898551</v>
      </c>
      <c r="T29" s="47">
        <f t="shared" ref="T29:T43" si="28">AVERAGE(J29)</f>
        <v>65</v>
      </c>
      <c r="U29" s="44"/>
    </row>
    <row r="30" spans="1:30" ht="17.100000000000001" customHeight="1" x14ac:dyDescent="0.25">
      <c r="A30" s="14" t="s">
        <v>112</v>
      </c>
      <c r="B30" s="14">
        <v>18</v>
      </c>
      <c r="C30" s="14" t="s">
        <v>73</v>
      </c>
      <c r="D30" s="14">
        <v>34.1</v>
      </c>
      <c r="E30" s="14">
        <v>3</v>
      </c>
      <c r="F30" s="14">
        <v>1</v>
      </c>
      <c r="G30" s="14">
        <v>63</v>
      </c>
      <c r="H30" s="14">
        <v>68</v>
      </c>
      <c r="I30" s="14">
        <v>73</v>
      </c>
      <c r="J30" s="14">
        <v>69</v>
      </c>
      <c r="K30" s="14">
        <v>59</v>
      </c>
      <c r="L30" s="14">
        <v>1</v>
      </c>
      <c r="M30" s="14" t="str">
        <f t="shared" si="0"/>
        <v>OK</v>
      </c>
      <c r="N30" s="15">
        <f t="shared" si="1"/>
        <v>5</v>
      </c>
      <c r="O30" s="15" t="str">
        <f t="shared" si="2"/>
        <v>NO</v>
      </c>
      <c r="P30" s="15" t="str">
        <f t="shared" si="3"/>
        <v>Young Adult</v>
      </c>
      <c r="Q30" s="15">
        <f t="shared" si="4"/>
        <v>21.483000000000001</v>
      </c>
      <c r="R30" s="15">
        <f t="shared" si="5"/>
        <v>16.481125000000002</v>
      </c>
      <c r="S30" s="43">
        <f t="shared" si="6"/>
        <v>0.56521739130434778</v>
      </c>
      <c r="T30" s="47">
        <f t="shared" ref="T30:T43" si="29">AVERAGE(H30:J30)</f>
        <v>70</v>
      </c>
      <c r="U30" s="44"/>
      <c r="V30" s="44"/>
    </row>
    <row r="31" spans="1:30" ht="17.100000000000001" customHeight="1" x14ac:dyDescent="0.25">
      <c r="A31" s="16" t="s">
        <v>113</v>
      </c>
      <c r="B31" s="16">
        <v>19</v>
      </c>
      <c r="C31" s="16" t="s">
        <v>77</v>
      </c>
      <c r="D31" s="16">
        <v>27.1</v>
      </c>
      <c r="E31" s="16">
        <v>2</v>
      </c>
      <c r="F31" s="16">
        <v>0</v>
      </c>
      <c r="G31" s="16">
        <v>84</v>
      </c>
      <c r="H31" s="16">
        <v>53</v>
      </c>
      <c r="I31" s="16">
        <v>42</v>
      </c>
      <c r="J31" s="16">
        <v>41</v>
      </c>
      <c r="K31" s="16">
        <v>54</v>
      </c>
      <c r="L31" s="16">
        <v>1</v>
      </c>
      <c r="M31" s="14" t="str">
        <f t="shared" si="0"/>
        <v>OK</v>
      </c>
      <c r="N31" s="15">
        <f t="shared" si="1"/>
        <v>3</v>
      </c>
      <c r="O31" s="15" t="str">
        <f t="shared" si="2"/>
        <v>NO</v>
      </c>
      <c r="P31" s="15" t="str">
        <f t="shared" si="3"/>
        <v>Adult</v>
      </c>
      <c r="Q31" s="15">
        <f t="shared" si="4"/>
        <v>22.763999999999999</v>
      </c>
      <c r="R31" s="15">
        <f t="shared" si="5"/>
        <v>16.147666666666662</v>
      </c>
      <c r="S31" s="43">
        <f t="shared" si="6"/>
        <v>0.49275362318840582</v>
      </c>
      <c r="T31" s="47">
        <f t="shared" ref="T31:T43" si="30">AVERAGE(J31)</f>
        <v>41</v>
      </c>
      <c r="U31" s="44"/>
      <c r="V31" s="44"/>
    </row>
    <row r="32" spans="1:30" ht="17.100000000000001" customHeight="1" x14ac:dyDescent="0.25">
      <c r="A32" s="14" t="s">
        <v>114</v>
      </c>
      <c r="B32" s="14">
        <v>17</v>
      </c>
      <c r="C32" s="14" t="s">
        <v>73</v>
      </c>
      <c r="D32" s="14">
        <v>18.8</v>
      </c>
      <c r="E32" s="14">
        <v>1</v>
      </c>
      <c r="F32" s="14">
        <v>0</v>
      </c>
      <c r="G32" s="14">
        <v>98</v>
      </c>
      <c r="H32" s="14">
        <v>43</v>
      </c>
      <c r="I32" s="14">
        <v>35</v>
      </c>
      <c r="J32" s="14">
        <v>31</v>
      </c>
      <c r="K32" s="14">
        <v>36</v>
      </c>
      <c r="L32" s="14">
        <v>0</v>
      </c>
      <c r="M32" s="14" t="str">
        <f t="shared" si="0"/>
        <v>OK</v>
      </c>
      <c r="N32" s="15">
        <f t="shared" si="1"/>
        <v>2</v>
      </c>
      <c r="O32" s="15" t="str">
        <f t="shared" si="2"/>
        <v>NO</v>
      </c>
      <c r="P32" s="15" t="str">
        <f t="shared" si="3"/>
        <v>Young Adult</v>
      </c>
      <c r="Q32" s="15">
        <f t="shared" si="4"/>
        <v>18.423999999999999</v>
      </c>
      <c r="R32" s="15">
        <f t="shared" si="5"/>
        <v>15.675071428571426</v>
      </c>
      <c r="S32" s="43">
        <f t="shared" si="6"/>
        <v>0.2318840579710145</v>
      </c>
      <c r="T32" s="47">
        <f t="shared" ref="T32:T43" si="31">AVERAGE(H32:J32)</f>
        <v>36.333333333333336</v>
      </c>
      <c r="U32" s="44"/>
      <c r="V32" s="44"/>
      <c r="W32" s="117" t="s">
        <v>474</v>
      </c>
      <c r="X32" s="122">
        <f>_xlfn.SINGLE(_xlfn.PERCENTILE.INC(D5:D44,0.25))</f>
        <v>12.074999999999999</v>
      </c>
    </row>
    <row r="33" spans="1:24" ht="17.100000000000001" customHeight="1" x14ac:dyDescent="0.25">
      <c r="A33" s="16" t="s">
        <v>115</v>
      </c>
      <c r="B33" s="16">
        <v>15</v>
      </c>
      <c r="C33" s="16" t="s">
        <v>77</v>
      </c>
      <c r="D33" s="16">
        <v>5.5</v>
      </c>
      <c r="E33" s="16">
        <v>2</v>
      </c>
      <c r="F33" s="16">
        <v>2</v>
      </c>
      <c r="G33" s="16">
        <v>96</v>
      </c>
      <c r="H33" s="16">
        <v>20</v>
      </c>
      <c r="I33" s="16">
        <v>23</v>
      </c>
      <c r="J33" s="16">
        <v>21</v>
      </c>
      <c r="K33" s="16">
        <v>20</v>
      </c>
      <c r="L33" s="16">
        <v>0</v>
      </c>
      <c r="M33" s="14" t="str">
        <f t="shared" si="0"/>
        <v>OK</v>
      </c>
      <c r="N33" s="15">
        <f t="shared" si="1"/>
        <v>5</v>
      </c>
      <c r="O33" s="15" t="str">
        <f t="shared" si="2"/>
        <v>NO</v>
      </c>
      <c r="P33" s="15" t="str">
        <f t="shared" si="3"/>
        <v>Teen</v>
      </c>
      <c r="Q33" s="15">
        <f t="shared" si="4"/>
        <v>5.28</v>
      </c>
      <c r="R33" s="15">
        <f t="shared" si="5"/>
        <v>15.463615384615382</v>
      </c>
      <c r="S33" s="43">
        <f t="shared" si="6"/>
        <v>0</v>
      </c>
      <c r="T33" s="47">
        <f t="shared" ref="T33:T43" si="32">AVERAGE(J33)</f>
        <v>21</v>
      </c>
      <c r="U33" s="44"/>
      <c r="V33" s="44"/>
      <c r="W33" s="117" t="s">
        <v>475</v>
      </c>
      <c r="X33" s="117">
        <f>_xlfn.SINGLE(_xlfn.PERCENTILE.INC(D5:D44,0.75))</f>
        <v>27.05</v>
      </c>
    </row>
    <row r="34" spans="1:24" ht="17.100000000000001" customHeight="1" x14ac:dyDescent="0.25">
      <c r="A34" s="14" t="s">
        <v>116</v>
      </c>
      <c r="B34" s="14">
        <v>16</v>
      </c>
      <c r="C34" s="14" t="s">
        <v>73</v>
      </c>
      <c r="D34" s="14">
        <v>22.6</v>
      </c>
      <c r="E34" s="14">
        <v>2</v>
      </c>
      <c r="F34" s="14">
        <v>2</v>
      </c>
      <c r="G34" s="14">
        <v>94</v>
      </c>
      <c r="H34" s="14">
        <v>52</v>
      </c>
      <c r="I34" s="14">
        <v>59</v>
      </c>
      <c r="J34" s="14">
        <v>43</v>
      </c>
      <c r="K34" s="14">
        <v>58</v>
      </c>
      <c r="L34" s="14">
        <v>1</v>
      </c>
      <c r="M34" s="14" t="str">
        <f t="shared" si="0"/>
        <v>OK</v>
      </c>
      <c r="N34" s="15">
        <f t="shared" si="1"/>
        <v>5</v>
      </c>
      <c r="O34" s="15" t="str">
        <f t="shared" si="2"/>
        <v>NO</v>
      </c>
      <c r="P34" s="15" t="str">
        <f t="shared" si="3"/>
        <v>Teen</v>
      </c>
      <c r="Q34" s="15">
        <f t="shared" si="4"/>
        <v>21.244</v>
      </c>
      <c r="R34" s="15">
        <f t="shared" si="5"/>
        <v>16.312249999999995</v>
      </c>
      <c r="S34" s="43">
        <f t="shared" si="6"/>
        <v>0.55072463768115942</v>
      </c>
      <c r="T34" s="47">
        <f t="shared" ref="T34:T43" si="33">AVERAGE(H34:J34)</f>
        <v>51.333333333333336</v>
      </c>
      <c r="U34" s="44"/>
      <c r="V34" s="44"/>
      <c r="W34" s="117" t="s">
        <v>96</v>
      </c>
      <c r="X34" s="122">
        <f>X33-X32</f>
        <v>14.975000000000001</v>
      </c>
    </row>
    <row r="35" spans="1:24" ht="17.100000000000001" customHeight="1" x14ac:dyDescent="0.25">
      <c r="A35" s="16" t="s">
        <v>117</v>
      </c>
      <c r="B35" s="16">
        <v>18</v>
      </c>
      <c r="C35" s="16" t="s">
        <v>77</v>
      </c>
      <c r="D35" s="16">
        <v>29.8</v>
      </c>
      <c r="E35" s="16">
        <v>1</v>
      </c>
      <c r="F35" s="16">
        <v>2</v>
      </c>
      <c r="G35" s="16">
        <v>62</v>
      </c>
      <c r="H35" s="16">
        <v>57</v>
      </c>
      <c r="I35" s="16">
        <v>58</v>
      </c>
      <c r="J35" s="16">
        <v>62</v>
      </c>
      <c r="K35" s="16">
        <v>55</v>
      </c>
      <c r="L35" s="16">
        <v>1</v>
      </c>
      <c r="M35" s="14" t="str">
        <f t="shared" si="0"/>
        <v>OK</v>
      </c>
      <c r="N35" s="15">
        <f t="shared" si="1"/>
        <v>4</v>
      </c>
      <c r="O35" s="15" t="str">
        <f t="shared" si="2"/>
        <v>NO</v>
      </c>
      <c r="P35" s="15" t="str">
        <f t="shared" si="3"/>
        <v>Young Adult</v>
      </c>
      <c r="Q35" s="15">
        <f t="shared" si="4"/>
        <v>18.476000000000003</v>
      </c>
      <c r="R35" s="15">
        <f t="shared" si="5"/>
        <v>15.86390909090909</v>
      </c>
      <c r="S35" s="43">
        <f t="shared" si="6"/>
        <v>0.50724637681159424</v>
      </c>
      <c r="T35" s="47">
        <f t="shared" ref="T35:T43" si="34">AVERAGE(J35)</f>
        <v>62</v>
      </c>
      <c r="U35" s="44"/>
      <c r="V35" s="44"/>
      <c r="W35" s="118" t="s">
        <v>476</v>
      </c>
      <c r="X35" s="118">
        <f>X32-1.5*(X33-X32)</f>
        <v>-10.387500000000003</v>
      </c>
    </row>
    <row r="36" spans="1:24" ht="17.100000000000001" customHeight="1" x14ac:dyDescent="0.25">
      <c r="A36" s="14" t="s">
        <v>118</v>
      </c>
      <c r="B36" s="14">
        <v>17</v>
      </c>
      <c r="C36" s="14" t="s">
        <v>73</v>
      </c>
      <c r="D36" s="14">
        <v>18.8</v>
      </c>
      <c r="E36" s="14">
        <v>2</v>
      </c>
      <c r="F36" s="14">
        <v>1</v>
      </c>
      <c r="G36" s="14">
        <v>95</v>
      </c>
      <c r="H36" s="14">
        <v>28</v>
      </c>
      <c r="I36" s="14">
        <v>32</v>
      </c>
      <c r="J36" s="14">
        <v>33</v>
      </c>
      <c r="K36" s="14">
        <v>41</v>
      </c>
      <c r="L36" s="14">
        <v>0</v>
      </c>
      <c r="M36" s="14" t="str">
        <f t="shared" si="0"/>
        <v>OK</v>
      </c>
      <c r="N36" s="15">
        <f t="shared" si="1"/>
        <v>4</v>
      </c>
      <c r="O36" s="15" t="str">
        <f t="shared" si="2"/>
        <v>NO</v>
      </c>
      <c r="P36" s="15" t="str">
        <f t="shared" si="3"/>
        <v>Young Adult</v>
      </c>
      <c r="Q36" s="15">
        <f t="shared" si="4"/>
        <v>17.86</v>
      </c>
      <c r="R36" s="15">
        <f t="shared" si="5"/>
        <v>15.602699999999999</v>
      </c>
      <c r="S36" s="43">
        <f t="shared" si="6"/>
        <v>0.30434782608695654</v>
      </c>
      <c r="T36" s="47">
        <f t="shared" ref="T36:T43" si="35">AVERAGE(H36:J36)</f>
        <v>31</v>
      </c>
      <c r="U36" s="44"/>
      <c r="V36" s="44"/>
      <c r="W36" s="118" t="s">
        <v>477</v>
      </c>
      <c r="X36" s="118">
        <f>X33+1.5*(X33-X32)</f>
        <v>49.512500000000003</v>
      </c>
    </row>
    <row r="37" spans="1:24" ht="17.100000000000001" customHeight="1" x14ac:dyDescent="0.25">
      <c r="A37" s="16" t="s">
        <v>119</v>
      </c>
      <c r="B37" s="16">
        <v>17</v>
      </c>
      <c r="C37" s="16" t="s">
        <v>77</v>
      </c>
      <c r="D37" s="16">
        <v>8.6</v>
      </c>
      <c r="E37" s="16">
        <v>0</v>
      </c>
      <c r="F37" s="16">
        <v>2</v>
      </c>
      <c r="G37" s="16">
        <v>69</v>
      </c>
      <c r="H37" s="16">
        <v>22</v>
      </c>
      <c r="I37" s="16">
        <v>20</v>
      </c>
      <c r="J37" s="16">
        <v>20</v>
      </c>
      <c r="K37" s="16">
        <v>26</v>
      </c>
      <c r="L37" s="16">
        <v>0</v>
      </c>
      <c r="M37" s="14" t="str">
        <f t="shared" si="0"/>
        <v>OK</v>
      </c>
      <c r="N37" s="15">
        <f t="shared" si="1"/>
        <v>3</v>
      </c>
      <c r="O37" s="15" t="str">
        <f t="shared" si="2"/>
        <v>NO</v>
      </c>
      <c r="P37" s="15" t="str">
        <f t="shared" si="3"/>
        <v>Young Adult</v>
      </c>
      <c r="Q37" s="15">
        <f t="shared" si="4"/>
        <v>5.9340000000000002</v>
      </c>
      <c r="R37" s="15">
        <f t="shared" si="5"/>
        <v>15.351888888888887</v>
      </c>
      <c r="S37" s="43">
        <f t="shared" si="6"/>
        <v>8.6956521739130432E-2</v>
      </c>
      <c r="T37" s="47">
        <f t="shared" ref="T37:T43" si="36">AVERAGE(J37)</f>
        <v>20</v>
      </c>
      <c r="U37" s="44"/>
      <c r="V37" s="44"/>
      <c r="W37" s="117" t="s">
        <v>478</v>
      </c>
      <c r="X37" s="118" t="str">
        <f>IF(OR(D6&lt;X35,D6&gt;X36),"OUTLIER","OK")</f>
        <v>OK</v>
      </c>
    </row>
    <row r="38" spans="1:24" ht="17.100000000000001" customHeight="1" x14ac:dyDescent="0.25">
      <c r="A38" s="14" t="s">
        <v>120</v>
      </c>
      <c r="B38" s="14">
        <v>16</v>
      </c>
      <c r="C38" s="14" t="s">
        <v>73</v>
      </c>
      <c r="D38" s="14">
        <v>14.3</v>
      </c>
      <c r="E38" s="14">
        <v>4</v>
      </c>
      <c r="F38" s="14">
        <v>2</v>
      </c>
      <c r="G38" s="14">
        <v>75</v>
      </c>
      <c r="H38" s="14">
        <v>34</v>
      </c>
      <c r="I38" s="14">
        <v>27</v>
      </c>
      <c r="J38" s="14">
        <v>28</v>
      </c>
      <c r="K38" s="14">
        <v>44</v>
      </c>
      <c r="L38" s="14">
        <v>0</v>
      </c>
      <c r="M38" s="14" t="str">
        <f t="shared" si="0"/>
        <v>OK</v>
      </c>
      <c r="N38" s="15">
        <f t="shared" si="1"/>
        <v>7</v>
      </c>
      <c r="O38" s="15" t="str">
        <f t="shared" si="2"/>
        <v>NO</v>
      </c>
      <c r="P38" s="15" t="str">
        <f t="shared" si="3"/>
        <v>Teen</v>
      </c>
      <c r="Q38" s="15">
        <f t="shared" si="4"/>
        <v>10.725</v>
      </c>
      <c r="R38" s="15">
        <f t="shared" si="5"/>
        <v>16.529124999999997</v>
      </c>
      <c r="S38" s="43">
        <f t="shared" si="6"/>
        <v>0.34782608695652173</v>
      </c>
      <c r="T38" s="47">
        <f t="shared" ref="T38:T43" si="37">AVERAGE(H38:J38)</f>
        <v>29.666666666666668</v>
      </c>
      <c r="U38" s="44"/>
      <c r="V38" s="44"/>
      <c r="W38" s="117" t="s">
        <v>479</v>
      </c>
      <c r="X38" s="118">
        <f>COUNTIF(X37,"OUTLIER")</f>
        <v>0</v>
      </c>
    </row>
    <row r="39" spans="1:24" ht="17.100000000000001" customHeight="1" x14ac:dyDescent="0.25">
      <c r="A39" s="16" t="s">
        <v>121</v>
      </c>
      <c r="B39" s="16">
        <v>16</v>
      </c>
      <c r="C39" s="16" t="s">
        <v>77</v>
      </c>
      <c r="D39" s="16">
        <v>7.3</v>
      </c>
      <c r="E39" s="16">
        <v>1</v>
      </c>
      <c r="F39" s="16">
        <v>1</v>
      </c>
      <c r="G39" s="16">
        <v>92</v>
      </c>
      <c r="H39" s="16">
        <v>20</v>
      </c>
      <c r="I39" s="16">
        <v>20</v>
      </c>
      <c r="J39" s="16">
        <v>20</v>
      </c>
      <c r="K39" s="16">
        <v>20</v>
      </c>
      <c r="L39" s="16">
        <v>0</v>
      </c>
      <c r="M39" s="14" t="str">
        <f t="shared" si="0"/>
        <v>OK</v>
      </c>
      <c r="N39" s="15">
        <f t="shared" si="1"/>
        <v>3</v>
      </c>
      <c r="O39" s="15" t="str">
        <f t="shared" si="2"/>
        <v>NO</v>
      </c>
      <c r="P39" s="15" t="str">
        <f t="shared" si="3"/>
        <v>Teen</v>
      </c>
      <c r="Q39" s="15">
        <f t="shared" si="4"/>
        <v>6.7160000000000002</v>
      </c>
      <c r="R39" s="15">
        <f t="shared" si="5"/>
        <v>17.35828571428571</v>
      </c>
      <c r="S39" s="43">
        <f t="shared" si="6"/>
        <v>0</v>
      </c>
      <c r="T39" s="47">
        <f t="shared" ref="T39:T43" si="38">AVERAGE(J39)</f>
        <v>20</v>
      </c>
      <c r="U39" s="44"/>
      <c r="V39" s="44"/>
    </row>
    <row r="40" spans="1:24" ht="17.100000000000001" customHeight="1" x14ac:dyDescent="0.25">
      <c r="A40" s="14" t="s">
        <v>122</v>
      </c>
      <c r="B40" s="14">
        <v>17</v>
      </c>
      <c r="C40" s="14" t="s">
        <v>73</v>
      </c>
      <c r="D40" s="14">
        <v>33.5</v>
      </c>
      <c r="E40" s="14">
        <v>4</v>
      </c>
      <c r="F40" s="14">
        <v>2</v>
      </c>
      <c r="G40" s="14">
        <v>91</v>
      </c>
      <c r="H40" s="14">
        <v>81</v>
      </c>
      <c r="I40" s="14">
        <v>85</v>
      </c>
      <c r="J40" s="14">
        <v>82</v>
      </c>
      <c r="K40" s="14">
        <v>89</v>
      </c>
      <c r="L40" s="14">
        <v>1</v>
      </c>
      <c r="M40" s="14" t="str">
        <f t="shared" si="0"/>
        <v>OK</v>
      </c>
      <c r="N40" s="15">
        <f t="shared" si="1"/>
        <v>7</v>
      </c>
      <c r="O40" s="15" t="str">
        <f t="shared" si="2"/>
        <v>NO</v>
      </c>
      <c r="P40" s="15" t="str">
        <f t="shared" si="3"/>
        <v>Young Adult</v>
      </c>
      <c r="Q40" s="15">
        <f t="shared" si="4"/>
        <v>30.484999999999999</v>
      </c>
      <c r="R40" s="15">
        <f t="shared" si="5"/>
        <v>19.131999999999994</v>
      </c>
      <c r="S40" s="43">
        <f t="shared" si="6"/>
        <v>1</v>
      </c>
      <c r="T40" s="47">
        <f t="shared" ref="T40:T43" si="39">AVERAGE(H40:J40)</f>
        <v>82.666666666666671</v>
      </c>
      <c r="U40" s="44"/>
      <c r="V40" s="44"/>
    </row>
    <row r="41" spans="1:24" ht="17.100000000000001" customHeight="1" x14ac:dyDescent="0.25">
      <c r="A41" s="16" t="s">
        <v>123</v>
      </c>
      <c r="B41" s="16">
        <v>15</v>
      </c>
      <c r="C41" s="16" t="s">
        <v>77</v>
      </c>
      <c r="D41" s="16">
        <v>32.4</v>
      </c>
      <c r="E41" s="16">
        <v>1</v>
      </c>
      <c r="F41" s="16">
        <v>1</v>
      </c>
      <c r="G41" s="16">
        <v>73</v>
      </c>
      <c r="H41" s="16">
        <v>81</v>
      </c>
      <c r="I41" s="16">
        <v>68</v>
      </c>
      <c r="J41" s="16">
        <v>71</v>
      </c>
      <c r="K41" s="16">
        <v>68</v>
      </c>
      <c r="L41" s="16">
        <v>1</v>
      </c>
      <c r="M41" s="14" t="str">
        <f t="shared" si="0"/>
        <v>OK</v>
      </c>
      <c r="N41" s="15">
        <f t="shared" si="1"/>
        <v>3</v>
      </c>
      <c r="O41" s="15" t="str">
        <f t="shared" si="2"/>
        <v>NO</v>
      </c>
      <c r="P41" s="15" t="str">
        <f t="shared" si="3"/>
        <v>Teen</v>
      </c>
      <c r="Q41" s="15">
        <f t="shared" si="4"/>
        <v>23.651999999999997</v>
      </c>
      <c r="R41" s="15">
        <f t="shared" si="5"/>
        <v>16.861399999999996</v>
      </c>
      <c r="S41" s="43">
        <f t="shared" si="6"/>
        <v>0.69565217391304346</v>
      </c>
      <c r="T41" s="47">
        <f t="shared" ref="T41:T43" si="40">AVERAGE(J41)</f>
        <v>71</v>
      </c>
      <c r="U41" s="44"/>
      <c r="V41" s="44"/>
    </row>
    <row r="42" spans="1:24" ht="17.100000000000001" customHeight="1" x14ac:dyDescent="0.25">
      <c r="A42" s="14" t="s">
        <v>124</v>
      </c>
      <c r="B42" s="14">
        <v>15</v>
      </c>
      <c r="C42" s="14" t="s">
        <v>73</v>
      </c>
      <c r="D42" s="14">
        <v>32.299999999999997</v>
      </c>
      <c r="E42" s="14">
        <v>1</v>
      </c>
      <c r="F42" s="14">
        <v>1</v>
      </c>
      <c r="G42" s="14">
        <v>78</v>
      </c>
      <c r="H42" s="14">
        <v>77</v>
      </c>
      <c r="I42" s="14">
        <v>74</v>
      </c>
      <c r="J42" s="14">
        <v>84</v>
      </c>
      <c r="K42" s="14">
        <v>89</v>
      </c>
      <c r="L42" s="14">
        <v>1</v>
      </c>
      <c r="M42" s="14" t="str">
        <f t="shared" si="0"/>
        <v>OK</v>
      </c>
      <c r="N42" s="15">
        <f t="shared" si="1"/>
        <v>3</v>
      </c>
      <c r="O42" s="15" t="str">
        <f t="shared" si="2"/>
        <v>NO</v>
      </c>
      <c r="P42" s="15" t="str">
        <f t="shared" si="3"/>
        <v>Teen</v>
      </c>
      <c r="Q42" s="15">
        <f t="shared" si="4"/>
        <v>25.193999999999996</v>
      </c>
      <c r="R42" s="15">
        <f t="shared" si="5"/>
        <v>15.16375</v>
      </c>
      <c r="S42" s="43">
        <f t="shared" si="6"/>
        <v>1</v>
      </c>
      <c r="T42" s="47">
        <f t="shared" ref="T42:T43" si="41">AVERAGE(H42:J42)</f>
        <v>78.333333333333329</v>
      </c>
      <c r="U42" s="44"/>
      <c r="V42" s="44"/>
    </row>
    <row r="43" spans="1:24" ht="17.100000000000001" customHeight="1" x14ac:dyDescent="0.25">
      <c r="A43" s="16" t="s">
        <v>125</v>
      </c>
      <c r="B43" s="16">
        <v>18</v>
      </c>
      <c r="C43" s="16" t="s">
        <v>77</v>
      </c>
      <c r="D43" s="16">
        <v>21.8</v>
      </c>
      <c r="E43" s="16">
        <v>3</v>
      </c>
      <c r="F43" s="16">
        <v>0</v>
      </c>
      <c r="G43" s="16">
        <v>83</v>
      </c>
      <c r="H43" s="16">
        <v>48</v>
      </c>
      <c r="I43" s="16">
        <v>57</v>
      </c>
      <c r="J43" s="16">
        <v>48</v>
      </c>
      <c r="K43" s="16">
        <v>43</v>
      </c>
      <c r="L43" s="16">
        <v>0</v>
      </c>
      <c r="M43" s="14" t="str">
        <f t="shared" si="0"/>
        <v>OK</v>
      </c>
      <c r="N43" s="15">
        <f t="shared" si="1"/>
        <v>4</v>
      </c>
      <c r="O43" s="15" t="str">
        <f t="shared" si="2"/>
        <v>NO</v>
      </c>
      <c r="P43" s="15" t="str">
        <f t="shared" si="3"/>
        <v>Young Adult</v>
      </c>
      <c r="Q43" s="15">
        <f t="shared" si="4"/>
        <v>18.094000000000001</v>
      </c>
      <c r="R43" s="15">
        <f t="shared" si="5"/>
        <v>11.820333333333336</v>
      </c>
      <c r="S43" s="43">
        <f t="shared" si="6"/>
        <v>0.33333333333333331</v>
      </c>
      <c r="T43" s="47">
        <f t="shared" ref="T43" si="42">AVERAGE(J43)</f>
        <v>48</v>
      </c>
      <c r="U43" s="44"/>
      <c r="V43" s="44"/>
    </row>
    <row r="44" spans="1:24" ht="17.100000000000001" customHeight="1" x14ac:dyDescent="0.25">
      <c r="A44" s="14" t="s">
        <v>126</v>
      </c>
      <c r="B44" s="14">
        <v>15</v>
      </c>
      <c r="C44" s="14" t="s">
        <v>73</v>
      </c>
      <c r="D44" s="14">
        <v>18.100000000000001</v>
      </c>
      <c r="E44" s="14">
        <v>3</v>
      </c>
      <c r="F44" s="14">
        <v>0</v>
      </c>
      <c r="G44" s="14">
        <v>78</v>
      </c>
      <c r="H44" s="14">
        <v>39</v>
      </c>
      <c r="I44" s="14">
        <v>29</v>
      </c>
      <c r="J44" s="14">
        <v>39</v>
      </c>
      <c r="K44" s="14">
        <v>32</v>
      </c>
      <c r="L44" s="14">
        <v>0</v>
      </c>
      <c r="M44" s="14" t="str">
        <f t="shared" si="0"/>
        <v>OK</v>
      </c>
      <c r="N44" s="15">
        <f t="shared" si="1"/>
        <v>4</v>
      </c>
      <c r="O44" s="15" t="str">
        <f t="shared" si="2"/>
        <v>NO</v>
      </c>
      <c r="P44" s="15" t="str">
        <f t="shared" si="3"/>
        <v>Teen</v>
      </c>
      <c r="Q44" s="15">
        <f t="shared" si="4"/>
        <v>14.118000000000002</v>
      </c>
      <c r="R44" s="15">
        <f t="shared" si="5"/>
        <v>8.6835000000000022</v>
      </c>
      <c r="S44" s="43">
        <f t="shared" si="6"/>
        <v>0.17391304347826086</v>
      </c>
      <c r="T44" s="47" t="s">
        <v>74</v>
      </c>
      <c r="U44" s="44"/>
      <c r="V44" s="44"/>
    </row>
    <row r="45" spans="1:24" ht="17.100000000000001" customHeight="1" x14ac:dyDescent="0.25">
      <c r="A45" s="16" t="s">
        <v>127</v>
      </c>
      <c r="B45" s="16">
        <v>17</v>
      </c>
      <c r="C45" s="16" t="s">
        <v>77</v>
      </c>
      <c r="D45" s="16">
        <v>5.7</v>
      </c>
      <c r="E45" s="16">
        <v>2</v>
      </c>
      <c r="F45" s="16">
        <v>2</v>
      </c>
      <c r="G45" s="16">
        <v>57</v>
      </c>
      <c r="H45" s="16">
        <v>20</v>
      </c>
      <c r="I45" s="16">
        <v>20</v>
      </c>
      <c r="J45" s="16">
        <v>24</v>
      </c>
      <c r="K45" s="16">
        <v>28</v>
      </c>
      <c r="L45" s="16">
        <v>0</v>
      </c>
      <c r="M45" s="14" t="str">
        <f t="shared" si="0"/>
        <v>OK</v>
      </c>
      <c r="N45" s="15">
        <f t="shared" si="1"/>
        <v>5</v>
      </c>
      <c r="O45" s="15" t="str">
        <f t="shared" si="2"/>
        <v>NO</v>
      </c>
      <c r="P45" s="15" t="str">
        <f t="shared" si="3"/>
        <v>Young Adult</v>
      </c>
      <c r="Q45" s="15">
        <f t="shared" si="4"/>
        <v>3.2490000000000006</v>
      </c>
      <c r="R45" s="15">
        <f t="shared" si="5"/>
        <v>3.2490000000000006</v>
      </c>
      <c r="S45" s="43">
        <f t="shared" si="6"/>
        <v>0.11594202898550725</v>
      </c>
      <c r="T45" s="47" t="s">
        <v>74</v>
      </c>
      <c r="U45" s="44"/>
      <c r="V45" s="44"/>
    </row>
    <row r="46" spans="1:24" x14ac:dyDescent="0.25">
      <c r="K46" t="s">
        <v>49</v>
      </c>
      <c r="L46" s="67">
        <f>COUNTIF(L6:L45,1)/COUNT(L6:L45)</f>
        <v>0.42499999999999999</v>
      </c>
      <c r="T46" s="46"/>
      <c r="U46" s="49"/>
    </row>
    <row r="47" spans="1:24" x14ac:dyDescent="0.25">
      <c r="K47" t="s">
        <v>473</v>
      </c>
      <c r="L47" s="67">
        <f>COUNTIF(L6:L46,0)/COUNT(L6:L46)</f>
        <v>0.56097560975609762</v>
      </c>
    </row>
    <row r="51" spans="1:4" x14ac:dyDescent="0.25">
      <c r="A51" s="64">
        <f>COUNTBLANK(D6:D45)</f>
        <v>1</v>
      </c>
      <c r="D51" s="42">
        <f>COUNTIFS(C6:C45,"F",L6:L45,1)</f>
        <v>8</v>
      </c>
    </row>
    <row r="53" spans="1:4" x14ac:dyDescent="0.25">
      <c r="A53" s="64">
        <f>COUNTBLANK(G6:G45)</f>
        <v>1</v>
      </c>
    </row>
  </sheetData>
  <mergeCells count="4">
    <mergeCell ref="A2:T2"/>
    <mergeCell ref="A1:T1"/>
    <mergeCell ref="V19:Z19"/>
    <mergeCell ref="V4:Z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1"/>
  <sheetViews>
    <sheetView topLeftCell="A25" workbookViewId="0">
      <selection activeCell="S6" sqref="S6"/>
    </sheetView>
  </sheetViews>
  <sheetFormatPr defaultRowHeight="15" x14ac:dyDescent="0.25"/>
  <cols>
    <col min="1" max="1" width="12.42578125" bestFit="1" customWidth="1"/>
    <col min="2" max="2" width="18.5703125" bestFit="1" customWidth="1"/>
    <col min="3" max="3" width="19.42578125" bestFit="1" customWidth="1"/>
    <col min="4" max="7" width="3.42578125" bestFit="1" customWidth="1"/>
    <col min="8" max="8" width="8.7109375" bestFit="1" customWidth="1"/>
  </cols>
  <sheetData>
    <row r="1" spans="1:8" ht="27.95" customHeight="1" x14ac:dyDescent="0.25">
      <c r="A1" s="85" t="s">
        <v>128</v>
      </c>
      <c r="B1" s="69"/>
      <c r="C1" s="69"/>
      <c r="D1" s="69"/>
      <c r="E1" s="69"/>
      <c r="F1" s="69"/>
      <c r="G1" s="69"/>
      <c r="H1" s="69"/>
    </row>
    <row r="2" spans="1:8" ht="18" customHeight="1" x14ac:dyDescent="0.25">
      <c r="A2" s="84" t="s">
        <v>129</v>
      </c>
      <c r="B2" s="69"/>
      <c r="C2" s="69"/>
      <c r="D2" s="69"/>
      <c r="E2" s="69"/>
      <c r="F2" s="69"/>
      <c r="G2" s="69"/>
      <c r="H2" s="69"/>
    </row>
    <row r="3" spans="1:8" ht="8.1" customHeight="1" x14ac:dyDescent="0.25"/>
    <row r="4" spans="1:8" ht="21.95" customHeight="1" x14ac:dyDescent="0.25">
      <c r="A4" s="19" t="s">
        <v>130</v>
      </c>
      <c r="B4" s="19" t="s">
        <v>131</v>
      </c>
      <c r="C4" s="19" t="s">
        <v>132</v>
      </c>
      <c r="D4" s="19" t="s">
        <v>133</v>
      </c>
      <c r="E4" s="19" t="s">
        <v>134</v>
      </c>
      <c r="F4" s="19" t="s">
        <v>135</v>
      </c>
      <c r="G4" s="19" t="s">
        <v>136</v>
      </c>
      <c r="H4" s="19" t="s">
        <v>137</v>
      </c>
    </row>
    <row r="5" spans="1:8" ht="18" customHeight="1" x14ac:dyDescent="0.25">
      <c r="A5" s="20" t="s">
        <v>138</v>
      </c>
      <c r="B5" s="21">
        <v>1</v>
      </c>
      <c r="C5" s="21">
        <v>1</v>
      </c>
      <c r="D5" s="22">
        <f>IF(AND(B5=1,C5=1),1,0)</f>
        <v>1</v>
      </c>
      <c r="E5" s="22">
        <f>IF(AND(B5=0,C5=1),1,0)</f>
        <v>0</v>
      </c>
      <c r="F5" s="22">
        <f>IF(AND(B5=0,C5=0),1,0)</f>
        <v>0</v>
      </c>
      <c r="G5" s="22">
        <f>IF(AND(B5=1,C5=0),1,0)</f>
        <v>0</v>
      </c>
      <c r="H5" s="23" t="str">
        <f t="shared" ref="H5:H24" si="0">IF(B5=C5,"✓","✗")</f>
        <v>✓</v>
      </c>
    </row>
    <row r="6" spans="1:8" ht="18" customHeight="1" x14ac:dyDescent="0.25">
      <c r="A6" s="24" t="s">
        <v>139</v>
      </c>
      <c r="B6" s="21">
        <v>1</v>
      </c>
      <c r="C6" s="21">
        <v>1</v>
      </c>
      <c r="D6" s="22">
        <f t="shared" ref="D6:D24" si="1">IF(AND(B6=1,C6=1),1,0)</f>
        <v>1</v>
      </c>
      <c r="E6" s="22">
        <f t="shared" ref="E6:E24" si="2">IF(AND(B6=0,C6=1),1,0)</f>
        <v>0</v>
      </c>
      <c r="F6" s="22">
        <f t="shared" ref="F6:F24" si="3">IF(AND(B6=0,C6=0),1,0)</f>
        <v>0</v>
      </c>
      <c r="G6" s="22">
        <f t="shared" ref="G6:G24" si="4">IF(AND(B6=1,C6=0),1,0)</f>
        <v>0</v>
      </c>
      <c r="H6" s="25" t="str">
        <f t="shared" si="0"/>
        <v>✓</v>
      </c>
    </row>
    <row r="7" spans="1:8" ht="18" customHeight="1" x14ac:dyDescent="0.25">
      <c r="A7" s="20" t="s">
        <v>140</v>
      </c>
      <c r="B7" s="21">
        <v>1</v>
      </c>
      <c r="C7" s="21">
        <v>1</v>
      </c>
      <c r="D7" s="22">
        <f t="shared" si="1"/>
        <v>1</v>
      </c>
      <c r="E7" s="22">
        <f t="shared" si="2"/>
        <v>0</v>
      </c>
      <c r="F7" s="22">
        <f t="shared" si="3"/>
        <v>0</v>
      </c>
      <c r="G7" s="22">
        <f t="shared" si="4"/>
        <v>0</v>
      </c>
      <c r="H7" s="23" t="str">
        <f t="shared" si="0"/>
        <v>✓</v>
      </c>
    </row>
    <row r="8" spans="1:8" ht="18" customHeight="1" x14ac:dyDescent="0.25">
      <c r="A8" s="24" t="s">
        <v>141</v>
      </c>
      <c r="B8" s="21">
        <v>1</v>
      </c>
      <c r="C8" s="21">
        <v>1</v>
      </c>
      <c r="D8" s="22">
        <f t="shared" si="1"/>
        <v>1</v>
      </c>
      <c r="E8" s="22">
        <f t="shared" si="2"/>
        <v>0</v>
      </c>
      <c r="F8" s="22">
        <f t="shared" si="3"/>
        <v>0</v>
      </c>
      <c r="G8" s="22">
        <f t="shared" si="4"/>
        <v>0</v>
      </c>
      <c r="H8" s="25" t="str">
        <f t="shared" si="0"/>
        <v>✓</v>
      </c>
    </row>
    <row r="9" spans="1:8" ht="18" customHeight="1" x14ac:dyDescent="0.25">
      <c r="A9" s="20" t="s">
        <v>142</v>
      </c>
      <c r="B9" s="21">
        <v>1</v>
      </c>
      <c r="C9" s="21">
        <v>1</v>
      </c>
      <c r="D9" s="22">
        <f t="shared" si="1"/>
        <v>1</v>
      </c>
      <c r="E9" s="22">
        <f t="shared" si="2"/>
        <v>0</v>
      </c>
      <c r="F9" s="22">
        <f t="shared" si="3"/>
        <v>0</v>
      </c>
      <c r="G9" s="22">
        <f t="shared" si="4"/>
        <v>0</v>
      </c>
      <c r="H9" s="23" t="str">
        <f t="shared" si="0"/>
        <v>✓</v>
      </c>
    </row>
    <row r="10" spans="1:8" ht="18" customHeight="1" x14ac:dyDescent="0.25">
      <c r="A10" s="24" t="s">
        <v>143</v>
      </c>
      <c r="B10" s="21">
        <v>1</v>
      </c>
      <c r="C10" s="26">
        <v>0</v>
      </c>
      <c r="D10" s="22">
        <f t="shared" si="1"/>
        <v>0</v>
      </c>
      <c r="E10" s="22">
        <f t="shared" si="2"/>
        <v>0</v>
      </c>
      <c r="F10" s="22">
        <f t="shared" si="3"/>
        <v>0</v>
      </c>
      <c r="G10" s="22">
        <f t="shared" si="4"/>
        <v>1</v>
      </c>
      <c r="H10" s="25" t="str">
        <f t="shared" si="0"/>
        <v>✗</v>
      </c>
    </row>
    <row r="11" spans="1:8" ht="18" customHeight="1" x14ac:dyDescent="0.25">
      <c r="A11" s="20" t="s">
        <v>144</v>
      </c>
      <c r="B11" s="21">
        <v>1</v>
      </c>
      <c r="C11" s="26">
        <v>0</v>
      </c>
      <c r="D11" s="22">
        <f t="shared" si="1"/>
        <v>0</v>
      </c>
      <c r="E11" s="22">
        <f t="shared" si="2"/>
        <v>0</v>
      </c>
      <c r="F11" s="22">
        <f t="shared" si="3"/>
        <v>0</v>
      </c>
      <c r="G11" s="22">
        <f t="shared" si="4"/>
        <v>1</v>
      </c>
      <c r="H11" s="23" t="str">
        <f t="shared" si="0"/>
        <v>✗</v>
      </c>
    </row>
    <row r="12" spans="1:8" ht="18" customHeight="1" x14ac:dyDescent="0.25">
      <c r="A12" s="24" t="s">
        <v>145</v>
      </c>
      <c r="B12" s="21">
        <v>1</v>
      </c>
      <c r="C12" s="21">
        <v>1</v>
      </c>
      <c r="D12" s="22">
        <f t="shared" si="1"/>
        <v>1</v>
      </c>
      <c r="E12" s="22">
        <f t="shared" si="2"/>
        <v>0</v>
      </c>
      <c r="F12" s="22">
        <f t="shared" si="3"/>
        <v>0</v>
      </c>
      <c r="G12" s="22">
        <f t="shared" si="4"/>
        <v>0</v>
      </c>
      <c r="H12" s="25" t="str">
        <f t="shared" si="0"/>
        <v>✓</v>
      </c>
    </row>
    <row r="13" spans="1:8" ht="18" customHeight="1" x14ac:dyDescent="0.25">
      <c r="A13" s="20" t="s">
        <v>146</v>
      </c>
      <c r="B13" s="21">
        <v>1</v>
      </c>
      <c r="C13" s="21">
        <v>1</v>
      </c>
      <c r="D13" s="22">
        <f t="shared" si="1"/>
        <v>1</v>
      </c>
      <c r="E13" s="22">
        <f t="shared" si="2"/>
        <v>0</v>
      </c>
      <c r="F13" s="22">
        <f t="shared" si="3"/>
        <v>0</v>
      </c>
      <c r="G13" s="22">
        <f t="shared" si="4"/>
        <v>0</v>
      </c>
      <c r="H13" s="23" t="str">
        <f t="shared" si="0"/>
        <v>✓</v>
      </c>
    </row>
    <row r="14" spans="1:8" ht="18" customHeight="1" x14ac:dyDescent="0.25">
      <c r="A14" s="24" t="s">
        <v>147</v>
      </c>
      <c r="B14" s="21">
        <v>1</v>
      </c>
      <c r="C14" s="21">
        <v>1</v>
      </c>
      <c r="D14" s="22">
        <f t="shared" si="1"/>
        <v>1</v>
      </c>
      <c r="E14" s="22">
        <f t="shared" si="2"/>
        <v>0</v>
      </c>
      <c r="F14" s="22">
        <f t="shared" si="3"/>
        <v>0</v>
      </c>
      <c r="G14" s="22">
        <f t="shared" si="4"/>
        <v>0</v>
      </c>
      <c r="H14" s="25" t="str">
        <f t="shared" si="0"/>
        <v>✓</v>
      </c>
    </row>
    <row r="15" spans="1:8" ht="18" customHeight="1" x14ac:dyDescent="0.25">
      <c r="A15" s="20" t="s">
        <v>148</v>
      </c>
      <c r="B15" s="26">
        <v>0</v>
      </c>
      <c r="C15" s="26">
        <v>0</v>
      </c>
      <c r="D15" s="22">
        <f t="shared" si="1"/>
        <v>0</v>
      </c>
      <c r="E15" s="22">
        <f t="shared" si="2"/>
        <v>0</v>
      </c>
      <c r="F15" s="22">
        <f t="shared" si="3"/>
        <v>1</v>
      </c>
      <c r="G15" s="22">
        <f t="shared" si="4"/>
        <v>0</v>
      </c>
      <c r="H15" s="23" t="str">
        <f t="shared" si="0"/>
        <v>✓</v>
      </c>
    </row>
    <row r="16" spans="1:8" ht="18" customHeight="1" x14ac:dyDescent="0.25">
      <c r="A16" s="24" t="s">
        <v>149</v>
      </c>
      <c r="B16" s="26">
        <v>0</v>
      </c>
      <c r="C16" s="26">
        <v>0</v>
      </c>
      <c r="D16" s="22">
        <f t="shared" si="1"/>
        <v>0</v>
      </c>
      <c r="E16" s="22">
        <f t="shared" si="2"/>
        <v>0</v>
      </c>
      <c r="F16" s="22">
        <f t="shared" si="3"/>
        <v>1</v>
      </c>
      <c r="G16" s="22">
        <f t="shared" si="4"/>
        <v>0</v>
      </c>
      <c r="H16" s="25" t="str">
        <f t="shared" si="0"/>
        <v>✓</v>
      </c>
    </row>
    <row r="17" spans="1:8" ht="18" customHeight="1" x14ac:dyDescent="0.25">
      <c r="A17" s="20" t="s">
        <v>150</v>
      </c>
      <c r="B17" s="26">
        <v>0</v>
      </c>
      <c r="C17" s="26">
        <v>0</v>
      </c>
      <c r="D17" s="22">
        <f t="shared" si="1"/>
        <v>0</v>
      </c>
      <c r="E17" s="22">
        <f t="shared" si="2"/>
        <v>0</v>
      </c>
      <c r="F17" s="22">
        <f t="shared" si="3"/>
        <v>1</v>
      </c>
      <c r="G17" s="22">
        <f t="shared" si="4"/>
        <v>0</v>
      </c>
      <c r="H17" s="23" t="str">
        <f t="shared" si="0"/>
        <v>✓</v>
      </c>
    </row>
    <row r="18" spans="1:8" ht="18" customHeight="1" x14ac:dyDescent="0.25">
      <c r="A18" s="24" t="s">
        <v>151</v>
      </c>
      <c r="B18" s="26">
        <v>0</v>
      </c>
      <c r="C18" s="26">
        <v>0</v>
      </c>
      <c r="D18" s="22">
        <f t="shared" si="1"/>
        <v>0</v>
      </c>
      <c r="E18" s="22">
        <f t="shared" si="2"/>
        <v>0</v>
      </c>
      <c r="F18" s="22">
        <f t="shared" si="3"/>
        <v>1</v>
      </c>
      <c r="G18" s="22">
        <f t="shared" si="4"/>
        <v>0</v>
      </c>
      <c r="H18" s="25" t="str">
        <f t="shared" si="0"/>
        <v>✓</v>
      </c>
    </row>
    <row r="19" spans="1:8" ht="18" customHeight="1" x14ac:dyDescent="0.25">
      <c r="A19" s="20" t="s">
        <v>152</v>
      </c>
      <c r="B19" s="26">
        <v>0</v>
      </c>
      <c r="C19" s="21">
        <v>1</v>
      </c>
      <c r="D19" s="22">
        <f t="shared" si="1"/>
        <v>0</v>
      </c>
      <c r="E19" s="22">
        <f t="shared" si="2"/>
        <v>1</v>
      </c>
      <c r="F19" s="22">
        <f t="shared" si="3"/>
        <v>0</v>
      </c>
      <c r="G19" s="22">
        <f t="shared" si="4"/>
        <v>0</v>
      </c>
      <c r="H19" s="23" t="str">
        <f t="shared" si="0"/>
        <v>✗</v>
      </c>
    </row>
    <row r="20" spans="1:8" ht="18" customHeight="1" x14ac:dyDescent="0.25">
      <c r="A20" s="24" t="s">
        <v>153</v>
      </c>
      <c r="B20" s="26">
        <v>0</v>
      </c>
      <c r="C20" s="26">
        <v>0</v>
      </c>
      <c r="D20" s="22">
        <f t="shared" si="1"/>
        <v>0</v>
      </c>
      <c r="E20" s="22">
        <f t="shared" si="2"/>
        <v>0</v>
      </c>
      <c r="F20" s="22">
        <f t="shared" si="3"/>
        <v>1</v>
      </c>
      <c r="G20" s="22">
        <f t="shared" si="4"/>
        <v>0</v>
      </c>
      <c r="H20" s="25" t="str">
        <f t="shared" si="0"/>
        <v>✓</v>
      </c>
    </row>
    <row r="21" spans="1:8" ht="18" customHeight="1" x14ac:dyDescent="0.25">
      <c r="A21" s="20" t="s">
        <v>154</v>
      </c>
      <c r="B21" s="26">
        <v>0</v>
      </c>
      <c r="C21" s="26">
        <v>0</v>
      </c>
      <c r="D21" s="22">
        <f t="shared" si="1"/>
        <v>0</v>
      </c>
      <c r="E21" s="22">
        <f t="shared" si="2"/>
        <v>0</v>
      </c>
      <c r="F21" s="22">
        <f t="shared" si="3"/>
        <v>1</v>
      </c>
      <c r="G21" s="22">
        <f t="shared" si="4"/>
        <v>0</v>
      </c>
      <c r="H21" s="23" t="str">
        <f t="shared" si="0"/>
        <v>✓</v>
      </c>
    </row>
    <row r="22" spans="1:8" ht="18" customHeight="1" x14ac:dyDescent="0.25">
      <c r="A22" s="24" t="s">
        <v>155</v>
      </c>
      <c r="B22" s="26">
        <v>0</v>
      </c>
      <c r="C22" s="21">
        <v>1</v>
      </c>
      <c r="D22" s="22">
        <f t="shared" si="1"/>
        <v>0</v>
      </c>
      <c r="E22" s="22">
        <f t="shared" si="2"/>
        <v>1</v>
      </c>
      <c r="F22" s="22">
        <f t="shared" si="3"/>
        <v>0</v>
      </c>
      <c r="G22" s="22">
        <f t="shared" si="4"/>
        <v>0</v>
      </c>
      <c r="H22" s="25" t="str">
        <f t="shared" si="0"/>
        <v>✗</v>
      </c>
    </row>
    <row r="23" spans="1:8" ht="18" customHeight="1" x14ac:dyDescent="0.25">
      <c r="A23" s="20" t="s">
        <v>156</v>
      </c>
      <c r="B23" s="26">
        <v>0</v>
      </c>
      <c r="C23" s="26">
        <v>0</v>
      </c>
      <c r="D23" s="22">
        <f t="shared" si="1"/>
        <v>0</v>
      </c>
      <c r="E23" s="22">
        <f t="shared" si="2"/>
        <v>0</v>
      </c>
      <c r="F23" s="22">
        <f t="shared" si="3"/>
        <v>1</v>
      </c>
      <c r="G23" s="22">
        <f t="shared" si="4"/>
        <v>0</v>
      </c>
      <c r="H23" s="23" t="str">
        <f t="shared" si="0"/>
        <v>✓</v>
      </c>
    </row>
    <row r="24" spans="1:8" ht="18" customHeight="1" x14ac:dyDescent="0.25">
      <c r="A24" s="24" t="s">
        <v>157</v>
      </c>
      <c r="B24" s="26">
        <v>0</v>
      </c>
      <c r="C24" s="26">
        <v>0</v>
      </c>
      <c r="D24" s="22">
        <f t="shared" si="1"/>
        <v>0</v>
      </c>
      <c r="E24" s="22">
        <f t="shared" si="2"/>
        <v>0</v>
      </c>
      <c r="F24" s="22">
        <f t="shared" si="3"/>
        <v>1</v>
      </c>
      <c r="G24" s="22">
        <f t="shared" si="4"/>
        <v>0</v>
      </c>
      <c r="H24" s="25" t="str">
        <f t="shared" si="0"/>
        <v>✓</v>
      </c>
    </row>
    <row r="27" spans="1:8" ht="24" customHeight="1" x14ac:dyDescent="0.25">
      <c r="A27" s="71" t="s">
        <v>158</v>
      </c>
      <c r="B27" s="69"/>
      <c r="C27" s="69"/>
      <c r="D27" s="69"/>
      <c r="E27" s="69"/>
      <c r="F27" s="69"/>
      <c r="G27" s="69"/>
      <c r="H27" s="69"/>
    </row>
    <row r="28" spans="1:8" ht="21.95" customHeight="1" x14ac:dyDescent="0.25">
      <c r="A28" s="87" t="s">
        <v>159</v>
      </c>
      <c r="B28" s="88"/>
      <c r="C28" s="4" t="s">
        <v>160</v>
      </c>
    </row>
    <row r="29" spans="1:8" ht="21.95" customHeight="1" x14ac:dyDescent="0.25">
      <c r="A29" s="4" t="s">
        <v>161</v>
      </c>
      <c r="B29" s="21" t="s">
        <v>162</v>
      </c>
      <c r="C29" s="26" t="s">
        <v>163</v>
      </c>
    </row>
    <row r="30" spans="1:8" ht="21.95" customHeight="1" x14ac:dyDescent="0.25">
      <c r="A30" s="4" t="s">
        <v>164</v>
      </c>
      <c r="B30" s="26" t="s">
        <v>165</v>
      </c>
      <c r="C30" s="21" t="s">
        <v>166</v>
      </c>
    </row>
    <row r="32" spans="1:8" ht="21.95" customHeight="1" x14ac:dyDescent="0.25">
      <c r="A32" s="86" t="s">
        <v>167</v>
      </c>
      <c r="B32" s="69"/>
      <c r="C32" s="69"/>
      <c r="D32" s="69"/>
      <c r="E32" s="69"/>
      <c r="F32" s="69"/>
      <c r="G32" s="69"/>
      <c r="H32" s="69"/>
    </row>
    <row r="33" spans="1:8" ht="20.100000000000001" customHeight="1" x14ac:dyDescent="0.25">
      <c r="A33" s="27" t="s">
        <v>168</v>
      </c>
      <c r="B33" s="22">
        <f>COUNTIF(D5:D24,1)</f>
        <v>8</v>
      </c>
      <c r="C33" s="83" t="s">
        <v>169</v>
      </c>
      <c r="D33" s="69"/>
      <c r="E33" s="69"/>
      <c r="F33" s="69"/>
      <c r="G33" s="69"/>
      <c r="H33" s="69"/>
    </row>
    <row r="34" spans="1:8" ht="20.100000000000001" customHeight="1" x14ac:dyDescent="0.25">
      <c r="A34" s="27" t="s">
        <v>170</v>
      </c>
      <c r="B34" s="22">
        <f>COUNTIF(E5:E24,0)</f>
        <v>18</v>
      </c>
      <c r="C34" s="83" t="s">
        <v>171</v>
      </c>
      <c r="D34" s="69"/>
      <c r="E34" s="69"/>
      <c r="F34" s="69"/>
      <c r="G34" s="69"/>
      <c r="H34" s="69"/>
    </row>
    <row r="35" spans="1:8" ht="20.100000000000001" customHeight="1" x14ac:dyDescent="0.25">
      <c r="A35" s="27" t="s">
        <v>172</v>
      </c>
      <c r="B35" s="22">
        <f>COUNTIF(F5:F24,1)</f>
        <v>8</v>
      </c>
      <c r="C35" s="83" t="s">
        <v>173</v>
      </c>
      <c r="D35" s="69"/>
      <c r="E35" s="69"/>
      <c r="F35" s="69"/>
      <c r="G35" s="69"/>
      <c r="H35" s="69"/>
    </row>
    <row r="36" spans="1:8" ht="20.100000000000001" customHeight="1" x14ac:dyDescent="0.25">
      <c r="A36" s="27" t="s">
        <v>174</v>
      </c>
      <c r="B36" s="22">
        <f>COUNTIF(G5:G24,0)</f>
        <v>18</v>
      </c>
      <c r="C36" s="83" t="s">
        <v>175</v>
      </c>
      <c r="D36" s="69"/>
      <c r="E36" s="69"/>
      <c r="F36" s="69"/>
      <c r="G36" s="69"/>
      <c r="H36" s="69"/>
    </row>
    <row r="37" spans="1:8" ht="20.100000000000001" customHeight="1" x14ac:dyDescent="0.25">
      <c r="A37" s="27" t="s">
        <v>176</v>
      </c>
      <c r="B37" s="22">
        <f>(COUNT(D5:D24)+COUNT(F5:F24))/COUNT(D5:G24)</f>
        <v>0.5</v>
      </c>
      <c r="C37" s="83" t="s">
        <v>177</v>
      </c>
      <c r="D37" s="69"/>
      <c r="E37" s="69"/>
      <c r="F37" s="69"/>
      <c r="G37" s="69"/>
      <c r="H37" s="69"/>
    </row>
    <row r="38" spans="1:8" ht="20.100000000000001" customHeight="1" x14ac:dyDescent="0.25">
      <c r="A38" s="27" t="s">
        <v>178</v>
      </c>
      <c r="B38" s="22">
        <f>COUNT(D5:D24)/COUNT(D5:E24)</f>
        <v>0.5</v>
      </c>
      <c r="C38" s="83" t="s">
        <v>179</v>
      </c>
      <c r="D38" s="69"/>
      <c r="E38" s="69"/>
      <c r="F38" s="69"/>
      <c r="G38" s="69"/>
      <c r="H38" s="69"/>
    </row>
    <row r="39" spans="1:8" ht="20.100000000000001" customHeight="1" x14ac:dyDescent="0.25">
      <c r="A39" s="27" t="s">
        <v>180</v>
      </c>
      <c r="B39" s="22">
        <f>COUNT(D5:D24)/(COUNT(D5:D24)+COUNT(G5:G24))</f>
        <v>0.5</v>
      </c>
      <c r="C39" s="83" t="s">
        <v>181</v>
      </c>
      <c r="D39" s="69"/>
      <c r="E39" s="69"/>
      <c r="F39" s="69"/>
      <c r="G39" s="69"/>
      <c r="H39" s="69"/>
    </row>
    <row r="40" spans="1:8" ht="20.100000000000001" customHeight="1" x14ac:dyDescent="0.25">
      <c r="A40" s="27" t="s">
        <v>182</v>
      </c>
      <c r="B40" s="22">
        <f>2*B38*B39/(B39+B38)</f>
        <v>0.5</v>
      </c>
      <c r="C40" s="83" t="s">
        <v>183</v>
      </c>
      <c r="D40" s="69"/>
      <c r="E40" s="69"/>
      <c r="F40" s="69"/>
      <c r="G40" s="69"/>
      <c r="H40" s="69"/>
    </row>
    <row r="41" spans="1:8" ht="20.100000000000001" customHeight="1" x14ac:dyDescent="0.25">
      <c r="A41" s="27" t="s">
        <v>184</v>
      </c>
      <c r="B41" s="22">
        <f>COUNT(F5:F24)+(COUNT(E5:E24)+COUNT(G5:G24))</f>
        <v>60</v>
      </c>
      <c r="C41" s="83" t="s">
        <v>185</v>
      </c>
      <c r="D41" s="69"/>
      <c r="E41" s="69"/>
      <c r="F41" s="69"/>
      <c r="G41" s="69"/>
      <c r="H41" s="69"/>
    </row>
  </sheetData>
  <mergeCells count="14">
    <mergeCell ref="A1:H1"/>
    <mergeCell ref="A32:H32"/>
    <mergeCell ref="A27:H27"/>
    <mergeCell ref="C34:H34"/>
    <mergeCell ref="A28:B28"/>
    <mergeCell ref="C33:H33"/>
    <mergeCell ref="C38:H38"/>
    <mergeCell ref="C41:H41"/>
    <mergeCell ref="C36:H36"/>
    <mergeCell ref="A2:H2"/>
    <mergeCell ref="C37:H37"/>
    <mergeCell ref="C40:H40"/>
    <mergeCell ref="C39:H39"/>
    <mergeCell ref="C35:H3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0"/>
  <sheetViews>
    <sheetView showGridLines="0" workbookViewId="0">
      <pane ySplit="2" topLeftCell="A124" activePane="bottomLeft" state="frozen"/>
      <selection pane="bottomLeft" activeCell="B125" sqref="B125:H125"/>
    </sheetView>
  </sheetViews>
  <sheetFormatPr defaultRowHeight="15" x14ac:dyDescent="0.25"/>
  <cols>
    <col min="1" max="2" width="10" customWidth="1"/>
    <col min="3" max="3" width="42" customWidth="1"/>
    <col min="4" max="4" width="14" customWidth="1"/>
    <col min="5" max="5" width="22" customWidth="1"/>
    <col min="6" max="6" width="16" customWidth="1"/>
    <col min="7" max="8" width="14" customWidth="1"/>
  </cols>
  <sheetData>
    <row r="1" spans="1:8" ht="32.1" customHeight="1" x14ac:dyDescent="0.25">
      <c r="A1" s="109" t="s">
        <v>186</v>
      </c>
      <c r="B1" s="69"/>
      <c r="C1" s="69"/>
      <c r="D1" s="69"/>
      <c r="E1" s="69"/>
      <c r="F1" s="69"/>
      <c r="G1" s="69"/>
      <c r="H1" s="69"/>
    </row>
    <row r="2" spans="1:8" ht="20.100000000000001" customHeight="1" x14ac:dyDescent="0.25">
      <c r="A2" s="105" t="s">
        <v>187</v>
      </c>
      <c r="B2" s="69"/>
      <c r="C2" s="69"/>
      <c r="D2" s="69"/>
      <c r="E2" s="69"/>
      <c r="F2" s="69"/>
      <c r="G2" s="69"/>
      <c r="H2" s="69"/>
    </row>
    <row r="3" spans="1:8" ht="26.1" customHeight="1" x14ac:dyDescent="0.25">
      <c r="A3" s="104" t="s">
        <v>188</v>
      </c>
      <c r="B3" s="69"/>
      <c r="C3" s="69"/>
      <c r="D3" s="69"/>
      <c r="E3" s="69"/>
      <c r="F3" s="69"/>
      <c r="G3" s="69"/>
      <c r="H3" s="69"/>
    </row>
    <row r="4" spans="1:8" ht="39.950000000000003" customHeight="1" x14ac:dyDescent="0.25">
      <c r="A4" s="99" t="s">
        <v>189</v>
      </c>
      <c r="B4" s="69"/>
      <c r="C4" s="69"/>
      <c r="D4" s="69"/>
      <c r="E4" s="69"/>
      <c r="F4" s="69"/>
      <c r="G4" s="69"/>
      <c r="H4" s="69"/>
    </row>
    <row r="5" spans="1:8" ht="24" customHeight="1" x14ac:dyDescent="0.25">
      <c r="A5" s="28" t="s">
        <v>190</v>
      </c>
      <c r="B5" s="90">
        <f>COUNTBLANK(D5:D44)</f>
        <v>40</v>
      </c>
      <c r="C5" s="69"/>
      <c r="D5" s="69"/>
      <c r="E5" s="91" t="s">
        <v>191</v>
      </c>
      <c r="F5" s="69"/>
      <c r="G5" s="92" t="s">
        <v>192</v>
      </c>
      <c r="H5" s="69"/>
    </row>
    <row r="6" spans="1:8" ht="24" customHeight="1" x14ac:dyDescent="0.25">
      <c r="A6" s="28" t="s">
        <v>190</v>
      </c>
      <c r="B6" s="90" t="b">
        <f>ISNUMBER(D5)</f>
        <v>0</v>
      </c>
      <c r="C6" s="69"/>
      <c r="D6" s="69"/>
      <c r="E6" s="91" t="s">
        <v>193</v>
      </c>
      <c r="F6" s="69"/>
      <c r="G6" s="92" t="s">
        <v>194</v>
      </c>
      <c r="H6" s="69"/>
    </row>
    <row r="7" spans="1:8" ht="24" customHeight="1" x14ac:dyDescent="0.25">
      <c r="A7" s="28" t="s">
        <v>190</v>
      </c>
      <c r="B7" s="90" t="str">
        <f>IFERROR(D5/D5,"ERROR")</f>
        <v>ERROR</v>
      </c>
      <c r="C7" s="69"/>
      <c r="D7" s="69"/>
      <c r="E7" s="91" t="s">
        <v>195</v>
      </c>
      <c r="F7" s="69"/>
      <c r="G7" s="92" t="s">
        <v>196</v>
      </c>
      <c r="H7" s="69"/>
    </row>
    <row r="8" spans="1:8" ht="24" customHeight="1" x14ac:dyDescent="0.25">
      <c r="A8" s="28" t="s">
        <v>190</v>
      </c>
      <c r="B8" s="90" t="str">
        <f>IF(G5&gt;100,"IMPOSSIBLE",IF(G5&lt;0,"NEGATIVE","OK"))</f>
        <v>IMPOSSIBLE</v>
      </c>
      <c r="C8" s="69"/>
      <c r="D8" s="69"/>
      <c r="E8" s="91" t="s">
        <v>197</v>
      </c>
      <c r="F8" s="69"/>
      <c r="G8" s="92" t="s">
        <v>198</v>
      </c>
      <c r="H8" s="69"/>
    </row>
    <row r="9" spans="1:8" ht="39.950000000000003" customHeight="1" x14ac:dyDescent="0.25">
      <c r="A9" s="1" t="s">
        <v>199</v>
      </c>
      <c r="B9" s="101" t="s">
        <v>200</v>
      </c>
      <c r="C9" s="69"/>
      <c r="D9" s="69"/>
      <c r="E9" s="69"/>
      <c r="F9" s="69"/>
      <c r="G9" s="69"/>
      <c r="H9" s="69"/>
    </row>
    <row r="10" spans="1:8" ht="39.950000000000003" customHeight="1" x14ac:dyDescent="0.25">
      <c r="A10" s="1" t="s">
        <v>201</v>
      </c>
      <c r="B10" s="89" t="s">
        <v>202</v>
      </c>
      <c r="C10" s="69"/>
      <c r="D10" s="69"/>
      <c r="E10" s="69"/>
      <c r="F10" s="69"/>
      <c r="G10" s="69"/>
      <c r="H10" s="69"/>
    </row>
    <row r="11" spans="1:8" ht="39.950000000000003" customHeight="1" x14ac:dyDescent="0.25">
      <c r="A11" s="1" t="s">
        <v>203</v>
      </c>
      <c r="B11" s="89" t="s">
        <v>204</v>
      </c>
      <c r="C11" s="69"/>
      <c r="D11" s="69"/>
      <c r="E11" s="69"/>
      <c r="F11" s="69"/>
      <c r="G11" s="69"/>
      <c r="H11" s="69"/>
    </row>
    <row r="12" spans="1:8" ht="39.950000000000003" customHeight="1" x14ac:dyDescent="0.25">
      <c r="A12" s="1" t="s">
        <v>205</v>
      </c>
      <c r="B12" s="89" t="s">
        <v>206</v>
      </c>
      <c r="C12" s="69"/>
      <c r="D12" s="69"/>
      <c r="E12" s="69"/>
      <c r="F12" s="69"/>
      <c r="G12" s="69"/>
      <c r="H12" s="69"/>
    </row>
    <row r="13" spans="1:8" ht="39.950000000000003" customHeight="1" x14ac:dyDescent="0.25">
      <c r="A13" s="94" t="s">
        <v>207</v>
      </c>
      <c r="B13" s="69"/>
      <c r="C13" s="69"/>
      <c r="D13" s="69"/>
      <c r="E13" s="69"/>
      <c r="F13" s="69"/>
      <c r="G13" s="69"/>
      <c r="H13" s="69"/>
    </row>
    <row r="14" spans="1:8" ht="8.1" customHeight="1" x14ac:dyDescent="0.25"/>
    <row r="15" spans="1:8" ht="26.1" customHeight="1" x14ac:dyDescent="0.25">
      <c r="A15" s="103" t="s">
        <v>208</v>
      </c>
      <c r="B15" s="69"/>
      <c r="C15" s="69"/>
      <c r="D15" s="69"/>
      <c r="E15" s="69"/>
      <c r="F15" s="69"/>
      <c r="G15" s="69"/>
      <c r="H15" s="69"/>
    </row>
    <row r="16" spans="1:8" ht="39.950000000000003" customHeight="1" x14ac:dyDescent="0.25">
      <c r="A16" s="108" t="s">
        <v>209</v>
      </c>
      <c r="B16" s="69"/>
      <c r="C16" s="69"/>
      <c r="D16" s="69"/>
      <c r="E16" s="69"/>
      <c r="F16" s="69"/>
      <c r="G16" s="69"/>
      <c r="H16" s="69"/>
    </row>
    <row r="17" spans="1:8" ht="24" customHeight="1" x14ac:dyDescent="0.25">
      <c r="A17" s="30" t="s">
        <v>190</v>
      </c>
      <c r="B17" s="90" t="e">
        <f>E5+F5+1</f>
        <v>#VALUE!</v>
      </c>
      <c r="C17" s="69"/>
      <c r="D17" s="69"/>
      <c r="E17" s="91" t="s">
        <v>210</v>
      </c>
      <c r="F17" s="69"/>
      <c r="G17" s="92" t="s">
        <v>211</v>
      </c>
      <c r="H17" s="69"/>
    </row>
    <row r="18" spans="1:8" ht="24" customHeight="1" x14ac:dyDescent="0.25">
      <c r="A18" s="30" t="s">
        <v>190</v>
      </c>
      <c r="B18" s="90" t="e">
        <f>IF(E5+F5=0,1,0)</f>
        <v>#VALUE!</v>
      </c>
      <c r="C18" s="69"/>
      <c r="D18" s="69"/>
      <c r="E18" s="91" t="s">
        <v>212</v>
      </c>
      <c r="F18" s="69"/>
      <c r="G18" s="92" t="s">
        <v>213</v>
      </c>
      <c r="H18" s="69"/>
    </row>
    <row r="19" spans="1:8" ht="24" customHeight="1" x14ac:dyDescent="0.25">
      <c r="A19" s="30" t="s">
        <v>190</v>
      </c>
      <c r="B19" s="90" t="str">
        <f>IF(B5&lt;17,"Teen",IF(B5&lt;19,"Young Adult","Adult"))</f>
        <v>Adult</v>
      </c>
      <c r="C19" s="69"/>
      <c r="D19" s="69"/>
      <c r="E19" s="91" t="s">
        <v>214</v>
      </c>
      <c r="F19" s="69"/>
      <c r="G19" s="92" t="s">
        <v>215</v>
      </c>
      <c r="H19" s="69"/>
    </row>
    <row r="20" spans="1:8" ht="24" customHeight="1" x14ac:dyDescent="0.25">
      <c r="A20" s="30" t="s">
        <v>190</v>
      </c>
      <c r="B20" s="90" t="e">
        <f>D5*G5/100</f>
        <v>#VALUE!</v>
      </c>
      <c r="C20" s="69"/>
      <c r="D20" s="69"/>
      <c r="E20" s="91" t="s">
        <v>216</v>
      </c>
      <c r="F20" s="69"/>
      <c r="G20" s="92" t="s">
        <v>217</v>
      </c>
      <c r="H20" s="69"/>
    </row>
    <row r="21" spans="1:8" ht="24" customHeight="1" x14ac:dyDescent="0.25">
      <c r="A21" s="30" t="s">
        <v>190</v>
      </c>
      <c r="B21" s="90" t="str">
        <f>IF(AND(D5&gt;20,G5&gt;80),"High Effort","Normal")</f>
        <v>Normal</v>
      </c>
      <c r="C21" s="69"/>
      <c r="D21" s="69"/>
      <c r="E21" s="91" t="s">
        <v>218</v>
      </c>
      <c r="F21" s="69"/>
      <c r="G21" s="92" t="s">
        <v>219</v>
      </c>
      <c r="H21" s="69"/>
    </row>
    <row r="22" spans="1:8" ht="39.950000000000003" customHeight="1" x14ac:dyDescent="0.25">
      <c r="A22" s="2" t="s">
        <v>199</v>
      </c>
      <c r="B22" s="89" t="s">
        <v>220</v>
      </c>
      <c r="C22" s="69"/>
      <c r="D22" s="69"/>
      <c r="E22" s="69"/>
      <c r="F22" s="69"/>
      <c r="G22" s="69"/>
      <c r="H22" s="69"/>
    </row>
    <row r="23" spans="1:8" ht="39.950000000000003" customHeight="1" x14ac:dyDescent="0.25">
      <c r="A23" s="2" t="s">
        <v>201</v>
      </c>
      <c r="B23" s="89" t="s">
        <v>221</v>
      </c>
      <c r="C23" s="69"/>
      <c r="D23" s="69"/>
      <c r="E23" s="69"/>
      <c r="F23" s="69"/>
      <c r="G23" s="69"/>
      <c r="H23" s="69"/>
    </row>
    <row r="24" spans="1:8" ht="39.950000000000003" customHeight="1" x14ac:dyDescent="0.25">
      <c r="A24" s="2" t="s">
        <v>203</v>
      </c>
      <c r="B24" s="89" t="s">
        <v>222</v>
      </c>
      <c r="C24" s="69"/>
      <c r="D24" s="69"/>
      <c r="E24" s="69"/>
      <c r="F24" s="69"/>
      <c r="G24" s="69"/>
      <c r="H24" s="69"/>
    </row>
    <row r="25" spans="1:8" ht="39.950000000000003" customHeight="1" x14ac:dyDescent="0.25">
      <c r="A25" s="2" t="s">
        <v>205</v>
      </c>
      <c r="B25" s="89" t="s">
        <v>223</v>
      </c>
      <c r="C25" s="69"/>
      <c r="D25" s="69"/>
      <c r="E25" s="69"/>
      <c r="F25" s="69"/>
      <c r="G25" s="69"/>
      <c r="H25" s="69"/>
    </row>
    <row r="26" spans="1:8" ht="39.950000000000003" customHeight="1" x14ac:dyDescent="0.25">
      <c r="A26" s="2" t="s">
        <v>224</v>
      </c>
      <c r="B26" s="89" t="s">
        <v>225</v>
      </c>
      <c r="C26" s="69"/>
      <c r="D26" s="69"/>
      <c r="E26" s="69"/>
      <c r="F26" s="69"/>
      <c r="G26" s="69"/>
      <c r="H26" s="69"/>
    </row>
    <row r="27" spans="1:8" ht="8.1" customHeight="1" x14ac:dyDescent="0.25"/>
    <row r="28" spans="1:8" ht="26.1" customHeight="1" x14ac:dyDescent="0.25">
      <c r="A28" s="100" t="s">
        <v>226</v>
      </c>
      <c r="B28" s="69"/>
      <c r="C28" s="69"/>
      <c r="D28" s="69"/>
      <c r="E28" s="69"/>
      <c r="F28" s="69"/>
      <c r="G28" s="69"/>
      <c r="H28" s="69"/>
    </row>
    <row r="29" spans="1:8" ht="39.950000000000003" customHeight="1" x14ac:dyDescent="0.25">
      <c r="A29" s="102" t="s">
        <v>227</v>
      </c>
      <c r="B29" s="69"/>
      <c r="C29" s="69"/>
      <c r="D29" s="69"/>
      <c r="E29" s="69"/>
      <c r="F29" s="69"/>
      <c r="G29" s="69"/>
      <c r="H29" s="69"/>
    </row>
    <row r="30" spans="1:8" ht="24" customHeight="1" x14ac:dyDescent="0.25">
      <c r="A30" s="31" t="s">
        <v>190</v>
      </c>
      <c r="B30" s="90" t="e">
        <f ca="1">(D5-AVERAGE($D$5:$D$44))/_xludf.STDEV.S($D$5:$D$44)</f>
        <v>#DIV/0!</v>
      </c>
      <c r="C30" s="69"/>
      <c r="D30" s="69"/>
      <c r="E30" s="91" t="s">
        <v>228</v>
      </c>
      <c r="F30" s="69"/>
      <c r="G30" s="92" t="s">
        <v>229</v>
      </c>
      <c r="H30" s="69"/>
    </row>
    <row r="31" spans="1:8" ht="39.950000000000003" customHeight="1" x14ac:dyDescent="0.25">
      <c r="A31" s="3" t="s">
        <v>199</v>
      </c>
      <c r="B31" s="89" t="s">
        <v>230</v>
      </c>
      <c r="C31" s="69"/>
      <c r="D31" s="69"/>
      <c r="E31" s="69"/>
      <c r="F31" s="69"/>
      <c r="G31" s="69"/>
      <c r="H31" s="69"/>
    </row>
    <row r="32" spans="1:8" ht="39.950000000000003" customHeight="1" x14ac:dyDescent="0.25">
      <c r="A32" s="3" t="s">
        <v>201</v>
      </c>
      <c r="B32" s="89" t="s">
        <v>231</v>
      </c>
      <c r="C32" s="69"/>
      <c r="D32" s="69"/>
      <c r="E32" s="69"/>
      <c r="F32" s="69"/>
      <c r="G32" s="69"/>
      <c r="H32" s="69"/>
    </row>
    <row r="33" spans="1:8" ht="39.950000000000003" customHeight="1" x14ac:dyDescent="0.25">
      <c r="A33" s="3" t="s">
        <v>203</v>
      </c>
      <c r="B33" s="89" t="s">
        <v>232</v>
      </c>
      <c r="C33" s="69"/>
      <c r="D33" s="69"/>
      <c r="E33" s="69"/>
      <c r="F33" s="69"/>
      <c r="G33" s="69"/>
      <c r="H33" s="69"/>
    </row>
    <row r="34" spans="1:8" ht="39.950000000000003" customHeight="1" x14ac:dyDescent="0.25">
      <c r="A34" s="3" t="s">
        <v>205</v>
      </c>
      <c r="B34" s="89" t="s">
        <v>233</v>
      </c>
      <c r="C34" s="69"/>
      <c r="D34" s="69"/>
      <c r="E34" s="69"/>
      <c r="F34" s="69"/>
      <c r="G34" s="69"/>
      <c r="H34" s="69"/>
    </row>
    <row r="35" spans="1:8" ht="39.950000000000003" customHeight="1" x14ac:dyDescent="0.25">
      <c r="A35" s="3" t="s">
        <v>224</v>
      </c>
      <c r="B35" s="89" t="s">
        <v>234</v>
      </c>
      <c r="C35" s="69"/>
      <c r="D35" s="69"/>
      <c r="E35" s="69"/>
      <c r="F35" s="69"/>
      <c r="G35" s="69"/>
      <c r="H35" s="69"/>
    </row>
    <row r="36" spans="1:8" ht="39.950000000000003" customHeight="1" x14ac:dyDescent="0.25">
      <c r="A36" s="3" t="s">
        <v>235</v>
      </c>
      <c r="B36" s="89" t="s">
        <v>236</v>
      </c>
      <c r="C36" s="69"/>
      <c r="D36" s="69"/>
      <c r="E36" s="69"/>
      <c r="F36" s="69"/>
      <c r="G36" s="69"/>
      <c r="H36" s="69"/>
    </row>
    <row r="37" spans="1:8" ht="39.950000000000003" customHeight="1" x14ac:dyDescent="0.25">
      <c r="A37" s="94" t="s">
        <v>237</v>
      </c>
      <c r="B37" s="69"/>
      <c r="C37" s="69"/>
      <c r="D37" s="69"/>
      <c r="E37" s="69"/>
      <c r="F37" s="69"/>
      <c r="G37" s="69"/>
      <c r="H37" s="69"/>
    </row>
    <row r="38" spans="1:8" ht="8.1" customHeight="1" x14ac:dyDescent="0.25"/>
    <row r="39" spans="1:8" ht="26.1" customHeight="1" x14ac:dyDescent="0.25">
      <c r="A39" s="96" t="s">
        <v>238</v>
      </c>
      <c r="B39" s="69"/>
      <c r="C39" s="69"/>
      <c r="D39" s="69"/>
      <c r="E39" s="69"/>
      <c r="F39" s="69"/>
      <c r="G39" s="69"/>
      <c r="H39" s="69"/>
    </row>
    <row r="40" spans="1:8" ht="39.950000000000003" customHeight="1" x14ac:dyDescent="0.25">
      <c r="A40" s="93" t="s">
        <v>239</v>
      </c>
      <c r="B40" s="69"/>
      <c r="C40" s="69"/>
      <c r="D40" s="69"/>
      <c r="E40" s="69"/>
      <c r="F40" s="69"/>
      <c r="G40" s="69"/>
      <c r="H40" s="69"/>
    </row>
    <row r="41" spans="1:8" ht="24" customHeight="1" x14ac:dyDescent="0.25">
      <c r="A41" s="10" t="s">
        <v>190</v>
      </c>
      <c r="B41" s="90" t="e">
        <f>(K5-MIN($K$5:$K$44))/(MAX($K$5:$K$44)-MIN($K$5:$K$44))</f>
        <v>#DIV/0!</v>
      </c>
      <c r="C41" s="69"/>
      <c r="D41" s="69"/>
      <c r="E41" s="91" t="s">
        <v>240</v>
      </c>
      <c r="F41" s="69"/>
      <c r="G41" s="92" t="s">
        <v>241</v>
      </c>
      <c r="H41" s="69"/>
    </row>
    <row r="42" spans="1:8" ht="39.950000000000003" customHeight="1" x14ac:dyDescent="0.25">
      <c r="A42" s="4" t="s">
        <v>199</v>
      </c>
      <c r="B42" s="89" t="s">
        <v>242</v>
      </c>
      <c r="C42" s="69"/>
      <c r="D42" s="69"/>
      <c r="E42" s="69"/>
      <c r="F42" s="69"/>
      <c r="G42" s="69"/>
      <c r="H42" s="69"/>
    </row>
    <row r="43" spans="1:8" ht="39.950000000000003" customHeight="1" x14ac:dyDescent="0.25">
      <c r="A43" s="4" t="s">
        <v>201</v>
      </c>
      <c r="B43" s="89" t="s">
        <v>243</v>
      </c>
      <c r="C43" s="69"/>
      <c r="D43" s="69"/>
      <c r="E43" s="69"/>
      <c r="F43" s="69"/>
      <c r="G43" s="69"/>
      <c r="H43" s="69"/>
    </row>
    <row r="44" spans="1:8" ht="39.950000000000003" customHeight="1" x14ac:dyDescent="0.25">
      <c r="A44" s="4" t="s">
        <v>203</v>
      </c>
      <c r="B44" s="89" t="s">
        <v>244</v>
      </c>
      <c r="C44" s="69"/>
      <c r="D44" s="69"/>
      <c r="E44" s="69"/>
      <c r="F44" s="69"/>
      <c r="G44" s="69"/>
      <c r="H44" s="69"/>
    </row>
    <row r="45" spans="1:8" ht="39.950000000000003" customHeight="1" x14ac:dyDescent="0.25">
      <c r="A45" s="4" t="s">
        <v>205</v>
      </c>
      <c r="B45" s="89" t="s">
        <v>245</v>
      </c>
      <c r="C45" s="69"/>
      <c r="D45" s="69"/>
      <c r="E45" s="69"/>
      <c r="F45" s="69"/>
      <c r="G45" s="69"/>
      <c r="H45" s="69"/>
    </row>
    <row r="46" spans="1:8" ht="39.950000000000003" customHeight="1" x14ac:dyDescent="0.25">
      <c r="A46" s="4" t="s">
        <v>224</v>
      </c>
      <c r="B46" s="89" t="s">
        <v>246</v>
      </c>
      <c r="C46" s="69"/>
      <c r="D46" s="69"/>
      <c r="E46" s="69"/>
      <c r="F46" s="69"/>
      <c r="G46" s="69"/>
      <c r="H46" s="69"/>
    </row>
    <row r="47" spans="1:8" ht="39.950000000000003" customHeight="1" x14ac:dyDescent="0.25">
      <c r="A47" s="4" t="s">
        <v>235</v>
      </c>
      <c r="B47" s="89" t="s">
        <v>247</v>
      </c>
      <c r="C47" s="69"/>
      <c r="D47" s="69"/>
      <c r="E47" s="69"/>
      <c r="F47" s="69"/>
      <c r="G47" s="69"/>
      <c r="H47" s="69"/>
    </row>
    <row r="48" spans="1:8" ht="8.1" customHeight="1" x14ac:dyDescent="0.25"/>
    <row r="49" spans="1:8" ht="26.1" customHeight="1" x14ac:dyDescent="0.25">
      <c r="A49" s="95" t="s">
        <v>248</v>
      </c>
      <c r="B49" s="69"/>
      <c r="C49" s="69"/>
      <c r="D49" s="69"/>
      <c r="E49" s="69"/>
      <c r="F49" s="69"/>
      <c r="G49" s="69"/>
      <c r="H49" s="69"/>
    </row>
    <row r="50" spans="1:8" ht="39.950000000000003" customHeight="1" x14ac:dyDescent="0.25">
      <c r="A50" s="98" t="s">
        <v>249</v>
      </c>
      <c r="B50" s="69"/>
      <c r="C50" s="69"/>
      <c r="D50" s="69"/>
      <c r="E50" s="69"/>
      <c r="F50" s="69"/>
      <c r="G50" s="69"/>
      <c r="H50" s="69"/>
    </row>
    <row r="51" spans="1:8" ht="24" customHeight="1" x14ac:dyDescent="0.25">
      <c r="A51" s="13" t="s">
        <v>190</v>
      </c>
      <c r="B51" s="90" t="e">
        <f>_xlfn.SINGLE(_xlfn.STDEV.S(D5:D44))</f>
        <v>#DIV/0!</v>
      </c>
      <c r="C51" s="69"/>
      <c r="D51" s="69"/>
      <c r="E51" s="91" t="s">
        <v>250</v>
      </c>
      <c r="F51" s="69"/>
      <c r="G51" s="92" t="s">
        <v>251</v>
      </c>
      <c r="H51" s="69"/>
    </row>
    <row r="52" spans="1:8" ht="24" customHeight="1" x14ac:dyDescent="0.25">
      <c r="A52" s="13" t="s">
        <v>190</v>
      </c>
      <c r="B52" s="90" t="e">
        <f ca="1">_xludf.VAR.S(D5:D44)</f>
        <v>#NAME?</v>
      </c>
      <c r="C52" s="69"/>
      <c r="D52" s="69"/>
      <c r="E52" s="91" t="s">
        <v>252</v>
      </c>
      <c r="F52" s="69"/>
      <c r="G52" s="92" t="s">
        <v>253</v>
      </c>
      <c r="H52" s="69"/>
    </row>
    <row r="53" spans="1:8" ht="24" customHeight="1" x14ac:dyDescent="0.25">
      <c r="A53" s="13" t="s">
        <v>190</v>
      </c>
      <c r="B53" s="90" t="e">
        <f>SKEW(D5:D44)</f>
        <v>#DIV/0!</v>
      </c>
      <c r="C53" s="69"/>
      <c r="D53" s="69"/>
      <c r="E53" s="91" t="s">
        <v>254</v>
      </c>
      <c r="F53" s="69"/>
      <c r="G53" s="92" t="s">
        <v>255</v>
      </c>
      <c r="H53" s="69"/>
    </row>
    <row r="54" spans="1:8" ht="24" customHeight="1" x14ac:dyDescent="0.25">
      <c r="A54" s="13" t="s">
        <v>190</v>
      </c>
      <c r="B54" s="90" t="e">
        <f>KURT(D5:D44)</f>
        <v>#DIV/0!</v>
      </c>
      <c r="C54" s="69"/>
      <c r="D54" s="69"/>
      <c r="E54" s="91" t="s">
        <v>256</v>
      </c>
      <c r="F54" s="69"/>
      <c r="G54" s="92" t="s">
        <v>257</v>
      </c>
      <c r="H54" s="69"/>
    </row>
    <row r="55" spans="1:8" ht="24" customHeight="1" x14ac:dyDescent="0.25">
      <c r="A55" s="13" t="s">
        <v>190</v>
      </c>
      <c r="B55" s="90" t="e">
        <f>_xlfn.SINGLE(_xlfn.PERCENTILE.INC(D5:D44,0.25))</f>
        <v>#NUM!</v>
      </c>
      <c r="C55" s="69"/>
      <c r="D55" s="69"/>
      <c r="E55" s="91" t="s">
        <v>258</v>
      </c>
      <c r="F55" s="69"/>
      <c r="G55" s="92" t="s">
        <v>259</v>
      </c>
      <c r="H55" s="69"/>
    </row>
    <row r="56" spans="1:8" ht="24" customHeight="1" x14ac:dyDescent="0.25">
      <c r="A56" s="13" t="s">
        <v>190</v>
      </c>
      <c r="B56" s="90" t="e">
        <f ca="1">_xludf.PERCENTILE.INC(D5:D44,0.75)</f>
        <v>#NAME?</v>
      </c>
      <c r="C56" s="69"/>
      <c r="D56" s="69"/>
      <c r="E56" s="91" t="s">
        <v>260</v>
      </c>
      <c r="F56" s="69"/>
      <c r="G56" s="92" t="s">
        <v>261</v>
      </c>
      <c r="H56" s="69"/>
    </row>
    <row r="57" spans="1:8" ht="24" customHeight="1" x14ac:dyDescent="0.25">
      <c r="A57" s="13" t="s">
        <v>190</v>
      </c>
      <c r="B57" s="90" t="e">
        <f>_xlfn.PERCENTILE.INC(D5:D44,0.75)-_xlfn.PERCENTILE.INC(D5:D44,0.25)</f>
        <v>#NUM!</v>
      </c>
      <c r="C57" s="69"/>
      <c r="D57" s="69"/>
      <c r="E57" s="91" t="s">
        <v>262</v>
      </c>
      <c r="F57" s="69"/>
      <c r="G57" s="92" t="s">
        <v>263</v>
      </c>
      <c r="H57" s="69"/>
    </row>
    <row r="58" spans="1:8" ht="39.950000000000003" customHeight="1" x14ac:dyDescent="0.25">
      <c r="A58" s="5" t="s">
        <v>199</v>
      </c>
      <c r="B58" s="89" t="s">
        <v>264</v>
      </c>
      <c r="C58" s="69"/>
      <c r="D58" s="69"/>
      <c r="E58" s="69"/>
      <c r="F58" s="69"/>
      <c r="G58" s="69"/>
      <c r="H58" s="69"/>
    </row>
    <row r="59" spans="1:8" ht="39.950000000000003" customHeight="1" x14ac:dyDescent="0.25">
      <c r="A59" s="5" t="s">
        <v>201</v>
      </c>
      <c r="B59" s="89" t="s">
        <v>265</v>
      </c>
      <c r="C59" s="69"/>
      <c r="D59" s="69"/>
      <c r="E59" s="69"/>
      <c r="F59" s="69"/>
      <c r="G59" s="69"/>
      <c r="H59" s="69"/>
    </row>
    <row r="60" spans="1:8" ht="39.950000000000003" customHeight="1" x14ac:dyDescent="0.25">
      <c r="A60" s="5" t="s">
        <v>203</v>
      </c>
      <c r="B60" s="89" t="s">
        <v>266</v>
      </c>
      <c r="C60" s="69"/>
      <c r="D60" s="69"/>
      <c r="E60" s="69"/>
      <c r="F60" s="69"/>
      <c r="G60" s="69"/>
      <c r="H60" s="69"/>
    </row>
    <row r="61" spans="1:8" ht="39.950000000000003" customHeight="1" x14ac:dyDescent="0.25">
      <c r="A61" s="5" t="s">
        <v>205</v>
      </c>
      <c r="B61" s="89" t="s">
        <v>267</v>
      </c>
      <c r="C61" s="69"/>
      <c r="D61" s="69"/>
      <c r="E61" s="69"/>
      <c r="F61" s="69"/>
      <c r="G61" s="69"/>
      <c r="H61" s="69"/>
    </row>
    <row r="62" spans="1:8" ht="8.1" customHeight="1" x14ac:dyDescent="0.25"/>
    <row r="63" spans="1:8" ht="26.1" customHeight="1" x14ac:dyDescent="0.25">
      <c r="A63" s="106" t="s">
        <v>268</v>
      </c>
      <c r="B63" s="69"/>
      <c r="C63" s="69"/>
      <c r="D63" s="69"/>
      <c r="E63" s="69"/>
      <c r="F63" s="69"/>
      <c r="G63" s="69"/>
      <c r="H63" s="69"/>
    </row>
    <row r="64" spans="1:8" ht="39.950000000000003" customHeight="1" x14ac:dyDescent="0.25">
      <c r="A64" s="111" t="s">
        <v>269</v>
      </c>
      <c r="B64" s="69"/>
      <c r="C64" s="69"/>
      <c r="D64" s="69"/>
      <c r="E64" s="69"/>
      <c r="F64" s="69"/>
      <c r="G64" s="69"/>
      <c r="H64" s="69"/>
    </row>
    <row r="65" spans="1:8" ht="24" customHeight="1" x14ac:dyDescent="0.25">
      <c r="A65" s="32" t="s">
        <v>190</v>
      </c>
      <c r="B65" s="90" t="e">
        <f>CORREL($D$5:$D$44,$G$5:$G$44)</f>
        <v>#DIV/0!</v>
      </c>
      <c r="C65" s="69"/>
      <c r="D65" s="69"/>
      <c r="E65" s="91" t="s">
        <v>270</v>
      </c>
      <c r="F65" s="69"/>
      <c r="G65" s="92" t="s">
        <v>271</v>
      </c>
      <c r="H65" s="69"/>
    </row>
    <row r="66" spans="1:8" ht="39.950000000000003" customHeight="1" x14ac:dyDescent="0.25">
      <c r="A66" s="6" t="s">
        <v>199</v>
      </c>
      <c r="B66" s="89" t="s">
        <v>272</v>
      </c>
      <c r="C66" s="69"/>
      <c r="D66" s="69"/>
      <c r="E66" s="69"/>
      <c r="F66" s="69"/>
      <c r="G66" s="69"/>
      <c r="H66" s="69"/>
    </row>
    <row r="67" spans="1:8" ht="39.950000000000003" customHeight="1" x14ac:dyDescent="0.25">
      <c r="A67" s="6" t="s">
        <v>201</v>
      </c>
      <c r="B67" s="89" t="s">
        <v>273</v>
      </c>
      <c r="C67" s="69"/>
      <c r="D67" s="69"/>
      <c r="E67" s="69"/>
      <c r="F67" s="69"/>
      <c r="G67" s="69"/>
      <c r="H67" s="69"/>
    </row>
    <row r="68" spans="1:8" ht="39.950000000000003" customHeight="1" x14ac:dyDescent="0.25">
      <c r="A68" s="6" t="s">
        <v>203</v>
      </c>
      <c r="B68" s="89" t="s">
        <v>274</v>
      </c>
      <c r="C68" s="69"/>
      <c r="D68" s="69"/>
      <c r="E68" s="69"/>
      <c r="F68" s="69"/>
      <c r="G68" s="69"/>
      <c r="H68" s="69"/>
    </row>
    <row r="69" spans="1:8" ht="39.950000000000003" customHeight="1" x14ac:dyDescent="0.25">
      <c r="A69" s="6" t="s">
        <v>205</v>
      </c>
      <c r="B69" s="89" t="s">
        <v>275</v>
      </c>
      <c r="C69" s="69"/>
      <c r="D69" s="69"/>
      <c r="E69" s="69"/>
      <c r="F69" s="69"/>
      <c r="G69" s="69"/>
      <c r="H69" s="69"/>
    </row>
    <row r="70" spans="1:8" ht="39.950000000000003" customHeight="1" x14ac:dyDescent="0.25">
      <c r="A70" s="6" t="s">
        <v>224</v>
      </c>
      <c r="B70" s="89" t="s">
        <v>276</v>
      </c>
      <c r="C70" s="69"/>
      <c r="D70" s="69"/>
      <c r="E70" s="69"/>
      <c r="F70" s="69"/>
      <c r="G70" s="69"/>
      <c r="H70" s="69"/>
    </row>
    <row r="71" spans="1:8" ht="8.1" customHeight="1" x14ac:dyDescent="0.25"/>
    <row r="72" spans="1:8" ht="26.1" customHeight="1" x14ac:dyDescent="0.25">
      <c r="A72" s="97" t="s">
        <v>277</v>
      </c>
      <c r="B72" s="69"/>
      <c r="C72" s="69"/>
      <c r="D72" s="69"/>
      <c r="E72" s="69"/>
      <c r="F72" s="69"/>
      <c r="G72" s="69"/>
      <c r="H72" s="69"/>
    </row>
    <row r="73" spans="1:8" ht="39.950000000000003" customHeight="1" x14ac:dyDescent="0.25">
      <c r="A73" s="94" t="s">
        <v>278</v>
      </c>
      <c r="B73" s="69"/>
      <c r="C73" s="69"/>
      <c r="D73" s="69"/>
      <c r="E73" s="69"/>
      <c r="F73" s="69"/>
      <c r="G73" s="69"/>
      <c r="H73" s="69"/>
    </row>
    <row r="74" spans="1:8" ht="24" customHeight="1" x14ac:dyDescent="0.25">
      <c r="A74" s="33" t="s">
        <v>190</v>
      </c>
      <c r="B74" s="90">
        <f>COUNTIF(L5:L44,1)</f>
        <v>0</v>
      </c>
      <c r="C74" s="69"/>
      <c r="D74" s="69"/>
      <c r="E74" s="91" t="s">
        <v>279</v>
      </c>
      <c r="F74" s="69"/>
      <c r="G74" s="92" t="s">
        <v>280</v>
      </c>
      <c r="H74" s="69"/>
    </row>
    <row r="75" spans="1:8" ht="24" customHeight="1" x14ac:dyDescent="0.25">
      <c r="A75" s="33" t="s">
        <v>190</v>
      </c>
      <c r="B75" s="90">
        <f>COUNTIF(L5:L44,0)</f>
        <v>0</v>
      </c>
      <c r="C75" s="69"/>
      <c r="D75" s="69"/>
      <c r="E75" s="91" t="s">
        <v>281</v>
      </c>
      <c r="F75" s="69"/>
      <c r="G75" s="92" t="s">
        <v>282</v>
      </c>
      <c r="H75" s="69"/>
    </row>
    <row r="76" spans="1:8" ht="24" customHeight="1" x14ac:dyDescent="0.25">
      <c r="A76" s="33" t="s">
        <v>190</v>
      </c>
      <c r="B76" s="90" t="e">
        <f>COUNTIF(L5:L44,1)/COUNTA(L5:L44)</f>
        <v>#DIV/0!</v>
      </c>
      <c r="C76" s="69"/>
      <c r="D76" s="69"/>
      <c r="E76" s="91" t="s">
        <v>283</v>
      </c>
      <c r="F76" s="69"/>
      <c r="G76" s="92" t="s">
        <v>284</v>
      </c>
      <c r="H76" s="69"/>
    </row>
    <row r="77" spans="1:8" ht="24" customHeight="1" x14ac:dyDescent="0.25">
      <c r="A77" s="33" t="s">
        <v>190</v>
      </c>
      <c r="B77" s="90">
        <f>COUNTIFS(C5:C44,"F",L5:L44,1)</f>
        <v>0</v>
      </c>
      <c r="C77" s="69"/>
      <c r="D77" s="69"/>
      <c r="E77" s="91" t="s">
        <v>285</v>
      </c>
      <c r="F77" s="69"/>
      <c r="G77" s="92" t="s">
        <v>286</v>
      </c>
      <c r="H77" s="69"/>
    </row>
    <row r="78" spans="1:8" ht="24" customHeight="1" x14ac:dyDescent="0.25">
      <c r="A78" s="33" t="s">
        <v>190</v>
      </c>
      <c r="B78" s="90">
        <f>COUNTIFS(C5:C44,"M",L5:L44,0)</f>
        <v>0</v>
      </c>
      <c r="C78" s="69"/>
      <c r="D78" s="69"/>
      <c r="E78" s="91" t="s">
        <v>287</v>
      </c>
      <c r="F78" s="69"/>
      <c r="G78" s="92" t="s">
        <v>288</v>
      </c>
      <c r="H78" s="69"/>
    </row>
    <row r="79" spans="1:8" ht="39.950000000000003" customHeight="1" x14ac:dyDescent="0.25">
      <c r="A79" s="7" t="s">
        <v>199</v>
      </c>
      <c r="B79" s="89" t="s">
        <v>289</v>
      </c>
      <c r="C79" s="69"/>
      <c r="D79" s="69"/>
      <c r="E79" s="69"/>
      <c r="F79" s="69"/>
      <c r="G79" s="69"/>
      <c r="H79" s="69"/>
    </row>
    <row r="80" spans="1:8" ht="39.950000000000003" customHeight="1" x14ac:dyDescent="0.25">
      <c r="A80" s="7" t="s">
        <v>201</v>
      </c>
      <c r="B80" s="89" t="s">
        <v>290</v>
      </c>
      <c r="C80" s="69"/>
      <c r="D80" s="69"/>
      <c r="E80" s="69"/>
      <c r="F80" s="69"/>
      <c r="G80" s="69"/>
      <c r="H80" s="69"/>
    </row>
    <row r="81" spans="1:8" ht="39.950000000000003" customHeight="1" x14ac:dyDescent="0.25">
      <c r="A81" s="7" t="s">
        <v>203</v>
      </c>
      <c r="B81" s="89" t="s">
        <v>291</v>
      </c>
      <c r="C81" s="69"/>
      <c r="D81" s="69"/>
      <c r="E81" s="69"/>
      <c r="F81" s="69"/>
      <c r="G81" s="69"/>
      <c r="H81" s="69"/>
    </row>
    <row r="82" spans="1:8" ht="39.950000000000003" customHeight="1" x14ac:dyDescent="0.25">
      <c r="A82" s="7" t="s">
        <v>205</v>
      </c>
      <c r="B82" s="89" t="s">
        <v>292</v>
      </c>
      <c r="C82" s="69"/>
      <c r="D82" s="69"/>
      <c r="E82" s="69"/>
      <c r="F82" s="69"/>
      <c r="G82" s="69"/>
      <c r="H82" s="69"/>
    </row>
    <row r="83" spans="1:8" ht="39.950000000000003" customHeight="1" x14ac:dyDescent="0.25">
      <c r="A83" s="7" t="s">
        <v>224</v>
      </c>
      <c r="B83" s="89" t="s">
        <v>293</v>
      </c>
      <c r="C83" s="69"/>
      <c r="D83" s="69"/>
      <c r="E83" s="69"/>
      <c r="F83" s="69"/>
      <c r="G83" s="69"/>
      <c r="H83" s="69"/>
    </row>
    <row r="84" spans="1:8" ht="39.950000000000003" customHeight="1" x14ac:dyDescent="0.25">
      <c r="A84" s="7" t="s">
        <v>235</v>
      </c>
      <c r="B84" s="89" t="s">
        <v>294</v>
      </c>
      <c r="C84" s="69"/>
      <c r="D84" s="69"/>
      <c r="E84" s="69"/>
      <c r="F84" s="69"/>
      <c r="G84" s="69"/>
      <c r="H84" s="69"/>
    </row>
    <row r="85" spans="1:8" ht="8.1" customHeight="1" x14ac:dyDescent="0.25"/>
    <row r="86" spans="1:8" ht="26.1" customHeight="1" x14ac:dyDescent="0.25">
      <c r="A86" s="110" t="s">
        <v>295</v>
      </c>
      <c r="B86" s="69"/>
      <c r="C86" s="69"/>
      <c r="D86" s="69"/>
      <c r="E86" s="69"/>
      <c r="F86" s="69"/>
      <c r="G86" s="69"/>
      <c r="H86" s="69"/>
    </row>
    <row r="87" spans="1:8" ht="39.950000000000003" customHeight="1" x14ac:dyDescent="0.25">
      <c r="A87" s="107" t="s">
        <v>296</v>
      </c>
      <c r="B87" s="69"/>
      <c r="C87" s="69"/>
      <c r="D87" s="69"/>
      <c r="E87" s="69"/>
      <c r="F87" s="69"/>
      <c r="G87" s="69"/>
      <c r="H87" s="69"/>
    </row>
    <row r="88" spans="1:8" ht="24" customHeight="1" x14ac:dyDescent="0.25">
      <c r="A88" s="34" t="s">
        <v>190</v>
      </c>
      <c r="B88" s="90" t="e">
        <f>_xlfn.SINGLE(_xlfn.PERCENTILE.INC(D5:D44,0.25))</f>
        <v>#NUM!</v>
      </c>
      <c r="C88" s="69"/>
      <c r="D88" s="69"/>
      <c r="E88" s="91" t="s">
        <v>297</v>
      </c>
      <c r="F88" s="69"/>
      <c r="G88" s="92" t="s">
        <v>298</v>
      </c>
      <c r="H88" s="69"/>
    </row>
    <row r="89" spans="1:8" ht="24" customHeight="1" x14ac:dyDescent="0.25">
      <c r="A89" s="34" t="s">
        <v>190</v>
      </c>
      <c r="B89" s="90" t="e">
        <f ca="1">_xludf.PERCENTILE.INC(D5:D44,0.75)</f>
        <v>#NAME?</v>
      </c>
      <c r="C89" s="69"/>
      <c r="D89" s="69"/>
      <c r="E89" s="91" t="s">
        <v>299</v>
      </c>
      <c r="F89" s="69"/>
      <c r="G89" s="92" t="s">
        <v>300</v>
      </c>
      <c r="H89" s="69"/>
    </row>
    <row r="90" spans="1:8" ht="24" customHeight="1" x14ac:dyDescent="0.25">
      <c r="A90" s="34" t="s">
        <v>190</v>
      </c>
      <c r="B90" s="90" t="e">
        <f>#REF!-Q1</f>
        <v>#REF!</v>
      </c>
      <c r="C90" s="69"/>
      <c r="D90" s="69"/>
      <c r="E90" s="91" t="s">
        <v>262</v>
      </c>
      <c r="F90" s="69"/>
      <c r="G90" s="92" t="s">
        <v>301</v>
      </c>
      <c r="H90" s="69"/>
    </row>
    <row r="91" spans="1:8" ht="24" customHeight="1" x14ac:dyDescent="0.25">
      <c r="A91" s="34" t="s">
        <v>190</v>
      </c>
      <c r="B91" s="90" t="e">
        <f>Q1-1.5*(#REF!-Q1)</f>
        <v>#REF!</v>
      </c>
      <c r="C91" s="69"/>
      <c r="D91" s="69"/>
      <c r="E91" s="91" t="s">
        <v>302</v>
      </c>
      <c r="F91" s="69"/>
      <c r="G91" s="92" t="s">
        <v>303</v>
      </c>
      <c r="H91" s="69"/>
    </row>
    <row r="92" spans="1:8" ht="24" customHeight="1" x14ac:dyDescent="0.25">
      <c r="A92" s="34" t="s">
        <v>190</v>
      </c>
      <c r="B92" s="90" t="e">
        <f>#REF!+1.5*(#REF!-Q1)</f>
        <v>#REF!</v>
      </c>
      <c r="C92" s="69"/>
      <c r="D92" s="69"/>
      <c r="E92" s="91" t="s">
        <v>304</v>
      </c>
      <c r="F92" s="69"/>
      <c r="G92" s="92" t="s">
        <v>305</v>
      </c>
      <c r="H92" s="69"/>
    </row>
    <row r="93" spans="1:8" ht="24" customHeight="1" x14ac:dyDescent="0.25">
      <c r="A93" s="34" t="s">
        <v>190</v>
      </c>
      <c r="B93" s="90" t="e">
        <f>IF(OR(D5&lt;lower,D5&gt;upper),"OUTLIER","OK")</f>
        <v>#NAME?</v>
      </c>
      <c r="C93" s="69"/>
      <c r="D93" s="69"/>
      <c r="E93" s="91" t="s">
        <v>306</v>
      </c>
      <c r="F93" s="69"/>
      <c r="G93" s="92" t="s">
        <v>307</v>
      </c>
      <c r="H93" s="69"/>
    </row>
    <row r="94" spans="1:8" ht="39.950000000000003" customHeight="1" x14ac:dyDescent="0.25">
      <c r="A94" s="8" t="s">
        <v>199</v>
      </c>
      <c r="B94" s="89" t="s">
        <v>308</v>
      </c>
      <c r="C94" s="69"/>
      <c r="D94" s="69"/>
      <c r="E94" s="69"/>
      <c r="F94" s="69"/>
      <c r="G94" s="69"/>
      <c r="H94" s="69"/>
    </row>
    <row r="95" spans="1:8" ht="39.950000000000003" customHeight="1" x14ac:dyDescent="0.25">
      <c r="A95" s="8" t="s">
        <v>201</v>
      </c>
      <c r="B95" s="101" t="s">
        <v>309</v>
      </c>
      <c r="C95" s="69"/>
      <c r="D95" s="69"/>
      <c r="E95" s="69"/>
      <c r="F95" s="69"/>
      <c r="G95" s="69"/>
      <c r="H95" s="69"/>
    </row>
    <row r="96" spans="1:8" ht="39.950000000000003" customHeight="1" x14ac:dyDescent="0.25">
      <c r="A96" s="8" t="s">
        <v>203</v>
      </c>
      <c r="B96" s="89" t="s">
        <v>310</v>
      </c>
      <c r="C96" s="69"/>
      <c r="D96" s="69"/>
      <c r="E96" s="69"/>
      <c r="F96" s="69"/>
      <c r="G96" s="69"/>
      <c r="H96" s="69"/>
    </row>
    <row r="97" spans="1:8" ht="39.950000000000003" customHeight="1" x14ac:dyDescent="0.25">
      <c r="A97" s="8" t="s">
        <v>205</v>
      </c>
      <c r="B97" s="101" t="s">
        <v>311</v>
      </c>
      <c r="C97" s="69"/>
      <c r="D97" s="69"/>
      <c r="E97" s="69"/>
      <c r="F97" s="69"/>
      <c r="G97" s="69"/>
      <c r="H97" s="69"/>
    </row>
    <row r="98" spans="1:8" ht="39.950000000000003" customHeight="1" x14ac:dyDescent="0.25">
      <c r="A98" s="8" t="s">
        <v>224</v>
      </c>
      <c r="B98" s="101" t="s">
        <v>312</v>
      </c>
      <c r="C98" s="69"/>
      <c r="D98" s="69"/>
      <c r="E98" s="69"/>
      <c r="F98" s="69"/>
      <c r="G98" s="69"/>
      <c r="H98" s="69"/>
    </row>
    <row r="99" spans="1:8" ht="39.950000000000003" customHeight="1" x14ac:dyDescent="0.25">
      <c r="A99" s="8" t="s">
        <v>235</v>
      </c>
      <c r="B99" s="114" t="s">
        <v>313</v>
      </c>
      <c r="C99" s="115"/>
      <c r="D99" s="115"/>
      <c r="E99" s="115"/>
      <c r="F99" s="115"/>
      <c r="G99" s="115"/>
      <c r="H99" s="115"/>
    </row>
    <row r="100" spans="1:8" ht="8.1" customHeight="1" x14ac:dyDescent="0.25"/>
    <row r="101" spans="1:8" ht="26.1" customHeight="1" x14ac:dyDescent="0.25">
      <c r="A101" s="104" t="s">
        <v>314</v>
      </c>
      <c r="B101" s="69"/>
      <c r="C101" s="69"/>
      <c r="D101" s="69"/>
      <c r="E101" s="69"/>
      <c r="F101" s="69"/>
      <c r="G101" s="69"/>
      <c r="H101" s="69"/>
    </row>
    <row r="102" spans="1:8" ht="39.950000000000003" customHeight="1" x14ac:dyDescent="0.25">
      <c r="A102" s="99" t="s">
        <v>315</v>
      </c>
      <c r="B102" s="69"/>
      <c r="C102" s="69"/>
      <c r="D102" s="69"/>
      <c r="E102" s="69"/>
      <c r="F102" s="69"/>
      <c r="G102" s="69"/>
      <c r="H102" s="69"/>
    </row>
    <row r="103" spans="1:8" ht="24" customHeight="1" x14ac:dyDescent="0.25">
      <c r="A103" s="28" t="s">
        <v>190</v>
      </c>
      <c r="B103" s="90">
        <f>IF(AND(B4=1,C4=1),1,0)</f>
        <v>0</v>
      </c>
      <c r="C103" s="69"/>
      <c r="D103" s="69"/>
      <c r="E103" s="91" t="s">
        <v>212</v>
      </c>
      <c r="F103" s="69"/>
      <c r="G103" s="92" t="s">
        <v>316</v>
      </c>
      <c r="H103" s="69"/>
    </row>
    <row r="104" spans="1:8" ht="24" customHeight="1" x14ac:dyDescent="0.25">
      <c r="A104" s="28" t="s">
        <v>190</v>
      </c>
      <c r="B104" s="90">
        <f>IF(AND(B4=0,C4=1),1,0)</f>
        <v>0</v>
      </c>
      <c r="C104" s="69"/>
      <c r="D104" s="69"/>
      <c r="E104" s="91" t="s">
        <v>212</v>
      </c>
      <c r="F104" s="69"/>
      <c r="G104" s="92" t="s">
        <v>317</v>
      </c>
      <c r="H104" s="69"/>
    </row>
    <row r="105" spans="1:8" ht="24" customHeight="1" x14ac:dyDescent="0.25">
      <c r="A105" s="28" t="s">
        <v>190</v>
      </c>
      <c r="B105" s="90">
        <f>IF(AND(B4=0,C4=0),1,0)</f>
        <v>1</v>
      </c>
      <c r="C105" s="69"/>
      <c r="D105" s="69"/>
      <c r="E105" s="91" t="s">
        <v>212</v>
      </c>
      <c r="F105" s="69"/>
      <c r="G105" s="92" t="s">
        <v>318</v>
      </c>
      <c r="H105" s="69"/>
    </row>
    <row r="106" spans="1:8" ht="24" customHeight="1" x14ac:dyDescent="0.25">
      <c r="A106" s="28" t="s">
        <v>190</v>
      </c>
      <c r="B106" s="90">
        <f>IF(AND(B4=1,C4=0),1,0)</f>
        <v>0</v>
      </c>
      <c r="C106" s="69"/>
      <c r="D106" s="69"/>
      <c r="E106" s="91" t="s">
        <v>212</v>
      </c>
      <c r="F106" s="69"/>
      <c r="G106" s="92" t="s">
        <v>319</v>
      </c>
      <c r="H106" s="69"/>
    </row>
    <row r="107" spans="1:8" ht="24" customHeight="1" x14ac:dyDescent="0.25">
      <c r="A107" s="28" t="s">
        <v>190</v>
      </c>
      <c r="B107" s="90" t="e">
        <f>(TP+TN)/(TP+FP+TN+FN)</f>
        <v>#NAME?</v>
      </c>
      <c r="C107" s="69"/>
      <c r="D107" s="69"/>
      <c r="E107" s="91" t="s">
        <v>320</v>
      </c>
      <c r="F107" s="69"/>
      <c r="G107" s="92" t="s">
        <v>321</v>
      </c>
      <c r="H107" s="69"/>
    </row>
    <row r="108" spans="1:8" ht="24" customHeight="1" x14ac:dyDescent="0.25">
      <c r="A108" s="28" t="s">
        <v>190</v>
      </c>
      <c r="B108" s="90" t="e">
        <f>TP/(TP+FP)</f>
        <v>#NAME?</v>
      </c>
      <c r="C108" s="69"/>
      <c r="D108" s="69"/>
      <c r="E108" s="91" t="s">
        <v>322</v>
      </c>
      <c r="F108" s="69"/>
      <c r="G108" s="92" t="s">
        <v>323</v>
      </c>
      <c r="H108" s="69"/>
    </row>
    <row r="109" spans="1:8" ht="24" customHeight="1" x14ac:dyDescent="0.25">
      <c r="A109" s="28" t="s">
        <v>190</v>
      </c>
      <c r="B109" s="90" t="e">
        <f>TP/(TP+FN)</f>
        <v>#NAME?</v>
      </c>
      <c r="C109" s="69"/>
      <c r="D109" s="69"/>
      <c r="E109" s="91" t="s">
        <v>324</v>
      </c>
      <c r="F109" s="69"/>
      <c r="G109" s="92" t="s">
        <v>325</v>
      </c>
      <c r="H109" s="69"/>
    </row>
    <row r="110" spans="1:8" ht="24" customHeight="1" x14ac:dyDescent="0.25">
      <c r="A110" s="28" t="s">
        <v>190</v>
      </c>
      <c r="B110" s="90"/>
      <c r="C110" s="69"/>
      <c r="D110" s="69"/>
      <c r="E110" s="91" t="s">
        <v>326</v>
      </c>
      <c r="F110" s="69"/>
      <c r="G110" s="92" t="s">
        <v>327</v>
      </c>
      <c r="H110" s="69"/>
    </row>
    <row r="111" spans="1:8" ht="39.950000000000003" customHeight="1" x14ac:dyDescent="0.25">
      <c r="A111" s="1" t="s">
        <v>199</v>
      </c>
      <c r="B111" s="89" t="s">
        <v>328</v>
      </c>
      <c r="C111" s="69"/>
      <c r="D111" s="69"/>
      <c r="E111" s="69"/>
      <c r="F111" s="69"/>
      <c r="G111" s="69"/>
      <c r="H111" s="69"/>
    </row>
    <row r="112" spans="1:8" ht="39.950000000000003" customHeight="1" x14ac:dyDescent="0.25">
      <c r="A112" s="1" t="s">
        <v>201</v>
      </c>
      <c r="B112" s="101" t="s">
        <v>329</v>
      </c>
      <c r="C112" s="69"/>
      <c r="D112" s="69"/>
      <c r="E112" s="69"/>
      <c r="F112" s="69"/>
      <c r="G112" s="69"/>
      <c r="H112" s="69"/>
    </row>
    <row r="113" spans="1:8" ht="39.950000000000003" customHeight="1" x14ac:dyDescent="0.25">
      <c r="A113" s="1" t="s">
        <v>203</v>
      </c>
      <c r="B113" s="101" t="s">
        <v>330</v>
      </c>
      <c r="C113" s="69"/>
      <c r="D113" s="69"/>
      <c r="E113" s="69"/>
      <c r="F113" s="69"/>
      <c r="G113" s="69"/>
      <c r="H113" s="69"/>
    </row>
    <row r="114" spans="1:8" ht="39.950000000000003" customHeight="1" x14ac:dyDescent="0.25">
      <c r="A114" s="1" t="s">
        <v>205</v>
      </c>
      <c r="B114" s="101" t="s">
        <v>331</v>
      </c>
      <c r="C114" s="69"/>
      <c r="D114" s="69"/>
      <c r="E114" s="69"/>
      <c r="F114" s="69"/>
      <c r="G114" s="69"/>
      <c r="H114" s="69"/>
    </row>
    <row r="115" spans="1:8" ht="39.950000000000003" customHeight="1" x14ac:dyDescent="0.25">
      <c r="A115" s="1" t="s">
        <v>224</v>
      </c>
      <c r="B115" s="89" t="s">
        <v>332</v>
      </c>
      <c r="C115" s="69"/>
      <c r="D115" s="69"/>
      <c r="E115" s="69"/>
      <c r="F115" s="69"/>
      <c r="G115" s="69"/>
      <c r="H115" s="69"/>
    </row>
    <row r="116" spans="1:8" ht="39.950000000000003" customHeight="1" x14ac:dyDescent="0.25">
      <c r="A116" s="1" t="s">
        <v>235</v>
      </c>
      <c r="B116" s="89" t="s">
        <v>333</v>
      </c>
      <c r="C116" s="69"/>
      <c r="D116" s="69"/>
      <c r="E116" s="69"/>
      <c r="F116" s="69"/>
      <c r="G116" s="69"/>
      <c r="H116" s="69"/>
    </row>
    <row r="117" spans="1:8" ht="39.950000000000003" customHeight="1" x14ac:dyDescent="0.25">
      <c r="A117" s="1" t="s">
        <v>334</v>
      </c>
      <c r="B117" s="101" t="s">
        <v>335</v>
      </c>
      <c r="C117" s="69"/>
      <c r="D117" s="69"/>
      <c r="E117" s="69"/>
      <c r="F117" s="69"/>
      <c r="G117" s="69"/>
      <c r="H117" s="69"/>
    </row>
    <row r="118" spans="1:8" ht="8.1" customHeight="1" x14ac:dyDescent="0.25"/>
    <row r="119" spans="1:8" ht="26.1" customHeight="1" x14ac:dyDescent="0.25">
      <c r="A119" s="96" t="s">
        <v>336</v>
      </c>
      <c r="B119" s="69"/>
      <c r="C119" s="69"/>
      <c r="D119" s="69"/>
      <c r="E119" s="69"/>
      <c r="F119" s="69"/>
      <c r="G119" s="69"/>
      <c r="H119" s="69"/>
    </row>
    <row r="120" spans="1:8" ht="39.950000000000003" customHeight="1" x14ac:dyDescent="0.25">
      <c r="A120" s="93" t="s">
        <v>337</v>
      </c>
      <c r="B120" s="69"/>
      <c r="C120" s="69"/>
      <c r="D120" s="69"/>
      <c r="E120" s="69"/>
      <c r="F120" s="69"/>
      <c r="G120" s="69"/>
      <c r="H120" s="69"/>
    </row>
    <row r="121" spans="1:8" ht="24" customHeight="1" x14ac:dyDescent="0.25">
      <c r="A121" s="10" t="s">
        <v>190</v>
      </c>
      <c r="B121" s="90" t="e">
        <f ca="1">_xludf.RANK.EQ(K5,$K$5:$K$44,0)</f>
        <v>#NAME?</v>
      </c>
      <c r="C121" s="69"/>
      <c r="D121" s="69"/>
      <c r="E121" s="91" t="s">
        <v>338</v>
      </c>
      <c r="F121" s="69"/>
      <c r="G121" s="92" t="s">
        <v>339</v>
      </c>
      <c r="H121" s="69"/>
    </row>
    <row r="122" spans="1:8" ht="24" customHeight="1" x14ac:dyDescent="0.25">
      <c r="A122" s="10" t="s">
        <v>190</v>
      </c>
      <c r="B122" s="90" t="e">
        <f ca="1">_xludf.RANK.EQ(K5,$K$5:$K$44,1)</f>
        <v>#NAME?</v>
      </c>
      <c r="C122" s="69"/>
      <c r="D122" s="69"/>
      <c r="E122" s="91" t="s">
        <v>340</v>
      </c>
      <c r="F122" s="69"/>
      <c r="G122" s="92" t="s">
        <v>341</v>
      </c>
      <c r="H122" s="69"/>
    </row>
    <row r="123" spans="1:8" ht="24" customHeight="1" x14ac:dyDescent="0.25">
      <c r="A123" s="10" t="s">
        <v>190</v>
      </c>
      <c r="B123" s="90" t="e">
        <f ca="1">IF(K5&gt;=_xludf.PERCENTILE.INC($K$5:$K$44,0.75),"Q4 Top",IF(K5&gt;=_xludf.PERCENTILE.INC($K$5:$K$44,0.5),"Q3",IF(K5&gt;=_xludf.PERCENTILE.INC($K$5:$K$44,0.25),"Q2","Q1 Bottom")))</f>
        <v>#NAME?</v>
      </c>
      <c r="C123" s="69"/>
      <c r="D123" s="69"/>
      <c r="E123" s="91" t="s">
        <v>342</v>
      </c>
      <c r="F123" s="69"/>
      <c r="G123" s="92" t="s">
        <v>343</v>
      </c>
      <c r="H123" s="69"/>
    </row>
    <row r="124" spans="1:8" ht="24" customHeight="1" x14ac:dyDescent="0.25">
      <c r="A124" s="10" t="s">
        <v>190</v>
      </c>
      <c r="B124" s="90" t="e">
        <f ca="1">_xludf.PERCENTILE.INC($K$5:$K$44,_xludf.RANK.EQ(K5,$K$5:$K$44,1)/40)</f>
        <v>#NAME?</v>
      </c>
      <c r="C124" s="69"/>
      <c r="D124" s="69"/>
      <c r="E124" s="91" t="s">
        <v>344</v>
      </c>
      <c r="F124" s="69"/>
      <c r="G124" s="92" t="s">
        <v>345</v>
      </c>
      <c r="H124" s="69"/>
    </row>
    <row r="125" spans="1:8" ht="39.950000000000003" customHeight="1" x14ac:dyDescent="0.25">
      <c r="A125" s="4" t="s">
        <v>199</v>
      </c>
      <c r="B125" s="89" t="s">
        <v>346</v>
      </c>
      <c r="C125" s="69"/>
      <c r="D125" s="69"/>
      <c r="E125" s="69"/>
      <c r="F125" s="69"/>
      <c r="G125" s="69"/>
      <c r="H125" s="69"/>
    </row>
    <row r="126" spans="1:8" ht="39.950000000000003" customHeight="1" x14ac:dyDescent="0.25">
      <c r="A126" s="4" t="s">
        <v>201</v>
      </c>
      <c r="B126" s="89" t="s">
        <v>347</v>
      </c>
      <c r="C126" s="69"/>
      <c r="D126" s="69"/>
      <c r="E126" s="69"/>
      <c r="F126" s="69"/>
      <c r="G126" s="69"/>
      <c r="H126" s="69"/>
    </row>
    <row r="127" spans="1:8" ht="39.950000000000003" customHeight="1" x14ac:dyDescent="0.25">
      <c r="A127" s="4" t="s">
        <v>203</v>
      </c>
      <c r="B127" s="89" t="s">
        <v>348</v>
      </c>
      <c r="C127" s="69"/>
      <c r="D127" s="69"/>
      <c r="E127" s="69"/>
      <c r="F127" s="69"/>
      <c r="G127" s="69"/>
      <c r="H127" s="69"/>
    </row>
    <row r="128" spans="1:8" ht="39.950000000000003" customHeight="1" x14ac:dyDescent="0.25">
      <c r="A128" s="4" t="s">
        <v>205</v>
      </c>
      <c r="B128" s="89" t="s">
        <v>349</v>
      </c>
      <c r="C128" s="69"/>
      <c r="D128" s="69"/>
      <c r="E128" s="69"/>
      <c r="F128" s="69"/>
      <c r="G128" s="69"/>
      <c r="H128" s="69"/>
    </row>
    <row r="129" spans="1:8" ht="39.950000000000003" customHeight="1" x14ac:dyDescent="0.25">
      <c r="A129" s="4" t="s">
        <v>224</v>
      </c>
      <c r="B129" s="89" t="s">
        <v>350</v>
      </c>
      <c r="C129" s="69"/>
      <c r="D129" s="69"/>
      <c r="E129" s="69"/>
      <c r="F129" s="69"/>
      <c r="G129" s="69"/>
      <c r="H129" s="69"/>
    </row>
    <row r="130" spans="1:8" ht="39.950000000000003" customHeight="1" x14ac:dyDescent="0.25">
      <c r="A130" s="4" t="s">
        <v>235</v>
      </c>
      <c r="B130" s="89" t="s">
        <v>351</v>
      </c>
      <c r="C130" s="69"/>
      <c r="D130" s="69"/>
      <c r="E130" s="69"/>
      <c r="F130" s="69"/>
      <c r="G130" s="69"/>
      <c r="H130" s="69"/>
    </row>
  </sheetData>
  <mergeCells count="205">
    <mergeCell ref="B17:D17"/>
    <mergeCell ref="B57:D57"/>
    <mergeCell ref="G30:H30"/>
    <mergeCell ref="B51:D51"/>
    <mergeCell ref="B111:H111"/>
    <mergeCell ref="G110:H110"/>
    <mergeCell ref="E108:F108"/>
    <mergeCell ref="E20:F20"/>
    <mergeCell ref="E5:F5"/>
    <mergeCell ref="E76:F76"/>
    <mergeCell ref="E107:F107"/>
    <mergeCell ref="B12:H12"/>
    <mergeCell ref="A1:H1"/>
    <mergeCell ref="G7:H7"/>
    <mergeCell ref="A102:H102"/>
    <mergeCell ref="B113:H113"/>
    <mergeCell ref="B35:H35"/>
    <mergeCell ref="A86:H86"/>
    <mergeCell ref="A64:H64"/>
    <mergeCell ref="E18:F18"/>
    <mergeCell ref="B112:H112"/>
    <mergeCell ref="G18:H18"/>
    <mergeCell ref="G52:H52"/>
    <mergeCell ref="B99:H99"/>
    <mergeCell ref="G92:H92"/>
    <mergeCell ref="G5:H5"/>
    <mergeCell ref="E8:F8"/>
    <mergeCell ref="B54:D54"/>
    <mergeCell ref="B11:H11"/>
    <mergeCell ref="A13:H13"/>
    <mergeCell ref="B105:D105"/>
    <mergeCell ref="B6:D6"/>
    <mergeCell ref="B66:H66"/>
    <mergeCell ref="G54:H54"/>
    <mergeCell ref="B60:H60"/>
    <mergeCell ref="A3:H3"/>
    <mergeCell ref="E19:F19"/>
    <mergeCell ref="E93:F93"/>
    <mergeCell ref="G20:H20"/>
    <mergeCell ref="B41:D41"/>
    <mergeCell ref="B127:H127"/>
    <mergeCell ref="G55:H55"/>
    <mergeCell ref="G104:H104"/>
    <mergeCell ref="G51:H51"/>
    <mergeCell ref="E105:F105"/>
    <mergeCell ref="E41:F41"/>
    <mergeCell ref="G106:H106"/>
    <mergeCell ref="A119:H119"/>
    <mergeCell ref="B116:H116"/>
    <mergeCell ref="B89:D89"/>
    <mergeCell ref="G108:H108"/>
    <mergeCell ref="B68:H68"/>
    <mergeCell ref="E56:F56"/>
    <mergeCell ref="B65:D65"/>
    <mergeCell ref="E53:F53"/>
    <mergeCell ref="B108:D108"/>
    <mergeCell ref="E109:F109"/>
    <mergeCell ref="E122:F122"/>
    <mergeCell ref="B84:H84"/>
    <mergeCell ref="G121:H121"/>
    <mergeCell ref="E106:F106"/>
    <mergeCell ref="E6:F6"/>
    <mergeCell ref="G53:H53"/>
    <mergeCell ref="B21:D21"/>
    <mergeCell ref="B92:D92"/>
    <mergeCell ref="G105:H105"/>
    <mergeCell ref="A101:H101"/>
    <mergeCell ref="B76:D76"/>
    <mergeCell ref="E55:F55"/>
    <mergeCell ref="A2:H2"/>
    <mergeCell ref="B42:H42"/>
    <mergeCell ref="G103:H103"/>
    <mergeCell ref="B74:D74"/>
    <mergeCell ref="B97:H97"/>
    <mergeCell ref="G8:H8"/>
    <mergeCell ref="G6:H6"/>
    <mergeCell ref="B8:D8"/>
    <mergeCell ref="E103:F103"/>
    <mergeCell ref="G41:H41"/>
    <mergeCell ref="A63:H63"/>
    <mergeCell ref="E51:F51"/>
    <mergeCell ref="B77:D77"/>
    <mergeCell ref="E91:F91"/>
    <mergeCell ref="B44:H44"/>
    <mergeCell ref="A87:H87"/>
    <mergeCell ref="B20:D20"/>
    <mergeCell ref="B9:H9"/>
    <mergeCell ref="E65:F65"/>
    <mergeCell ref="E17:F17"/>
    <mergeCell ref="B33:H33"/>
    <mergeCell ref="E57:F57"/>
    <mergeCell ref="B98:H98"/>
    <mergeCell ref="A29:H29"/>
    <mergeCell ref="B67:H67"/>
    <mergeCell ref="B82:H82"/>
    <mergeCell ref="A15:H15"/>
    <mergeCell ref="B80:H80"/>
    <mergeCell ref="B75:D75"/>
    <mergeCell ref="B95:H95"/>
    <mergeCell ref="B70:H70"/>
    <mergeCell ref="E89:F89"/>
    <mergeCell ref="B69:H69"/>
    <mergeCell ref="E88:F88"/>
    <mergeCell ref="B47:H47"/>
    <mergeCell ref="G88:H88"/>
    <mergeCell ref="B90:D90"/>
    <mergeCell ref="G78:H78"/>
    <mergeCell ref="A16:H16"/>
    <mergeCell ref="B22:H22"/>
    <mergeCell ref="A4:H4"/>
    <mergeCell ref="B10:H10"/>
    <mergeCell ref="B59:H59"/>
    <mergeCell ref="G109:H109"/>
    <mergeCell ref="B53:D53"/>
    <mergeCell ref="B124:D124"/>
    <mergeCell ref="E90:F90"/>
    <mergeCell ref="G19:H19"/>
    <mergeCell ref="G90:H90"/>
    <mergeCell ref="A28:H28"/>
    <mergeCell ref="A37:H37"/>
    <mergeCell ref="B43:H43"/>
    <mergeCell ref="G93:H93"/>
    <mergeCell ref="A120:H120"/>
    <mergeCell ref="B55:D55"/>
    <mergeCell ref="E74:F74"/>
    <mergeCell ref="E21:F21"/>
    <mergeCell ref="E52:F52"/>
    <mergeCell ref="G74:H74"/>
    <mergeCell ref="G21:H21"/>
    <mergeCell ref="E92:F92"/>
    <mergeCell ref="B104:D104"/>
    <mergeCell ref="B115:H115"/>
    <mergeCell ref="B36:H36"/>
    <mergeCell ref="B5:D5"/>
    <mergeCell ref="B19:D19"/>
    <mergeCell ref="A49:H49"/>
    <mergeCell ref="E104:F104"/>
    <mergeCell ref="B130:H130"/>
    <mergeCell ref="B26:H26"/>
    <mergeCell ref="B93:D93"/>
    <mergeCell ref="G107:H107"/>
    <mergeCell ref="G57:H57"/>
    <mergeCell ref="B129:H129"/>
    <mergeCell ref="G122:H122"/>
    <mergeCell ref="A39:H39"/>
    <mergeCell ref="B110:D110"/>
    <mergeCell ref="B83:H83"/>
    <mergeCell ref="G76:H76"/>
    <mergeCell ref="E54:F54"/>
    <mergeCell ref="B106:D106"/>
    <mergeCell ref="B117:H117"/>
    <mergeCell ref="A72:H72"/>
    <mergeCell ref="B7:D7"/>
    <mergeCell ref="A50:H50"/>
    <mergeCell ref="E121:F121"/>
    <mergeCell ref="B79:H79"/>
    <mergeCell ref="B18:D18"/>
    <mergeCell ref="E7:F7"/>
    <mergeCell ref="E78:F78"/>
    <mergeCell ref="B31:H31"/>
    <mergeCell ref="B25:H25"/>
    <mergeCell ref="B107:D107"/>
    <mergeCell ref="B96:H96"/>
    <mergeCell ref="B34:H34"/>
    <mergeCell ref="B128:H128"/>
    <mergeCell ref="G56:H56"/>
    <mergeCell ref="B91:D91"/>
    <mergeCell ref="G65:H65"/>
    <mergeCell ref="B24:H24"/>
    <mergeCell ref="G17:H17"/>
    <mergeCell ref="G124:H124"/>
    <mergeCell ref="B125:H125"/>
    <mergeCell ref="A40:H40"/>
    <mergeCell ref="B46:H46"/>
    <mergeCell ref="B61:H61"/>
    <mergeCell ref="B58:H58"/>
    <mergeCell ref="E77:F77"/>
    <mergeCell ref="E30:F30"/>
    <mergeCell ref="G77:H77"/>
    <mergeCell ref="A73:H73"/>
    <mergeCell ref="B45:H45"/>
    <mergeCell ref="B126:H126"/>
    <mergeCell ref="B56:D56"/>
    <mergeCell ref="E110:F110"/>
    <mergeCell ref="B23:H23"/>
    <mergeCell ref="B94:H94"/>
    <mergeCell ref="B52:D52"/>
    <mergeCell ref="B32:H32"/>
    <mergeCell ref="E124:F124"/>
    <mergeCell ref="B88:D88"/>
    <mergeCell ref="B103:D103"/>
    <mergeCell ref="B114:H114"/>
    <mergeCell ref="G91:H91"/>
    <mergeCell ref="B78:D78"/>
    <mergeCell ref="G123:H123"/>
    <mergeCell ref="B121:D121"/>
    <mergeCell ref="E123:F123"/>
    <mergeCell ref="B30:D30"/>
    <mergeCell ref="E75:F75"/>
    <mergeCell ref="G75:H75"/>
    <mergeCell ref="B81:H81"/>
    <mergeCell ref="G89:H89"/>
    <mergeCell ref="B123:D123"/>
    <mergeCell ref="B109:D109"/>
    <mergeCell ref="B122:D12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showGridLines="0" topLeftCell="A7" workbookViewId="0">
      <selection activeCell="B25" sqref="B25"/>
    </sheetView>
  </sheetViews>
  <sheetFormatPr defaultRowHeight="15" x14ac:dyDescent="0.25"/>
  <cols>
    <col min="1" max="1" width="14" customWidth="1"/>
    <col min="2" max="2" width="36" customWidth="1"/>
    <col min="3" max="3" width="24" customWidth="1"/>
    <col min="4" max="4" width="28" customWidth="1"/>
    <col min="5" max="5" width="14" customWidth="1"/>
    <col min="6" max="6" width="12" customWidth="1"/>
  </cols>
  <sheetData>
    <row r="1" spans="1:7" ht="27.95" customHeight="1" x14ac:dyDescent="0.25">
      <c r="A1" s="85" t="s">
        <v>352</v>
      </c>
      <c r="B1" s="69"/>
      <c r="C1" s="69"/>
      <c r="D1" s="69"/>
      <c r="E1" s="69"/>
      <c r="F1" s="69"/>
      <c r="G1" s="69"/>
    </row>
    <row r="3" spans="1:7" ht="20.100000000000001" customHeight="1" x14ac:dyDescent="0.25">
      <c r="A3" s="19" t="s">
        <v>353</v>
      </c>
      <c r="B3" s="19" t="s">
        <v>354</v>
      </c>
      <c r="C3" s="19" t="s">
        <v>355</v>
      </c>
      <c r="D3" s="19" t="s">
        <v>356</v>
      </c>
      <c r="E3" s="19" t="s">
        <v>357</v>
      </c>
      <c r="F3" s="19" t="s">
        <v>358</v>
      </c>
    </row>
    <row r="4" spans="1:7" ht="20.100000000000001" customHeight="1" x14ac:dyDescent="0.25">
      <c r="A4" s="9" t="s">
        <v>359</v>
      </c>
      <c r="B4" s="35" t="e">
        <f>COUNTBLANK(range)</f>
        <v>#NAME?</v>
      </c>
      <c r="C4" s="36" t="s">
        <v>360</v>
      </c>
      <c r="D4" s="37" t="s">
        <v>361</v>
      </c>
      <c r="E4" s="16" t="s">
        <v>362</v>
      </c>
      <c r="F4" s="16" t="s">
        <v>363</v>
      </c>
    </row>
    <row r="5" spans="1:7" ht="20.100000000000001" customHeight="1" x14ac:dyDescent="0.25">
      <c r="A5" s="9" t="s">
        <v>364</v>
      </c>
      <c r="B5" s="35" t="b">
        <f>ISNUMBER(cell)</f>
        <v>0</v>
      </c>
      <c r="C5" s="36" t="s">
        <v>365</v>
      </c>
      <c r="D5" s="37" t="s">
        <v>366</v>
      </c>
      <c r="E5" s="16" t="s">
        <v>362</v>
      </c>
      <c r="F5" s="16" t="s">
        <v>363</v>
      </c>
    </row>
    <row r="6" spans="1:7" ht="20.100000000000001" customHeight="1" x14ac:dyDescent="0.25">
      <c r="A6" s="9" t="s">
        <v>367</v>
      </c>
      <c r="B6" s="35" t="e">
        <f>IFERROR(formula,val)</f>
        <v>#NAME?</v>
      </c>
      <c r="C6" s="36" t="s">
        <v>368</v>
      </c>
      <c r="D6" s="37" t="s">
        <v>369</v>
      </c>
      <c r="E6" s="16" t="s">
        <v>362</v>
      </c>
      <c r="F6" s="16" t="s">
        <v>363</v>
      </c>
    </row>
    <row r="7" spans="1:7" ht="20.100000000000001" customHeight="1" x14ac:dyDescent="0.25">
      <c r="A7" s="9" t="s">
        <v>370</v>
      </c>
      <c r="B7" s="35" t="e">
        <f>(X-AVERAGE)/STDEV.S</f>
        <v>#NAME?</v>
      </c>
      <c r="C7" s="36" t="s">
        <v>371</v>
      </c>
      <c r="D7" s="37" t="s">
        <v>372</v>
      </c>
      <c r="E7" s="16" t="s">
        <v>373</v>
      </c>
      <c r="F7" s="16" t="s">
        <v>374</v>
      </c>
    </row>
    <row r="8" spans="1:7" ht="20.100000000000001" customHeight="1" x14ac:dyDescent="0.25">
      <c r="A8" s="9" t="s">
        <v>375</v>
      </c>
      <c r="B8" s="35" t="e">
        <f>(X-MIN)/(MAX-MIN)</f>
        <v>#NAME?</v>
      </c>
      <c r="C8" s="36" t="s">
        <v>376</v>
      </c>
      <c r="D8" s="37" t="s">
        <v>377</v>
      </c>
      <c r="E8" s="16" t="s">
        <v>373</v>
      </c>
      <c r="F8" s="16" t="s">
        <v>374</v>
      </c>
    </row>
    <row r="9" spans="1:7" ht="20.100000000000001" customHeight="1" x14ac:dyDescent="0.25">
      <c r="A9" s="9" t="s">
        <v>378</v>
      </c>
      <c r="B9" s="35" t="e">
        <f ca="1">_xludf.STDEV.S(range)</f>
        <v>#NAME?</v>
      </c>
      <c r="C9" s="36" t="s">
        <v>379</v>
      </c>
      <c r="D9" s="37" t="s">
        <v>380</v>
      </c>
      <c r="E9" s="16" t="s">
        <v>381</v>
      </c>
      <c r="F9" s="16" t="s">
        <v>363</v>
      </c>
    </row>
    <row r="10" spans="1:7" ht="20.100000000000001" customHeight="1" x14ac:dyDescent="0.25">
      <c r="A10" s="9" t="s">
        <v>382</v>
      </c>
      <c r="B10" s="35" t="e">
        <f ca="1">_xludf.VAR.S(range)</f>
        <v>#NAME?</v>
      </c>
      <c r="C10" s="36" t="s">
        <v>383</v>
      </c>
      <c r="D10" s="37" t="s">
        <v>384</v>
      </c>
      <c r="E10" s="16" t="s">
        <v>381</v>
      </c>
      <c r="F10" s="16" t="s">
        <v>363</v>
      </c>
    </row>
    <row r="11" spans="1:7" ht="20.100000000000001" customHeight="1" x14ac:dyDescent="0.25">
      <c r="A11" s="9" t="s">
        <v>385</v>
      </c>
      <c r="B11" s="35" t="e">
        <f>SKEW(range)</f>
        <v>#NAME?</v>
      </c>
      <c r="C11" s="36" t="s">
        <v>386</v>
      </c>
      <c r="D11" s="37" t="s">
        <v>387</v>
      </c>
      <c r="E11" s="16" t="s">
        <v>381</v>
      </c>
      <c r="F11" s="16" t="s">
        <v>374</v>
      </c>
    </row>
    <row r="12" spans="1:7" ht="20.100000000000001" customHeight="1" x14ac:dyDescent="0.25">
      <c r="A12" s="9" t="s">
        <v>388</v>
      </c>
      <c r="B12" s="35" t="e">
        <f>KURT(range)</f>
        <v>#NAME?</v>
      </c>
      <c r="C12" s="36" t="s">
        <v>389</v>
      </c>
      <c r="D12" s="37" t="s">
        <v>390</v>
      </c>
      <c r="E12" s="16" t="s">
        <v>381</v>
      </c>
      <c r="F12" s="16" t="s">
        <v>374</v>
      </c>
    </row>
    <row r="13" spans="1:7" ht="20.100000000000001" customHeight="1" x14ac:dyDescent="0.25">
      <c r="A13" s="9" t="s">
        <v>391</v>
      </c>
      <c r="B13" s="35" t="e" cm="1">
        <f t="array" ref="B13">_xlfn.PERCENTILE.INC(range,NO./100)</f>
        <v>#NAME?</v>
      </c>
      <c r="C13" s="36" t="s">
        <v>392</v>
      </c>
      <c r="D13" s="37" t="s">
        <v>393</v>
      </c>
      <c r="E13" s="16" t="s">
        <v>381</v>
      </c>
      <c r="F13" s="16" t="s">
        <v>363</v>
      </c>
    </row>
    <row r="14" spans="1:7" ht="20.100000000000001" customHeight="1" x14ac:dyDescent="0.25">
      <c r="A14" s="9" t="s">
        <v>394</v>
      </c>
      <c r="B14" s="35" t="e">
        <f>CORREL(range1,range2)</f>
        <v>#NAME?</v>
      </c>
      <c r="C14" s="36" t="s">
        <v>395</v>
      </c>
      <c r="D14" s="37" t="s">
        <v>396</v>
      </c>
      <c r="E14" s="16" t="s">
        <v>397</v>
      </c>
      <c r="F14" s="16" t="s">
        <v>374</v>
      </c>
    </row>
    <row r="15" spans="1:7" ht="20.100000000000001" customHeight="1" x14ac:dyDescent="0.25">
      <c r="A15" s="9" t="s">
        <v>398</v>
      </c>
      <c r="B15" s="35" t="e">
        <f>COUNTIF(range,crit)</f>
        <v>#NAME?</v>
      </c>
      <c r="C15" s="36" t="s">
        <v>399</v>
      </c>
      <c r="D15" s="37" t="s">
        <v>400</v>
      </c>
      <c r="E15" s="16" t="s">
        <v>401</v>
      </c>
      <c r="F15" s="16" t="s">
        <v>363</v>
      </c>
    </row>
    <row r="16" spans="1:7" ht="20.100000000000001" customHeight="1" x14ac:dyDescent="0.25">
      <c r="A16" s="9" t="s">
        <v>402</v>
      </c>
      <c r="B16" s="35">
        <f>COUNTIFS(R1,C1,R2,C2)</f>
        <v>0</v>
      </c>
      <c r="C16" s="36" t="s">
        <v>403</v>
      </c>
      <c r="D16" s="37" t="s">
        <v>404</v>
      </c>
      <c r="E16" s="16" t="s">
        <v>401</v>
      </c>
      <c r="F16" s="16" t="s">
        <v>374</v>
      </c>
    </row>
    <row r="17" spans="1:6" ht="20.100000000000001" customHeight="1" x14ac:dyDescent="0.25">
      <c r="A17" s="9" t="s">
        <v>405</v>
      </c>
      <c r="B17" s="35" t="e">
        <f ca="1">_xludf.RANK.EQ(val,range,0)</f>
        <v>#NAME?</v>
      </c>
      <c r="C17" s="36" t="s">
        <v>406</v>
      </c>
      <c r="D17" s="37" t="s">
        <v>407</v>
      </c>
      <c r="E17" s="16" t="s">
        <v>408</v>
      </c>
      <c r="F17" s="16" t="s">
        <v>374</v>
      </c>
    </row>
    <row r="18" spans="1:6" ht="20.100000000000001" customHeight="1" x14ac:dyDescent="0.25">
      <c r="A18" s="9" t="s">
        <v>96</v>
      </c>
      <c r="B18" s="35">
        <f>Q3-Q1</f>
        <v>0</v>
      </c>
      <c r="C18" s="36" t="s">
        <v>409</v>
      </c>
      <c r="D18" s="37" t="s">
        <v>410</v>
      </c>
      <c r="E18" s="16" t="s">
        <v>411</v>
      </c>
      <c r="F18" s="16" t="s">
        <v>374</v>
      </c>
    </row>
    <row r="19" spans="1:6" ht="20.100000000000001" customHeight="1" x14ac:dyDescent="0.25">
      <c r="A19" s="9" t="s">
        <v>412</v>
      </c>
      <c r="B19" s="35"/>
      <c r="C19" s="36" t="s">
        <v>413</v>
      </c>
      <c r="D19" s="37" t="s">
        <v>414</v>
      </c>
      <c r="E19" s="16" t="s">
        <v>411</v>
      </c>
      <c r="F19" s="16" t="s">
        <v>415</v>
      </c>
    </row>
    <row r="20" spans="1:6" ht="20.100000000000001" customHeight="1" x14ac:dyDescent="0.25">
      <c r="A20" s="9" t="s">
        <v>416</v>
      </c>
      <c r="B20" s="35" t="e">
        <f>IF(AND(actual=1,pred=1),1,0)</f>
        <v>#NAME?</v>
      </c>
      <c r="C20" s="36" t="s">
        <v>417</v>
      </c>
      <c r="D20" s="37" t="s">
        <v>418</v>
      </c>
      <c r="E20" s="16" t="s">
        <v>419</v>
      </c>
      <c r="F20" s="16" t="s">
        <v>374</v>
      </c>
    </row>
    <row r="21" spans="1:6" ht="20.100000000000001" customHeight="1" x14ac:dyDescent="0.25">
      <c r="A21" s="9" t="s">
        <v>176</v>
      </c>
      <c r="B21" s="35" t="e">
        <f>(TP+TN)/(TP+FP+TN+FN)</f>
        <v>#NAME?</v>
      </c>
      <c r="C21" s="36" t="s">
        <v>420</v>
      </c>
      <c r="D21" s="37" t="s">
        <v>421</v>
      </c>
      <c r="E21" s="16" t="s">
        <v>419</v>
      </c>
      <c r="F21" s="16" t="s">
        <v>374</v>
      </c>
    </row>
    <row r="22" spans="1:6" ht="20.100000000000001" customHeight="1" x14ac:dyDescent="0.25">
      <c r="A22" s="9" t="s">
        <v>178</v>
      </c>
      <c r="B22" s="35" t="e">
        <f>TP/(TP+FP)</f>
        <v>#NAME?</v>
      </c>
      <c r="C22" s="36" t="s">
        <v>422</v>
      </c>
      <c r="D22" s="37" t="s">
        <v>423</v>
      </c>
      <c r="E22" s="16" t="s">
        <v>419</v>
      </c>
      <c r="F22" s="16" t="s">
        <v>374</v>
      </c>
    </row>
    <row r="23" spans="1:6" ht="20.100000000000001" customHeight="1" x14ac:dyDescent="0.25">
      <c r="A23" s="9" t="s">
        <v>180</v>
      </c>
      <c r="B23" s="35" t="e">
        <f>TP/(TP+FN)</f>
        <v>#NAME?</v>
      </c>
      <c r="C23" s="36" t="s">
        <v>424</v>
      </c>
      <c r="D23" s="37" t="s">
        <v>425</v>
      </c>
      <c r="E23" s="16" t="s">
        <v>419</v>
      </c>
      <c r="F23" s="16" t="s">
        <v>374</v>
      </c>
    </row>
    <row r="24" spans="1:6" ht="20.100000000000001" customHeight="1" x14ac:dyDescent="0.25">
      <c r="A24" s="9" t="s">
        <v>182</v>
      </c>
      <c r="B24" s="123" t="e" cm="1">
        <f t="array" ref="B24">2*a*b/(a+b)</f>
        <v>#NAME?</v>
      </c>
      <c r="C24" s="36" t="s">
        <v>426</v>
      </c>
      <c r="D24" s="37" t="s">
        <v>427</v>
      </c>
      <c r="E24" s="16" t="s">
        <v>419</v>
      </c>
      <c r="F24" s="16" t="s">
        <v>415</v>
      </c>
    </row>
    <row r="25" spans="1:6" ht="20.100000000000001" customHeight="1" x14ac:dyDescent="0.25">
      <c r="A25" s="9" t="s">
        <v>428</v>
      </c>
      <c r="B25" s="35"/>
      <c r="C25" s="36" t="s">
        <v>429</v>
      </c>
      <c r="D25" s="37" t="s">
        <v>430</v>
      </c>
      <c r="E25" s="16" t="s">
        <v>408</v>
      </c>
      <c r="F25" s="16" t="s">
        <v>415</v>
      </c>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tabSelected="1" workbookViewId="0">
      <pane ySplit="3" topLeftCell="A4" activePane="bottomLeft" state="frozen"/>
      <selection pane="bottomLeft" activeCell="F2" sqref="F2"/>
    </sheetView>
  </sheetViews>
  <sheetFormatPr defaultRowHeight="15" x14ac:dyDescent="0.25"/>
  <cols>
    <col min="1" max="1" width="10" customWidth="1"/>
    <col min="2" max="2" width="14" customWidth="1"/>
    <col min="3" max="3" width="52" customWidth="1"/>
    <col min="4" max="4" width="12" customWidth="1"/>
    <col min="5" max="5" width="10" customWidth="1"/>
  </cols>
  <sheetData>
    <row r="1" spans="1:7" ht="27.95" customHeight="1" x14ac:dyDescent="0.25">
      <c r="A1" s="85" t="s">
        <v>431</v>
      </c>
      <c r="B1" s="69"/>
      <c r="C1" s="69"/>
      <c r="D1" s="69"/>
      <c r="E1" s="69"/>
      <c r="F1" s="69"/>
      <c r="G1" s="69"/>
    </row>
    <row r="3" spans="1:7" ht="21.95" customHeight="1" x14ac:dyDescent="0.25">
      <c r="A3" s="19" t="s">
        <v>432</v>
      </c>
      <c r="B3" s="19" t="s">
        <v>353</v>
      </c>
      <c r="C3" s="19" t="s">
        <v>433</v>
      </c>
      <c r="D3" s="19" t="s">
        <v>358</v>
      </c>
      <c r="E3" s="124" t="s">
        <v>434</v>
      </c>
    </row>
    <row r="4" spans="1:7" ht="26.1" customHeight="1" x14ac:dyDescent="0.25">
      <c r="A4" s="28" t="s">
        <v>5</v>
      </c>
      <c r="B4" s="29" t="s">
        <v>359</v>
      </c>
      <c r="C4" s="29" t="s">
        <v>435</v>
      </c>
      <c r="D4" s="38" t="s">
        <v>363</v>
      </c>
      <c r="E4" s="39" t="s">
        <v>480</v>
      </c>
    </row>
    <row r="5" spans="1:7" ht="26.1" customHeight="1" x14ac:dyDescent="0.25">
      <c r="A5" s="28" t="s">
        <v>5</v>
      </c>
      <c r="B5" s="40" t="s">
        <v>436</v>
      </c>
      <c r="C5" s="40" t="s">
        <v>437</v>
      </c>
      <c r="D5" s="41" t="s">
        <v>374</v>
      </c>
      <c r="E5" s="39" t="s">
        <v>480</v>
      </c>
    </row>
    <row r="6" spans="1:7" ht="26.1" customHeight="1" x14ac:dyDescent="0.25">
      <c r="A6" s="28" t="s">
        <v>5</v>
      </c>
      <c r="B6" s="29" t="s">
        <v>438</v>
      </c>
      <c r="C6" s="29" t="s">
        <v>439</v>
      </c>
      <c r="D6" s="38" t="s">
        <v>363</v>
      </c>
      <c r="E6" s="39" t="s">
        <v>480</v>
      </c>
    </row>
    <row r="7" spans="1:7" ht="26.1" customHeight="1" x14ac:dyDescent="0.25">
      <c r="A7" s="30" t="s">
        <v>8</v>
      </c>
      <c r="B7" s="40" t="s">
        <v>50</v>
      </c>
      <c r="C7" s="40"/>
      <c r="D7" s="41" t="s">
        <v>363</v>
      </c>
      <c r="E7" s="39" t="s">
        <v>480</v>
      </c>
    </row>
    <row r="8" spans="1:7" ht="26.1" customHeight="1" x14ac:dyDescent="0.25">
      <c r="A8" s="30" t="s">
        <v>8</v>
      </c>
      <c r="B8" s="29" t="s">
        <v>51</v>
      </c>
      <c r="C8" s="29" t="e">
        <f>IF(E6+F6=0,1,0) binary feature created</f>
        <v>#VALUE!</v>
      </c>
      <c r="D8" s="38" t="s">
        <v>363</v>
      </c>
      <c r="E8" s="39" t="s">
        <v>480</v>
      </c>
    </row>
    <row r="9" spans="1:7" ht="26.1" customHeight="1" x14ac:dyDescent="0.25">
      <c r="A9" s="30" t="s">
        <v>8</v>
      </c>
      <c r="B9" s="40" t="s">
        <v>52</v>
      </c>
      <c r="C9" s="40" t="s">
        <v>440</v>
      </c>
      <c r="D9" s="41" t="s">
        <v>374</v>
      </c>
      <c r="E9" s="39" t="s">
        <v>480</v>
      </c>
    </row>
    <row r="10" spans="1:7" ht="26.1" customHeight="1" x14ac:dyDescent="0.25">
      <c r="A10" s="30" t="s">
        <v>8</v>
      </c>
      <c r="B10" s="29" t="s">
        <v>53</v>
      </c>
      <c r="C10" s="29"/>
      <c r="D10" s="38" t="s">
        <v>374</v>
      </c>
      <c r="E10" s="39" t="s">
        <v>480</v>
      </c>
    </row>
    <row r="11" spans="1:7" ht="26.1" customHeight="1" x14ac:dyDescent="0.25">
      <c r="A11" s="31" t="s">
        <v>11</v>
      </c>
      <c r="B11" s="40" t="s">
        <v>370</v>
      </c>
      <c r="C11" s="40" t="e">
        <f ca="1">(D6-AVERAGE($D$6:$D$45))/_xludf.STDEV.S($D$6:$D$45) filled all rows</f>
        <v>#VALUE!</v>
      </c>
      <c r="D11" s="41" t="s">
        <v>374</v>
      </c>
      <c r="E11" s="39" t="s">
        <v>480</v>
      </c>
    </row>
    <row r="12" spans="1:7" ht="26.1" customHeight="1" x14ac:dyDescent="0.25">
      <c r="A12" s="31" t="s">
        <v>11</v>
      </c>
      <c r="B12" s="29" t="s">
        <v>441</v>
      </c>
      <c r="C12" s="29" t="s">
        <v>442</v>
      </c>
      <c r="D12" s="38" t="s">
        <v>415</v>
      </c>
      <c r="E12" s="39" t="s">
        <v>480</v>
      </c>
    </row>
    <row r="13" spans="1:7" ht="26.1" customHeight="1" x14ac:dyDescent="0.25">
      <c r="A13" s="31" t="s">
        <v>11</v>
      </c>
      <c r="B13" s="40" t="s">
        <v>438</v>
      </c>
      <c r="C13" s="40" t="s">
        <v>443</v>
      </c>
      <c r="D13" s="41" t="s">
        <v>374</v>
      </c>
      <c r="E13" s="39" t="s">
        <v>480</v>
      </c>
    </row>
    <row r="14" spans="1:7" ht="26.1" customHeight="1" x14ac:dyDescent="0.25">
      <c r="A14" s="10" t="s">
        <v>14</v>
      </c>
      <c r="B14" s="29" t="s">
        <v>375</v>
      </c>
      <c r="C14" s="29"/>
      <c r="D14" s="38" t="s">
        <v>374</v>
      </c>
      <c r="E14" s="39" t="s">
        <v>480</v>
      </c>
    </row>
    <row r="15" spans="1:7" ht="26.1" customHeight="1" x14ac:dyDescent="0.25">
      <c r="A15" s="10" t="s">
        <v>14</v>
      </c>
      <c r="B15" s="40" t="s">
        <v>441</v>
      </c>
      <c r="C15" s="40" t="s">
        <v>444</v>
      </c>
      <c r="D15" s="41" t="s">
        <v>374</v>
      </c>
      <c r="E15" s="39" t="s">
        <v>480</v>
      </c>
    </row>
    <row r="16" spans="1:7" ht="26.1" customHeight="1" x14ac:dyDescent="0.25">
      <c r="A16" s="13" t="s">
        <v>17</v>
      </c>
      <c r="B16" s="29" t="s">
        <v>381</v>
      </c>
      <c r="C16" s="29" t="s">
        <v>445</v>
      </c>
      <c r="D16" s="38" t="s">
        <v>374</v>
      </c>
      <c r="E16" s="39" t="s">
        <v>480</v>
      </c>
    </row>
    <row r="17" spans="1:5" ht="26.1" customHeight="1" x14ac:dyDescent="0.25">
      <c r="A17" s="13" t="s">
        <v>17</v>
      </c>
      <c r="B17" s="40" t="s">
        <v>88</v>
      </c>
      <c r="C17" s="40" t="s">
        <v>446</v>
      </c>
      <c r="D17" s="41" t="s">
        <v>374</v>
      </c>
      <c r="E17" s="39" t="s">
        <v>480</v>
      </c>
    </row>
    <row r="18" spans="1:5" ht="26.1" customHeight="1" x14ac:dyDescent="0.25">
      <c r="A18" s="32" t="s">
        <v>20</v>
      </c>
      <c r="B18" s="29" t="s">
        <v>394</v>
      </c>
      <c r="C18" s="29" t="s">
        <v>447</v>
      </c>
      <c r="D18" s="38" t="s">
        <v>415</v>
      </c>
      <c r="E18" s="39" t="s">
        <v>480</v>
      </c>
    </row>
    <row r="19" spans="1:5" ht="26.1" customHeight="1" x14ac:dyDescent="0.25">
      <c r="A19" s="32" t="s">
        <v>20</v>
      </c>
      <c r="B19" s="40" t="s">
        <v>448</v>
      </c>
      <c r="C19" s="40" t="s">
        <v>449</v>
      </c>
      <c r="D19" s="41" t="s">
        <v>374</v>
      </c>
      <c r="E19" s="39" t="s">
        <v>480</v>
      </c>
    </row>
    <row r="20" spans="1:5" ht="26.1" customHeight="1" x14ac:dyDescent="0.25">
      <c r="A20" s="33" t="s">
        <v>23</v>
      </c>
      <c r="B20" s="29" t="s">
        <v>398</v>
      </c>
      <c r="C20" s="29" t="s">
        <v>450</v>
      </c>
      <c r="D20" s="38" t="s">
        <v>363</v>
      </c>
      <c r="E20" s="39" t="s">
        <v>480</v>
      </c>
    </row>
    <row r="21" spans="1:5" ht="26.1" customHeight="1" x14ac:dyDescent="0.25">
      <c r="A21" s="33" t="s">
        <v>23</v>
      </c>
      <c r="B21" s="40" t="s">
        <v>402</v>
      </c>
      <c r="C21" s="40" t="s">
        <v>451</v>
      </c>
      <c r="D21" s="41" t="s">
        <v>374</v>
      </c>
      <c r="E21" s="39" t="s">
        <v>480</v>
      </c>
    </row>
    <row r="22" spans="1:5" ht="26.1" customHeight="1" x14ac:dyDescent="0.25">
      <c r="A22" s="33" t="s">
        <v>23</v>
      </c>
      <c r="B22" s="29" t="s">
        <v>452</v>
      </c>
      <c r="C22" s="29" t="s">
        <v>453</v>
      </c>
      <c r="D22" s="38" t="s">
        <v>374</v>
      </c>
      <c r="E22" s="39" t="s">
        <v>480</v>
      </c>
    </row>
    <row r="23" spans="1:5" ht="26.1" customHeight="1" x14ac:dyDescent="0.25">
      <c r="A23" s="34" t="s">
        <v>26</v>
      </c>
      <c r="B23" s="40" t="s">
        <v>96</v>
      </c>
      <c r="C23" s="40" t="s">
        <v>454</v>
      </c>
      <c r="D23" s="41" t="s">
        <v>374</v>
      </c>
      <c r="E23" s="39" t="s">
        <v>480</v>
      </c>
    </row>
    <row r="24" spans="1:5" ht="26.1" customHeight="1" x14ac:dyDescent="0.25">
      <c r="A24" s="34" t="s">
        <v>26</v>
      </c>
      <c r="B24" s="29" t="s">
        <v>455</v>
      </c>
      <c r="C24" s="29" t="s">
        <v>456</v>
      </c>
      <c r="D24" s="38" t="s">
        <v>374</v>
      </c>
      <c r="E24" s="39" t="s">
        <v>480</v>
      </c>
    </row>
    <row r="25" spans="1:5" ht="26.1" customHeight="1" x14ac:dyDescent="0.25">
      <c r="A25" s="34" t="s">
        <v>26</v>
      </c>
      <c r="B25" s="40" t="s">
        <v>457</v>
      </c>
      <c r="C25" s="40" t="s">
        <v>458</v>
      </c>
      <c r="D25" s="41" t="s">
        <v>415</v>
      </c>
      <c r="E25" s="39" t="s">
        <v>480</v>
      </c>
    </row>
    <row r="26" spans="1:5" ht="26.1" customHeight="1" x14ac:dyDescent="0.25">
      <c r="A26" s="28" t="s">
        <v>29</v>
      </c>
      <c r="B26" s="29" t="s">
        <v>459</v>
      </c>
      <c r="C26" s="29" t="s">
        <v>460</v>
      </c>
      <c r="D26" s="38" t="s">
        <v>374</v>
      </c>
      <c r="E26" s="39" t="s">
        <v>480</v>
      </c>
    </row>
    <row r="27" spans="1:5" ht="26.1" customHeight="1" x14ac:dyDescent="0.25">
      <c r="A27" s="28" t="s">
        <v>29</v>
      </c>
      <c r="B27" s="40" t="s">
        <v>176</v>
      </c>
      <c r="C27" s="40" t="s">
        <v>461</v>
      </c>
      <c r="D27" s="41" t="s">
        <v>374</v>
      </c>
      <c r="E27" s="39" t="s">
        <v>480</v>
      </c>
    </row>
    <row r="28" spans="1:5" ht="26.1" customHeight="1" x14ac:dyDescent="0.25">
      <c r="A28" s="28" t="s">
        <v>29</v>
      </c>
      <c r="B28" s="29" t="s">
        <v>462</v>
      </c>
      <c r="C28" s="29" t="s">
        <v>463</v>
      </c>
      <c r="D28" s="38" t="s">
        <v>415</v>
      </c>
      <c r="E28" s="39" t="s">
        <v>480</v>
      </c>
    </row>
    <row r="29" spans="1:5" ht="26.1" customHeight="1" x14ac:dyDescent="0.25">
      <c r="A29" s="10" t="s">
        <v>32</v>
      </c>
      <c r="B29" s="40" t="s">
        <v>405</v>
      </c>
      <c r="C29" s="40" t="s">
        <v>464</v>
      </c>
      <c r="D29" s="41" t="s">
        <v>374</v>
      </c>
      <c r="E29" s="39"/>
    </row>
    <row r="30" spans="1:5" ht="26.1" customHeight="1" x14ac:dyDescent="0.25">
      <c r="A30" s="10" t="s">
        <v>32</v>
      </c>
      <c r="B30" s="29" t="s">
        <v>465</v>
      </c>
      <c r="C30" s="29" t="s">
        <v>466</v>
      </c>
      <c r="D30" s="38" t="s">
        <v>415</v>
      </c>
      <c r="E30" s="39"/>
    </row>
    <row r="31" spans="1:5" ht="26.1" customHeight="1" x14ac:dyDescent="0.25">
      <c r="A31" s="10" t="s">
        <v>467</v>
      </c>
      <c r="B31" s="40" t="s">
        <v>468</v>
      </c>
      <c r="C31" s="40" t="s">
        <v>469</v>
      </c>
      <c r="D31" s="41" t="s">
        <v>415</v>
      </c>
      <c r="E31" s="39"/>
    </row>
    <row r="33" spans="1:5" ht="26.1" customHeight="1" x14ac:dyDescent="0.25">
      <c r="A33" s="113" t="s">
        <v>470</v>
      </c>
      <c r="B33" s="69"/>
      <c r="C33" s="69"/>
      <c r="D33" s="112" t="str">
        <f>COUNTIF(E4:E31,"✓")&amp;" / 28 completed"</f>
        <v>25 / 28 completed</v>
      </c>
      <c r="E33" s="69"/>
    </row>
  </sheetData>
  <mergeCells count="3">
    <mergeCell ref="D33:E33"/>
    <mergeCell ref="A33:C33"/>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START HERE</vt:lpstr>
      <vt:lpstr>🗃️ RAW_DATA</vt:lpstr>
      <vt:lpstr>🎯 CONFUSION_MATRIX</vt:lpstr>
      <vt:lpstr>📋 TASK_GUIDE</vt:lpstr>
      <vt:lpstr>📖 ML_FORMULA_REF</vt:lpstr>
      <vt:lpst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Batch5</cp:lastModifiedBy>
  <dcterms:created xsi:type="dcterms:W3CDTF">2026-04-27T07:12:45Z</dcterms:created>
  <dcterms:modified xsi:type="dcterms:W3CDTF">2026-05-05T11:16:25Z</dcterms:modified>
</cp:coreProperties>
</file>