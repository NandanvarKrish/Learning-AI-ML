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Krish\01_Excel\Task\"/>
    </mc:Choice>
  </mc:AlternateContent>
  <xr:revisionPtr revIDLastSave="0" documentId="13_ncr:20001_{CAD62F92-5DDF-4FF6-9147-06B29DCC6FEC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👋 START HERE" sheetId="1" r:id="rId1"/>
    <sheet name="📊 SCHOOL_DATA" sheetId="2" r:id="rId2"/>
    <sheet name="📋 TASK_GUIDE" sheetId="3" r:id="rId3"/>
    <sheet name="📖 FORMULA_REFERENCE" sheetId="4" r:id="rId4"/>
    <sheet name="✔️ CHECKLIS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7" i="2"/>
  <c r="P8" i="2"/>
  <c r="P7" i="2"/>
  <c r="N36" i="2"/>
  <c r="N37" i="2"/>
  <c r="N38" i="2"/>
  <c r="N39" i="2"/>
  <c r="N40" i="2"/>
  <c r="N41" i="2"/>
  <c r="N42" i="2"/>
  <c r="N43" i="2"/>
  <c r="N44" i="2"/>
  <c r="N35" i="2"/>
  <c r="M36" i="2"/>
  <c r="M37" i="2"/>
  <c r="M38" i="2"/>
  <c r="M39" i="2"/>
  <c r="M40" i="2"/>
  <c r="M41" i="2"/>
  <c r="M42" i="2"/>
  <c r="M43" i="2"/>
  <c r="M44" i="2"/>
  <c r="M35" i="2"/>
  <c r="L36" i="2"/>
  <c r="L37" i="2"/>
  <c r="L38" i="2"/>
  <c r="L39" i="2"/>
  <c r="L40" i="2"/>
  <c r="L41" i="2"/>
  <c r="L42" i="2"/>
  <c r="L43" i="2"/>
  <c r="L44" i="2"/>
  <c r="L35" i="2"/>
  <c r="B46" i="2"/>
  <c r="B45" i="2"/>
  <c r="B44" i="2"/>
  <c r="B43" i="2"/>
  <c r="B42" i="2"/>
  <c r="B41" i="2"/>
  <c r="B40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7" i="2"/>
  <c r="B39" i="2"/>
  <c r="B38" i="2"/>
  <c r="B37" i="2"/>
  <c r="B36" i="2"/>
  <c r="B35" i="2"/>
  <c r="B34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7" i="2"/>
  <c r="D31" i="5"/>
  <c r="B27" i="5"/>
  <c r="B26" i="5"/>
  <c r="B25" i="5"/>
  <c r="B22" i="5"/>
  <c r="B20" i="5"/>
  <c r="B19" i="5"/>
  <c r="B14" i="5"/>
  <c r="B13" i="5"/>
  <c r="B12" i="5"/>
  <c r="B11" i="5"/>
  <c r="B10" i="5"/>
  <c r="B9" i="5"/>
  <c r="B8" i="5"/>
  <c r="B7" i="5"/>
  <c r="B4" i="5"/>
  <c r="C23" i="4"/>
  <c r="B23" i="4"/>
  <c r="C22" i="4"/>
  <c r="B22" i="4"/>
  <c r="C21" i="4"/>
  <c r="B21" i="4"/>
  <c r="B20" i="4"/>
  <c r="B19" i="4"/>
  <c r="B18" i="4"/>
  <c r="B17" i="4"/>
  <c r="C16" i="4"/>
  <c r="B16" i="4"/>
  <c r="C15" i="4"/>
  <c r="B15" i="4"/>
  <c r="C14" i="4"/>
  <c r="B14" i="4"/>
  <c r="C12" i="4"/>
  <c r="B12" i="4"/>
  <c r="B11" i="4"/>
  <c r="C10" i="4"/>
  <c r="B10" i="4"/>
  <c r="C9" i="4"/>
  <c r="B9" i="4"/>
  <c r="C8" i="4"/>
  <c r="B8" i="4"/>
  <c r="C7" i="4"/>
  <c r="B7" i="4"/>
  <c r="C19" i="4" s="1"/>
  <c r="C6" i="4"/>
  <c r="B6" i="4"/>
  <c r="C5" i="4"/>
  <c r="B5" i="4"/>
  <c r="C4" i="4"/>
  <c r="B4" i="4"/>
  <c r="B104" i="3"/>
  <c r="B103" i="3"/>
  <c r="B102" i="3"/>
  <c r="B99" i="3"/>
  <c r="B86" i="3"/>
  <c r="B85" i="3"/>
  <c r="B76" i="3"/>
  <c r="B75" i="3"/>
  <c r="B74" i="3"/>
  <c r="B73" i="3"/>
  <c r="B72" i="3"/>
  <c r="B62" i="3"/>
  <c r="B52" i="3"/>
  <c r="B51" i="3"/>
  <c r="B50" i="3"/>
  <c r="B49" i="3"/>
  <c r="B38" i="3"/>
  <c r="B36" i="3"/>
  <c r="B35" i="3"/>
  <c r="B34" i="3"/>
  <c r="B25" i="3"/>
  <c r="B24" i="3"/>
  <c r="B23" i="3"/>
  <c r="B22" i="3"/>
  <c r="B21" i="3"/>
  <c r="B10" i="3"/>
  <c r="B9" i="3"/>
  <c r="B8" i="3"/>
  <c r="B7" i="3"/>
  <c r="B98" i="3" s="1"/>
  <c r="B6" i="3"/>
  <c r="C18" i="4" l="1"/>
  <c r="C20" i="4"/>
  <c r="B37" i="3"/>
  <c r="B101" i="3"/>
  <c r="B100" i="3"/>
  <c r="C11" i="4"/>
  <c r="C17" i="4"/>
</calcChain>
</file>

<file path=xl/sharedStrings.xml><?xml version="1.0" encoding="utf-8"?>
<sst xmlns="http://schemas.openxmlformats.org/spreadsheetml/2006/main" count="622" uniqueCount="411">
  <si>
    <t>📊  Excel Formula Bar — Complete Beginner Task</t>
  </si>
  <si>
    <t>School Budget &amp; Results Tracker  |  Learn every essential formula from scratch</t>
  </si>
  <si>
    <t>🔍  WHAT IS THE FORMULA BAR?</t>
  </si>
  <si>
    <t>The Formula Bar is the long white box at the top of Excel, just below the Ribbon. When you click on a cell, the formula bar shows you exactly what is inside that cell — whether it's a number, some text, or a formula. When you TYPE a formula (starting with =), you type it in the formula bar or directly in the cell. It's like the brain of Excel — every calculation happens through the formula bar. This task will teach you how to use it properly with 8 real-world formula challenges.</t>
  </si>
  <si>
    <t>📋  YOUR 8 FORMULA CHALLENGES</t>
  </si>
  <si>
    <t>TASK 1</t>
  </si>
  <si>
    <t>Basic Arithmetic</t>
  </si>
  <si>
    <t>Add up class marks, find totals and differences</t>
  </si>
  <si>
    <t>TASK 2</t>
  </si>
  <si>
    <t>Averages &amp; Rounding</t>
  </si>
  <si>
    <t>Calculate class averages and round to 1 decimal</t>
  </si>
  <si>
    <t>TASK 3</t>
  </si>
  <si>
    <t>MIN, MAX &amp; COUNT</t>
  </si>
  <si>
    <t>Find highest/lowest scores, count students</t>
  </si>
  <si>
    <t>TASK 4</t>
  </si>
  <si>
    <t>IF Statements</t>
  </si>
  <si>
    <t>Grade students PASS or FAIL automatically</t>
  </si>
  <si>
    <t>TASK 5</t>
  </si>
  <si>
    <t>Nested IF (Grades)</t>
  </si>
  <si>
    <t>Give A, B, C, D, F grades based on score</t>
  </si>
  <si>
    <t>TASK 6</t>
  </si>
  <si>
    <t>COUNTIF &amp; SUMIF</t>
  </si>
  <si>
    <t>Count how many got each grade, sum by category</t>
  </si>
  <si>
    <t>TASK 7</t>
  </si>
  <si>
    <t>VLOOKUP</t>
  </si>
  <si>
    <t>Look up a student's details using their ID</t>
  </si>
  <si>
    <t>TASK 8</t>
  </si>
  <si>
    <t>Text &amp; Date Formulas</t>
  </si>
  <si>
    <t>Work with names and dates in formulas</t>
  </si>
  <si>
    <t>➡️   Go to  📊 SCHOOL_DATA  sheet — all your data is there ready to use!</t>
  </si>
  <si>
    <t>🏫  Greenfield School — Year 10 Science Class Results &amp; Budget Tracker</t>
  </si>
  <si>
    <t>All your formula tasks use this data. READ the task guide on 📋 TASK_GUIDE sheet first!</t>
  </si>
  <si>
    <t>📝  STUDENT MARKS DATA  (Tasks 1–8 all use this table)</t>
  </si>
  <si>
    <t>StudentID</t>
  </si>
  <si>
    <t>Name</t>
  </si>
  <si>
    <t>Gender</t>
  </si>
  <si>
    <t>Test1</t>
  </si>
  <si>
    <t>Test2</t>
  </si>
  <si>
    <t>Test3</t>
  </si>
  <si>
    <t>Total</t>
  </si>
  <si>
    <t>Average</t>
  </si>
  <si>
    <t>Grade</t>
  </si>
  <si>
    <t>Pass/Fail</t>
  </si>
  <si>
    <t>Top Score?</t>
  </si>
  <si>
    <t>Name Length</t>
  </si>
  <si>
    <t>Name Upper</t>
  </si>
  <si>
    <t>Enrollment Year</t>
  </si>
  <si>
    <t>ID</t>
  </si>
  <si>
    <t>Full name</t>
  </si>
  <si>
    <t>M/F</t>
  </si>
  <si>
    <t>0–100</t>
  </si>
  <si>
    <t>← Task 1</t>
  </si>
  <si>
    <t>← Task 2</t>
  </si>
  <si>
    <t>← Task 5</t>
  </si>
  <si>
    <t>← Task 4</t>
  </si>
  <si>
    <t>← Task 6</t>
  </si>
  <si>
    <t>← Task 8</t>
  </si>
  <si>
    <t>SC001</t>
  </si>
  <si>
    <t>Alice Johnson</t>
  </si>
  <si>
    <t>M</t>
  </si>
  <si>
    <t>SC002</t>
  </si>
  <si>
    <t>Ben Carter</t>
  </si>
  <si>
    <t>F</t>
  </si>
  <si>
    <t>SC003</t>
  </si>
  <si>
    <t>Chloe Patel</t>
  </si>
  <si>
    <t>SC004</t>
  </si>
  <si>
    <t>Daniel Kim</t>
  </si>
  <si>
    <t>SC005</t>
  </si>
  <si>
    <t>Emma Walsh</t>
  </si>
  <si>
    <t>SC006</t>
  </si>
  <si>
    <t>Finn Murphy</t>
  </si>
  <si>
    <t>SC007</t>
  </si>
  <si>
    <t>Grace Lee</t>
  </si>
  <si>
    <t>SC008</t>
  </si>
  <si>
    <t>Harry Singh</t>
  </si>
  <si>
    <t>SC009</t>
  </si>
  <si>
    <t>Isla Brown</t>
  </si>
  <si>
    <t>SC010</t>
  </si>
  <si>
    <t>Jake Torres</t>
  </si>
  <si>
    <t>SC011</t>
  </si>
  <si>
    <t>Keira Adams</t>
  </si>
  <si>
    <t>SC012</t>
  </si>
  <si>
    <t>Leo Nguyen</t>
  </si>
  <si>
    <t>SC013</t>
  </si>
  <si>
    <t>Maya Chen</t>
  </si>
  <si>
    <t>SC014</t>
  </si>
  <si>
    <t>Nathan Webb</t>
  </si>
  <si>
    <t>SC015</t>
  </si>
  <si>
    <t>Olivia Scott</t>
  </si>
  <si>
    <t>SC016</t>
  </si>
  <si>
    <t>Priya Sharma</t>
  </si>
  <si>
    <t>SC017</t>
  </si>
  <si>
    <t>Quinn Foster</t>
  </si>
  <si>
    <t>SC018</t>
  </si>
  <si>
    <t>Riley Cooper</t>
  </si>
  <si>
    <t>SC019</t>
  </si>
  <si>
    <t>Sam Morgan</t>
  </si>
  <si>
    <t>SC020</t>
  </si>
  <si>
    <t>Tia Johnson</t>
  </si>
  <si>
    <t>SC021</t>
  </si>
  <si>
    <t>Umar Hassan</t>
  </si>
  <si>
    <t>SC022</t>
  </si>
  <si>
    <t>Violet Ross</t>
  </si>
  <si>
    <t>SC023</t>
  </si>
  <si>
    <t>Will Evans</t>
  </si>
  <si>
    <t>SC024</t>
  </si>
  <si>
    <t>Xara Blake</t>
  </si>
  <si>
    <t>SC025</t>
  </si>
  <si>
    <t>Yusuf Ali</t>
  </si>
  <si>
    <t>📊  SUMMARY STATISTICS  (Tasks 3 &amp; 6)</t>
  </si>
  <si>
    <t>💰  SCHOOL BUDGET TRACKER  (Extra Formula Practice)</t>
  </si>
  <si>
    <t>Total Students</t>
  </si>
  <si>
    <t>ANSWER: =COUNTA(B7:B31)</t>
  </si>
  <si>
    <t>Department</t>
  </si>
  <si>
    <t>Budget £</t>
  </si>
  <si>
    <t>Spent £</t>
  </si>
  <si>
    <t>Remaining £</t>
  </si>
  <si>
    <t>% Used</t>
  </si>
  <si>
    <t>Over Budget?</t>
  </si>
  <si>
    <t>Highest Score (Test1)</t>
  </si>
  <si>
    <t>ANSWER: =MAX(D7:D31)</t>
  </si>
  <si>
    <t>Science</t>
  </si>
  <si>
    <t>Lowest Score (Test1)</t>
  </si>
  <si>
    <t>ANSWER: =MIN(D7:D31)</t>
  </si>
  <si>
    <t>Maths</t>
  </si>
  <si>
    <t>Class Average (Test1)</t>
  </si>
  <si>
    <t>ANSWER: =ROUND(AVERAGE(D7:D31),1)</t>
  </si>
  <si>
    <t>English</t>
  </si>
  <si>
    <t>Count Male Students</t>
  </si>
  <si>
    <t>ANSWER: =COUNTIF(C7:C31,"M")</t>
  </si>
  <si>
    <t>Art</t>
  </si>
  <si>
    <t>Count Female Students</t>
  </si>
  <si>
    <t>ANSWER: =COUNTIF(C7:C31,"F")</t>
  </si>
  <si>
    <t>PE &amp; Sport</t>
  </si>
  <si>
    <t>Count A Grades</t>
  </si>
  <si>
    <t>ANSWER: =COUNTIF(I7:I31,"A")</t>
  </si>
  <si>
    <t>ICT</t>
  </si>
  <si>
    <t>Count B Grades</t>
  </si>
  <si>
    <t>ANSWER: =COUNTIF(I7:I31,"B")</t>
  </si>
  <si>
    <t>History</t>
  </si>
  <si>
    <t>Count C Grades</t>
  </si>
  <si>
    <t>ANSWER: =COUNTIF(I7:I31,"C")</t>
  </si>
  <si>
    <t>Geography</t>
  </si>
  <si>
    <t>Count D Grades</t>
  </si>
  <si>
    <t>ANSWER: =COUNTIF(I7:I31,"D")</t>
  </si>
  <si>
    <t>Music</t>
  </si>
  <si>
    <t>Count F Grades</t>
  </si>
  <si>
    <t>ANSWER: =COUNTIF(I7:I31,"F")</t>
  </si>
  <si>
    <t>Library</t>
  </si>
  <si>
    <t>Count Passed</t>
  </si>
  <si>
    <t>ANSWER: =COUNTIF(J7:J31,"PASS")</t>
  </si>
  <si>
    <t>Sum of All Test1 Scores</t>
  </si>
  <si>
    <t>ANSWER: =SUM(D7:D31)</t>
  </si>
  <si>
    <t>🔍  GRADE LOOKUP TABLE  (for VLOOKUP Task 7)</t>
  </si>
  <si>
    <t>Min Score</t>
  </si>
  <si>
    <t>Max Score</t>
  </si>
  <si>
    <t>Grade Letter</t>
  </si>
  <si>
    <t>Description</t>
  </si>
  <si>
    <t>A</t>
  </si>
  <si>
    <t>Excellent</t>
  </si>
  <si>
    <t>B</t>
  </si>
  <si>
    <t>Good</t>
  </si>
  <si>
    <t>C</t>
  </si>
  <si>
    <t>Satisfactory</t>
  </si>
  <si>
    <t>D</t>
  </si>
  <si>
    <t>Needs Improvement</t>
  </si>
  <si>
    <t>Fail</t>
  </si>
  <si>
    <t>📋  COMPLETE FORMULA BAR TASK GUIDE — All 8 Tasks</t>
  </si>
  <si>
    <t>Work on the 📊 SCHOOL_DATA sheet. Type every formula yourself — don't copy/paste! That's how you really learn.</t>
  </si>
  <si>
    <t>TASK 1  —  Basic Arithmetic — SUM, +, -, *, /</t>
  </si>
  <si>
    <t>The most important thing to know: EVERY formula in Excel starts with an = sign. Without the = Excel thinks you're just typing text. You will calculate each student's TOTAL score across 3 tests. Column G (Total) is currently blank — you will fill it in.</t>
  </si>
  <si>
    <t>Formula:</t>
  </si>
  <si>
    <t>Result: sum of Test1+Test2+Test3</t>
  </si>
  <si>
    <t>Adds three cells together</t>
  </si>
  <si>
    <t>Result: same result as above</t>
  </si>
  <si>
    <t>SUM is faster for many cells</t>
  </si>
  <si>
    <t>Result: Test1 multiplied by 3</t>
  </si>
  <si>
    <t>* means multiply in Excel</t>
  </si>
  <si>
    <t>Result: difference between tests</t>
  </si>
  <si>
    <t>- subtracts cells</t>
  </si>
  <si>
    <t>Result: Test1 divided by 3</t>
  </si>
  <si>
    <t>/ divides — gives average of 1 test</t>
  </si>
  <si>
    <t xml:space="preserve">  1</t>
  </si>
  <si>
    <t>Click cell G7 (the Total column for Alice Johnson, first student).</t>
  </si>
  <si>
    <t xml:space="preserve">  2</t>
  </si>
  <si>
    <t>Look at the formula bar at the top — it is empty. Click inside it.</t>
  </si>
  <si>
    <t xml:space="preserve">  3</t>
  </si>
  <si>
    <t>Type this formula:  =SUM(D7:F7)  then press Enter. The total appears!</t>
  </si>
  <si>
    <t xml:space="preserve">  4</t>
  </si>
  <si>
    <t>Click G7 again. Look at the formula bar — it shows =SUM(D7:F7) not the number. The cell SHOWS the result, the formula bar shows the FORMULA. This is the key difference!</t>
  </si>
  <si>
    <t xml:space="preserve">  5</t>
  </si>
  <si>
    <t>Copy G7 down to G31: click G7 → press Ctrl+C → select G8:G31 → press Ctrl+V. All 25 students now have their totals calculated!</t>
  </si>
  <si>
    <t xml:space="preserve">  6</t>
  </si>
  <si>
    <t>Look at the formula bar for G8 — it now shows =SUM(D8:F8). Excel automatically changed the row number! This is called a RELATIVE REFERENCE.</t>
  </si>
  <si>
    <t>💡 KEY LEARNING: The formula bar is the only place you can see the actual formula. The cell shows the RESULT. Click any cell with a formula and read the formula bar to understand what calculation is happening.</t>
  </si>
  <si>
    <t>TASK 2  —  Averages &amp; Rounding — AVERAGE, ROUND, ROUNDUP</t>
  </si>
  <si>
    <t>You will now calculate each student's average score across 3 tests. Then you'll use ROUND to control how many decimal places show. Column H (Average) is waiting for your formulas.</t>
  </si>
  <si>
    <t>Result: mean of 3 tests</t>
  </si>
  <si>
    <t>Adds all values and divides by count</t>
  </si>
  <si>
    <t>Result: e.g. 76.3</t>
  </si>
  <si>
    <t>ROUND to 1 decimal place</t>
  </si>
  <si>
    <t>Result: e.g. 76</t>
  </si>
  <si>
    <t>ROUND to 0 decimal = whole number</t>
  </si>
  <si>
    <t>Result: always rounds UP</t>
  </si>
  <si>
    <t>ROUNDUP never rounds down</t>
  </si>
  <si>
    <t>Result: same as AVERAGE</t>
  </si>
  <si>
    <t>Manual average formula</t>
  </si>
  <si>
    <t>Click cell H7. In the formula bar, type:  =ROUND(AVERAGE(D7:F7),1)</t>
  </si>
  <si>
    <t>Press Enter. The average appears rounded to 1 decimal place.</t>
  </si>
  <si>
    <t>Copy H7 down to H31 for all 25 students (Ctrl+C → select H8:H31 → Ctrl+V).</t>
  </si>
  <si>
    <t>Now try in a blank cell somewhere: =ROUND(76.567, 2) — what does it give?</t>
  </si>
  <si>
    <t>Try: =ROUNDUP(76.1, 0) — does it give 76 or 77? (Answer: 77 — ROUNDUP always goes up!)</t>
  </si>
  <si>
    <t>TASK 3  —  MIN, MAX, COUNT — Find Highest, Lowest, Count</t>
  </si>
  <si>
    <t>Go to the SUMMARY STATISTICS section at the bottom of the SCHOOL_DATA sheet. You will fill in all 13 summary formula cells. These are the most common formulas used in any real data analysis job.</t>
  </si>
  <si>
    <t>Result: highest Test1 score</t>
  </si>
  <si>
    <t>MAX finds the biggest number in a range</t>
  </si>
  <si>
    <t>Result: lowest Test1 score</t>
  </si>
  <si>
    <t>MIN finds the smallest number</t>
  </si>
  <si>
    <t>Result: 25 (counts numbers only)</t>
  </si>
  <si>
    <t>COUNT only counts cells with numbers</t>
  </si>
  <si>
    <t>Result: 25 (counts names)</t>
  </si>
  <si>
    <t>COUNTA counts cells that are not empty</t>
  </si>
  <si>
    <t>Result: total of all Test1 scores</t>
  </si>
  <si>
    <t>SUM adds up an entire column</t>
  </si>
  <si>
    <t>Scroll down to the SUMMARY STATISTICS section below the student data.</t>
  </si>
  <si>
    <t>In the Total Students row: type =COUNTA(B7:B31) — this counts all names.</t>
  </si>
  <si>
    <t>In Highest Score: type =MAX(D7:D31).</t>
  </si>
  <si>
    <t>In Lowest Score: type =MIN(D7:D31).</t>
  </si>
  <si>
    <t>In Class Average: type =ROUND(AVERAGE(D7:D31),1).</t>
  </si>
  <si>
    <t>In Count Male: type =COUNTIF(C7:C31,"M") — notice the quotes around M!</t>
  </si>
  <si>
    <t xml:space="preserve">  7</t>
  </si>
  <si>
    <t>Fill in all remaining summary rows using COUNTIF for each grade letter.</t>
  </si>
  <si>
    <t>TASK 4  —  IF Statements — PASS or FAIL automatically</t>
  </si>
  <si>
    <t>The IF formula makes a DECISION. It checks if something is true, then shows one result if true and a different result if false. SYNTAX: =IF(condition, if_true, if_false). Column J (Pass/Fail) is waiting. A student PASSES if their Average is 50 or more.</t>
  </si>
  <si>
    <t>Result: "PASS" or "FAIL"</t>
  </si>
  <si>
    <t>If Average&gt;=50 show PASS, otherwise FAIL</t>
  </si>
  <si>
    <t>Result: text result</t>
  </si>
  <si>
    <t>IF can show any text you choose</t>
  </si>
  <si>
    <t>Result: comparison</t>
  </si>
  <si>
    <t>IF can compare two cells</t>
  </si>
  <si>
    <t>Result: 1 or 0</t>
  </si>
  <si>
    <t>IF can return numbers too (1=pass, 0=fail)</t>
  </si>
  <si>
    <t>Click cell J7. Type this formula exactly:  =IF(H7&gt;=50,"PASS","FAIL")</t>
  </si>
  <si>
    <t>Press Enter. The word PASS or FAIL appears based on that student's average.</t>
  </si>
  <si>
    <t>Copy J7 down to J31. Every student now gets PASS or FAIL automatically!</t>
  </si>
  <si>
    <t>Now add a formula in column K (Top Score?): =IF(H7=MAX($H$7:$H$31),"⭐ TOP!","") — notice the $ signs! These are ABSOLUTE REFERENCES — they don't change when copied.</t>
  </si>
  <si>
    <t>Copy K7 down to K31. Only the highest-scoring student gets the ⭐ symbol.</t>
  </si>
  <si>
    <t>💡 KEY LEARNING: $H$7 means 'always look at H7, never change it when copying'. H7 (without $) means 'change to H8, H9... as I copy down'. This is the difference between ABSOLUTE ($H$7) and RELATIVE (H7) references!</t>
  </si>
  <si>
    <t>TASK 5  —  Nested IF — Give A, B, C, D, F Grades</t>
  </si>
  <si>
    <t>A Nested IF puts one IF inside another. This lets you check multiple conditions. You will give every student a letter grade based on their average score. A=90+, B=75-89, C=60-74, D=45-59, F=below 45. Column I (Grade) is waiting.</t>
  </si>
  <si>
    <t>Result: A, B, C, D, or F</t>
  </si>
  <si>
    <t>4 IFs nested inside each other — checks from highest to lowest</t>
  </si>
  <si>
    <t>Click cell I7. This is the Grade column.</t>
  </si>
  <si>
    <t>Type this ENTIRE formula (it is long — type carefully!):
=IF(H7&gt;=90,"A",IF(H7&gt;=75,"B",IF(H7&gt;=60,"C",IF(H7&gt;=45,"D","F"))))</t>
  </si>
  <si>
    <t>Press Enter. The letter grade A, B, C, D, or F appears.</t>
  </si>
  <si>
    <t>Copy I7 down to I31 for all 25 students.</t>
  </si>
  <si>
    <t>Check a few students manually — does the grade match their average? If average is 83, it should say B. If 91, it should say A.</t>
  </si>
  <si>
    <t>CHALLENGE: Go back to the formula bar for I7. Can you read the formula and understand each part? Trace through what happens for a student with average 72.</t>
  </si>
  <si>
    <t>TASK 6  —  COUNTIF &amp; SUMIF — Count and Sum by Condition</t>
  </si>
  <si>
    <t>COUNTIF counts cells that match a condition. SUMIF adds up cells that match a condition. Both are incredibly useful in real data work. You will complete the SUMMARY section AND the BUDGET TRACKER section.</t>
  </si>
  <si>
    <t>Result: number of A grades</t>
  </si>
  <si>
    <t>Count only cells containing 'A'</t>
  </si>
  <si>
    <t>Result: number of male students</t>
  </si>
  <si>
    <t>Count cells matching 'M'</t>
  </si>
  <si>
    <t>Result: sum of female averages</t>
  </si>
  <si>
    <t>SUMIF: if Gender=F, add that Average</t>
  </si>
  <si>
    <t>Result: count scoring 75+</t>
  </si>
  <si>
    <t>Use &amp; to join text and cell reference</t>
  </si>
  <si>
    <t>Result: total marks for A students</t>
  </si>
  <si>
    <t>Sum Totals only where Grade=A</t>
  </si>
  <si>
    <t>Complete all 11 remaining rows in the SUMMARY STATISTICS area using COUNTIF.</t>
  </si>
  <si>
    <t>Now go to the BUDGET TRACKER table (columns I–N, below student data).</t>
  </si>
  <si>
    <t>For each department, fill in column L (Remaining): =K{row}-J{row} (Spent minus Budget — wait, it's Budget minus Spent: =J{row}-K{row}).</t>
  </si>
  <si>
    <t>Fill in column M (% Used): =K{row}/J{row} — format the cell as Percentage (Home → % button).</t>
  </si>
  <si>
    <t>Fill in column N (Over Budget?): =IF(K{row}&gt;J{row},"YES ⚠️","No").</t>
  </si>
  <si>
    <t>TASK 7  —  VLOOKUP — Look Up Student Data by ID</t>
  </si>
  <si>
    <t>VLOOKUP searches a table for a value and returns information from another column. SYNTAX: =VLOOKUP(what_to_find, where_to_look, which_column, exact_or_approx). You will look up a student by their ID and automatically show their name and grade.</t>
  </si>
  <si>
    <t>Result: Chloe Patel (her name)</t>
  </si>
  <si>
    <t>Find SC003 in column A, return column 2 (Name), FALSE=exact match</t>
  </si>
  <si>
    <t>Result: the grade of student SC010</t>
  </si>
  <si>
    <t>col 9 = Grade column</t>
  </si>
  <si>
    <t>Find an empty area on the sheet (try cell P5).</t>
  </si>
  <si>
    <t>Type a label in P5: "Student Lookup Tool".</t>
  </si>
  <si>
    <t>In P6: type a Student ID — for example: SC007</t>
  </si>
  <si>
    <t>In P7: type this formula:  =VLOOKUP(P6,A7:N31,2,FALSE)  — this finds the student's NAME.</t>
  </si>
  <si>
    <t>In P8: type:  =VLOOKUP(P6,A7:N31,9,FALSE)  — this finds their GRADE.</t>
  </si>
  <si>
    <t>In P9: type:  =VLOOKUP(P6,A7:N31,8,FALSE)  — this finds their AVERAGE.</t>
  </si>
  <si>
    <t>Now change the ID in P6 to SC015. Watch ALL three results update automatically!</t>
  </si>
  <si>
    <t xml:space="preserve">  8</t>
  </si>
  <si>
    <t>CHALLENGE: Change FALSE to TRUE in one formula. What happens? (TRUE = approximate match, FALSE = exact match — always use FALSE for IDs!)</t>
  </si>
  <si>
    <t>TASK 8  —  Text &amp; Date Formulas — LEN, UPPER, TODAY, YEAR</t>
  </si>
  <si>
    <t>Excel can also work with text and dates. LEN counts the characters in a name, UPPER converts text to capitals, TODAY() shows today's date, YEAR extracts the year. Columns L, M, and N in the student table are waiting for these formulas.</t>
  </si>
  <si>
    <t>Result: 14 (for Alice Johnson)</t>
  </si>
  <si>
    <t>Counts every character including space</t>
  </si>
  <si>
    <t>Result: "ALICE JOHNSON"</t>
  </si>
  <si>
    <t>Converts all text to CAPITAL LETTERS</t>
  </si>
  <si>
    <t>Result: "alice johnson"</t>
  </si>
  <si>
    <t>Converts all text to lowercase</t>
  </si>
  <si>
    <t>Result: "Alice"</t>
  </si>
  <si>
    <t>Takes first 5 characters from left</t>
  </si>
  <si>
    <t>Result: today's date</t>
  </si>
  <si>
    <t>Shows current date — updates every day</t>
  </si>
  <si>
    <t>Result: current year (2026)</t>
  </si>
  <si>
    <t>Extracts the year from a date</t>
  </si>
  <si>
    <t>Result: years since enrollment</t>
  </si>
  <si>
    <t>How long student has been enrolled</t>
  </si>
  <si>
    <t>Click cell L7 (Name Length column). Type: =LEN(B7). Copy down to L31.</t>
  </si>
  <si>
    <t>Click cell M7 (Name Upper column). Type: =UPPER(B7). Copy down to M31.</t>
  </si>
  <si>
    <t>Click cell N7 (Enrollment Year column — this already has data: 2022 or 2023). In cell O7 (after the data), type: =YEAR(TODAY())-N7 to find years enrolled.</t>
  </si>
  <si>
    <t>In an empty cell, type: =TODAY(). What date appears? Now type =NOW() — what's different?</t>
  </si>
  <si>
    <t>CHALLENGE: In an empty cell type: =UPPER(LEFT(B7,1))&amp;LOWER(MID(B7,2,100)). What does this do? (It properly capitalises a name — first letter upper, rest lower.)</t>
  </si>
  <si>
    <t>📖  Formula Bar Quick Reference Card — Keep This Open While You Work!</t>
  </si>
  <si>
    <t>Formula</t>
  </si>
  <si>
    <t>Syntax</t>
  </si>
  <si>
    <t>Example</t>
  </si>
  <si>
    <t>Result</t>
  </si>
  <si>
    <t>Category</t>
  </si>
  <si>
    <t>Difficulty</t>
  </si>
  <si>
    <t>SUM</t>
  </si>
  <si>
    <t>Adds all values</t>
  </si>
  <si>
    <t>Arithmetic</t>
  </si>
  <si>
    <t>⭐</t>
  </si>
  <si>
    <t>AVERAGE</t>
  </si>
  <si>
    <t>Mean value</t>
  </si>
  <si>
    <t>ROUND</t>
  </si>
  <si>
    <t>76.6</t>
  </si>
  <si>
    <t>Rounding</t>
  </si>
  <si>
    <t>ROUNDUP</t>
  </si>
  <si>
    <t>77</t>
  </si>
  <si>
    <t>MIN</t>
  </si>
  <si>
    <t>Lowest value</t>
  </si>
  <si>
    <t>Stats</t>
  </si>
  <si>
    <t>MAX</t>
  </si>
  <si>
    <t>Highest value</t>
  </si>
  <si>
    <t>COUNT</t>
  </si>
  <si>
    <t>Count numbers</t>
  </si>
  <si>
    <t>COUNTA</t>
  </si>
  <si>
    <t>Count non-empty</t>
  </si>
  <si>
    <t>IF</t>
  </si>
  <si>
    <t>PASS or FAIL</t>
  </si>
  <si>
    <t>Logic</t>
  </si>
  <si>
    <t>⭐⭐</t>
  </si>
  <si>
    <t>Nested IF</t>
  </si>
  <si>
    <t>A,B,C,D,F</t>
  </si>
  <si>
    <t>⭐⭐⭐</t>
  </si>
  <si>
    <t>COUNTIF</t>
  </si>
  <si>
    <t>Count of A grades</t>
  </si>
  <si>
    <t>SUMIF</t>
  </si>
  <si>
    <t>Sum if Female</t>
  </si>
  <si>
    <t>Student name</t>
  </si>
  <si>
    <t>Lookup</t>
  </si>
  <si>
    <t>LEN</t>
  </si>
  <si>
    <t>Name length</t>
  </si>
  <si>
    <t>Text</t>
  </si>
  <si>
    <t>UPPER</t>
  </si>
  <si>
    <t>ALL CAPS</t>
  </si>
  <si>
    <t>LOWER</t>
  </si>
  <si>
    <t>all lower</t>
  </si>
  <si>
    <t>LEFT</t>
  </si>
  <si>
    <t>First 5 chars</t>
  </si>
  <si>
    <t>TODAY</t>
  </si>
  <si>
    <t>Today's date</t>
  </si>
  <si>
    <t>Date</t>
  </si>
  <si>
    <t>YEAR</t>
  </si>
  <si>
    <t>Current year</t>
  </si>
  <si>
    <t>NOW</t>
  </si>
  <si>
    <t>Date &amp; time</t>
  </si>
  <si>
    <t>✔️  MY PROGRESS — Type ✓ in the last column as you complete each step</t>
  </si>
  <si>
    <t>Task</t>
  </si>
  <si>
    <t>What You Did</t>
  </si>
  <si>
    <t>Done ✓</t>
  </si>
  <si>
    <t>Filled Total column G7:G31 using =SUM(D7:F7)</t>
  </si>
  <si>
    <t>Formula Bar</t>
  </si>
  <si>
    <t>Read the formula bar for G8 and saw =SUM(D8:F8)</t>
  </si>
  <si>
    <t>Relative Ref</t>
  </si>
  <si>
    <t>Understood why the row number changed when copied</t>
  </si>
  <si>
    <t>Filled Average column H7:H31 with =ROUND(AVERAGE(...),1)</t>
  </si>
  <si>
    <t>Tried =ROUND(76.567,2) in a spare cell</t>
  </si>
  <si>
    <t>Tested =ROUNDUP(76.1,0) and saw result is 77</t>
  </si>
  <si>
    <t>Found highest score with =MAX(D7:D31) in summary</t>
  </si>
  <si>
    <t>Found lowest score with =MIN(D7:D31)</t>
  </si>
  <si>
    <t>Counted students with =COUNTA(B7:B31)</t>
  </si>
  <si>
    <t>Counted Male students with =COUNTIF(C7:C31,"M")</t>
  </si>
  <si>
    <t>Filled Pass/Fail col J with =IF(H7&gt;=50,"PASS","FAIL")</t>
  </si>
  <si>
    <t>Absolute $</t>
  </si>
  <si>
    <t>Used $H$7:$H$31 in the Top Score formula</t>
  </si>
  <si>
    <t>Copy down</t>
  </si>
  <si>
    <t>Saw that $ stopped the reference changing when copied</t>
  </si>
  <si>
    <t>Filled Grade column I with full nested IF formula</t>
  </si>
  <si>
    <t>Trace formula</t>
  </si>
  <si>
    <t>Traced what happens for a student with average 72</t>
  </si>
  <si>
    <t>Completed all grade count rows in summary</t>
  </si>
  <si>
    <t>Used =SUMIF to sum female averages</t>
  </si>
  <si>
    <t>Budget</t>
  </si>
  <si>
    <t>Filled Remaining, % Used, Over Budget? in budget table</t>
  </si>
  <si>
    <t>Built the Student Lookup Tool in column P</t>
  </si>
  <si>
    <t>VLOOKUP test</t>
  </si>
  <si>
    <t>Changed the ID in P6 and watched results update</t>
  </si>
  <si>
    <t>FALSE vs TRUE</t>
  </si>
  <si>
    <t>Tested TRUE vs FALSE in VLOOKUP</t>
  </si>
  <si>
    <t>Filled Name Length column L with =LEN(B7)</t>
  </si>
  <si>
    <t>Filled Name Upper column M with =UPPER(B7)</t>
  </si>
  <si>
    <t>Used =TODAY() and =NOW() in spare cells</t>
  </si>
  <si>
    <t>Date maths</t>
  </si>
  <si>
    <t>Calculated years enrolled with =YEAR(TODAY())-N7</t>
  </si>
  <si>
    <t>BONUS</t>
  </si>
  <si>
    <t>Nested Text</t>
  </si>
  <si>
    <t>Tried =UPPER(LEFT(B7,1))&amp;LOWER(MID(B7,2,100))</t>
  </si>
  <si>
    <t>MY SCORE:</t>
  </si>
  <si>
    <t>Student Lookup Tool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</si>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</sst>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FFFFFF"/>
      <name val="Arial"/>
    </font>
    <font>
      <b/>
      <sz val="12"/>
      <color rgb="FFFFFFFF"/>
      <name val="Arial"/>
    </font>
    <font>
      <sz val="10"/>
      <color rgb="FF212121"/>
      <name val="Arial"/>
    </font>
    <font>
      <b/>
      <sz val="10"/>
      <color rgb="FFFFFFFF"/>
      <name val="Arial"/>
    </font>
    <font>
      <b/>
      <sz val="10"/>
      <color rgb="FF212121"/>
      <name val="Arial"/>
    </font>
    <font>
      <sz val="9"/>
      <color rgb="FF4A148C"/>
      <name val="Courier New"/>
    </font>
    <font>
      <i/>
      <sz val="9"/>
      <color rgb="FF757575"/>
      <name val="Arial"/>
    </font>
    <font>
      <b/>
      <sz val="13"/>
      <color rgb="FFFFFFFF"/>
      <name val="Arial"/>
    </font>
    <font>
      <i/>
      <sz val="9"/>
      <color rgb="FF1565C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i/>
      <sz val="8"/>
      <color rgb="FFFFFFFF"/>
      <name val="Arial"/>
    </font>
    <font>
      <i/>
      <sz val="9"/>
      <color rgb="FFE65100"/>
      <name val="Arial"/>
    </font>
    <font>
      <b/>
      <sz val="9"/>
      <color rgb="FF006064"/>
      <name val="Arial"/>
    </font>
    <font>
      <i/>
      <sz val="8"/>
      <color rgb="FFBDBDBD"/>
      <name val="Arial"/>
    </font>
    <font>
      <b/>
      <sz val="10"/>
      <color rgb="FF2E7D32"/>
      <name val="Arial"/>
    </font>
    <font>
      <i/>
      <sz val="8"/>
      <color rgb="FFE65100"/>
      <name val="Arial"/>
    </font>
    <font>
      <b/>
      <sz val="15"/>
      <color rgb="FFFFFFFF"/>
      <name val="Arial"/>
    </font>
    <font>
      <sz val="10"/>
      <color rgb="FF1565C0"/>
      <name val="Arial"/>
    </font>
    <font>
      <sz val="9"/>
      <color rgb="FF212121"/>
      <name val="Arial"/>
    </font>
    <font>
      <b/>
      <sz val="10"/>
      <color rgb="FF4A148C"/>
      <name val="Courier New"/>
    </font>
    <font>
      <b/>
      <sz val="9"/>
      <color rgb="FF2E7D32"/>
      <name val="Arial"/>
    </font>
    <font>
      <i/>
      <sz val="8"/>
      <color rgb="FF757575"/>
      <name val="Arial"/>
    </font>
    <font>
      <sz val="8"/>
      <color rgb="FF4A148C"/>
      <name val="Courier New"/>
    </font>
    <font>
      <sz val="11"/>
      <color rgb="FFE65100"/>
      <name val="Arial"/>
    </font>
    <font>
      <b/>
      <sz val="12"/>
      <color rgb="FF2E7D32"/>
      <name val="Arial"/>
    </font>
    <font>
      <b/>
      <sz val="11"/>
      <color rgb="FF2E7D32"/>
      <name val="Arial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565C0"/>
      </patternFill>
    </fill>
    <fill>
      <patternFill patternType="solid">
        <fgColor rgb="FF4A148C"/>
      </patternFill>
    </fill>
    <fill>
      <patternFill patternType="solid">
        <fgColor rgb="FFE3F2FD"/>
      </patternFill>
    </fill>
    <fill>
      <patternFill patternType="solid">
        <fgColor rgb="FF006064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FF8F00"/>
      </patternFill>
    </fill>
    <fill>
      <patternFill patternType="solid">
        <fgColor rgb="FFE0F7FA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EDE7F6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96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16" fillId="0" borderId="0" xfId="0" applyFont="1"/>
    <xf numFmtId="0" fontId="12" fillId="13" borderId="1" xfId="0" applyFont="1" applyFill="1" applyBorder="1" applyAlignment="1">
      <alignment horizontal="center" vertical="center"/>
    </xf>
    <xf numFmtId="164" fontId="17" fillId="15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8" fillId="1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9" fontId="18" fillId="8" borderId="1" xfId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workbookViewId="0">
      <selection sqref="A1:I1"/>
    </sheetView>
  </sheetViews>
  <sheetFormatPr defaultRowHeight="15" x14ac:dyDescent="0.25"/>
  <cols>
    <col min="1" max="1" width="12" customWidth="1"/>
    <col min="2" max="3" width="16" customWidth="1"/>
    <col min="4" max="4" width="20" customWidth="1"/>
    <col min="5" max="5" width="14" customWidth="1"/>
    <col min="6" max="6" width="38" customWidth="1"/>
    <col min="7" max="9" width="8" customWidth="1"/>
  </cols>
  <sheetData>
    <row r="1" spans="1:9" ht="39.950000000000003" customHeight="1" x14ac:dyDescent="0.25">
      <c r="A1" s="63" t="s">
        <v>0</v>
      </c>
      <c r="B1" s="55"/>
      <c r="C1" s="55"/>
      <c r="D1" s="55"/>
      <c r="E1" s="55"/>
      <c r="F1" s="55"/>
      <c r="G1" s="55"/>
      <c r="H1" s="55"/>
      <c r="I1" s="55"/>
    </row>
    <row r="2" spans="1:9" ht="21.95" customHeight="1" x14ac:dyDescent="0.25">
      <c r="A2" s="58" t="s">
        <v>1</v>
      </c>
      <c r="B2" s="55"/>
      <c r="C2" s="55"/>
      <c r="D2" s="55"/>
      <c r="E2" s="55"/>
      <c r="F2" s="55"/>
      <c r="G2" s="55"/>
      <c r="H2" s="55"/>
      <c r="I2" s="55"/>
    </row>
    <row r="3" spans="1:9" ht="8.1" customHeight="1" x14ac:dyDescent="0.25"/>
    <row r="4" spans="1:9" ht="24" customHeight="1" x14ac:dyDescent="0.25">
      <c r="A4" s="59" t="s">
        <v>2</v>
      </c>
      <c r="B4" s="55"/>
      <c r="C4" s="55"/>
      <c r="D4" s="55"/>
      <c r="E4" s="55"/>
      <c r="F4" s="55"/>
      <c r="G4" s="55"/>
      <c r="H4" s="55"/>
      <c r="I4" s="55"/>
    </row>
    <row r="5" spans="1:9" ht="32.1" customHeight="1" x14ac:dyDescent="0.25">
      <c r="A5" s="61" t="s">
        <v>3</v>
      </c>
      <c r="B5" s="55"/>
      <c r="C5" s="55"/>
      <c r="D5" s="55"/>
      <c r="E5" s="55"/>
      <c r="F5" s="55"/>
      <c r="G5" s="55"/>
      <c r="H5" s="55"/>
      <c r="I5" s="55"/>
    </row>
    <row r="6" spans="1:9" ht="27.95" customHeight="1" x14ac:dyDescent="0.25">
      <c r="A6" s="55"/>
      <c r="B6" s="55"/>
      <c r="C6" s="55"/>
      <c r="D6" s="55"/>
      <c r="E6" s="55"/>
      <c r="F6" s="55"/>
      <c r="G6" s="55"/>
      <c r="H6" s="55"/>
      <c r="I6" s="55"/>
    </row>
    <row r="7" spans="1:9" ht="27.95" customHeight="1" x14ac:dyDescent="0.25">
      <c r="A7" s="55"/>
      <c r="B7" s="55"/>
      <c r="C7" s="55"/>
      <c r="D7" s="55"/>
      <c r="E7" s="55"/>
      <c r="F7" s="55"/>
      <c r="G7" s="55"/>
      <c r="H7" s="55"/>
      <c r="I7" s="55"/>
    </row>
    <row r="8" spans="1:9" ht="8.1" customHeight="1" x14ac:dyDescent="0.25"/>
    <row r="9" spans="1:9" ht="24" customHeight="1" x14ac:dyDescent="0.25">
      <c r="A9" s="62" t="s">
        <v>4</v>
      </c>
      <c r="B9" s="55"/>
      <c r="C9" s="55"/>
      <c r="D9" s="55"/>
      <c r="E9" s="55"/>
      <c r="F9" s="55"/>
      <c r="G9" s="55"/>
      <c r="H9" s="55"/>
      <c r="I9" s="55"/>
    </row>
    <row r="10" spans="1:9" ht="21.95" customHeight="1" x14ac:dyDescent="0.25">
      <c r="A10" s="1" t="s">
        <v>5</v>
      </c>
      <c r="B10" s="56" t="s">
        <v>6</v>
      </c>
      <c r="C10" s="55"/>
      <c r="D10" s="57"/>
      <c r="E10" s="55"/>
      <c r="F10" s="54" t="s">
        <v>7</v>
      </c>
      <c r="G10" s="55"/>
      <c r="H10" s="55"/>
      <c r="I10" s="55"/>
    </row>
    <row r="11" spans="1:9" ht="21.95" customHeight="1" x14ac:dyDescent="0.25">
      <c r="A11" s="3" t="s">
        <v>8</v>
      </c>
      <c r="B11" s="56" t="s">
        <v>9</v>
      </c>
      <c r="C11" s="55"/>
      <c r="D11" s="57"/>
      <c r="E11" s="55"/>
      <c r="F11" s="54" t="s">
        <v>10</v>
      </c>
      <c r="G11" s="55"/>
      <c r="H11" s="55"/>
      <c r="I11" s="55"/>
    </row>
    <row r="12" spans="1:9" ht="21.95" customHeight="1" x14ac:dyDescent="0.25">
      <c r="A12" s="4" t="s">
        <v>11</v>
      </c>
      <c r="B12" s="56" t="s">
        <v>12</v>
      </c>
      <c r="C12" s="55"/>
      <c r="D12" s="57"/>
      <c r="E12" s="55"/>
      <c r="F12" s="54" t="s">
        <v>13</v>
      </c>
      <c r="G12" s="55"/>
      <c r="H12" s="55"/>
      <c r="I12" s="55"/>
    </row>
    <row r="13" spans="1:9" ht="21.95" customHeight="1" x14ac:dyDescent="0.25">
      <c r="A13" s="5" t="s">
        <v>14</v>
      </c>
      <c r="B13" s="56" t="s">
        <v>15</v>
      </c>
      <c r="C13" s="55"/>
      <c r="D13" s="57"/>
      <c r="E13" s="55"/>
      <c r="F13" s="54" t="s">
        <v>16</v>
      </c>
      <c r="G13" s="55"/>
      <c r="H13" s="55"/>
      <c r="I13" s="55"/>
    </row>
    <row r="14" spans="1:9" ht="21.95" customHeight="1" x14ac:dyDescent="0.25">
      <c r="A14" s="6" t="s">
        <v>17</v>
      </c>
      <c r="B14" s="56" t="s">
        <v>18</v>
      </c>
      <c r="C14" s="55"/>
      <c r="D14" s="57"/>
      <c r="E14" s="55"/>
      <c r="F14" s="54" t="s">
        <v>19</v>
      </c>
      <c r="G14" s="55"/>
      <c r="H14" s="55"/>
      <c r="I14" s="55"/>
    </row>
    <row r="15" spans="1:9" ht="21.95" customHeight="1" x14ac:dyDescent="0.25">
      <c r="A15" s="7" t="s">
        <v>20</v>
      </c>
      <c r="B15" s="56" t="s">
        <v>21</v>
      </c>
      <c r="C15" s="55"/>
      <c r="D15" s="57"/>
      <c r="E15" s="55"/>
      <c r="F15" s="54" t="s">
        <v>22</v>
      </c>
      <c r="G15" s="55"/>
      <c r="H15" s="55"/>
      <c r="I15" s="55"/>
    </row>
    <row r="16" spans="1:9" ht="21.95" customHeight="1" x14ac:dyDescent="0.25">
      <c r="A16" s="8" t="s">
        <v>23</v>
      </c>
      <c r="B16" s="56" t="s">
        <v>24</v>
      </c>
      <c r="C16" s="55"/>
      <c r="D16" s="57"/>
      <c r="E16" s="55"/>
      <c r="F16" s="54" t="s">
        <v>25</v>
      </c>
      <c r="G16" s="55"/>
      <c r="H16" s="55"/>
      <c r="I16" s="55"/>
    </row>
    <row r="17" spans="1:9" ht="21.95" customHeight="1" x14ac:dyDescent="0.25">
      <c r="A17" s="3" t="s">
        <v>26</v>
      </c>
      <c r="B17" s="56" t="s">
        <v>27</v>
      </c>
      <c r="C17" s="55"/>
      <c r="D17" s="57"/>
      <c r="E17" s="55"/>
      <c r="F17" s="54" t="s">
        <v>28</v>
      </c>
      <c r="G17" s="55"/>
      <c r="H17" s="55"/>
      <c r="I17" s="55"/>
    </row>
    <row r="18" spans="1:9" ht="8.1" customHeight="1" x14ac:dyDescent="0.25"/>
    <row r="19" spans="1:9" ht="27.95" customHeight="1" x14ac:dyDescent="0.25">
      <c r="A19" s="60" t="s">
        <v>29</v>
      </c>
      <c r="B19" s="55"/>
      <c r="C19" s="55"/>
      <c r="D19" s="55"/>
      <c r="E19" s="55"/>
      <c r="F19" s="55"/>
      <c r="G19" s="55"/>
      <c r="H19" s="55"/>
      <c r="I19" s="55"/>
    </row>
  </sheetData>
  <mergeCells count="30">
    <mergeCell ref="A1:I1"/>
    <mergeCell ref="D14:E14"/>
    <mergeCell ref="A19:I19"/>
    <mergeCell ref="A5:I7"/>
    <mergeCell ref="B10:C10"/>
    <mergeCell ref="F12:I12"/>
    <mergeCell ref="A9:I9"/>
    <mergeCell ref="F15:I15"/>
    <mergeCell ref="D12:E12"/>
    <mergeCell ref="B15:C15"/>
    <mergeCell ref="F17:I17"/>
    <mergeCell ref="D15:E15"/>
    <mergeCell ref="B17:C17"/>
    <mergeCell ref="A4:I4"/>
    <mergeCell ref="F10:I10"/>
    <mergeCell ref="D17:E17"/>
    <mergeCell ref="B13:C13"/>
    <mergeCell ref="D16:E16"/>
    <mergeCell ref="A2:I2"/>
    <mergeCell ref="B11:C11"/>
    <mergeCell ref="D11:E11"/>
    <mergeCell ref="D13:E13"/>
    <mergeCell ref="F11:I11"/>
    <mergeCell ref="F13:I13"/>
    <mergeCell ref="B16:C16"/>
    <mergeCell ref="D10:E10"/>
    <mergeCell ref="B12:C12"/>
    <mergeCell ref="F14:I14"/>
    <mergeCell ref="B14:C14"/>
    <mergeCell ref="F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"/>
  <sheetViews>
    <sheetView topLeftCell="B1" workbookViewId="0">
      <pane ySplit="6" topLeftCell="A7" activePane="bottomLeft" state="frozen"/>
      <selection pane="bottomLeft" activeCell="N8" sqref="N8"/>
    </sheetView>
  </sheetViews>
  <sheetFormatPr defaultRowHeight="15" x14ac:dyDescent="0.25"/>
  <cols>
    <col min="1" max="1" width="20.7109375" bestFit="1" customWidth="1"/>
    <col min="2" max="2" width="12.5703125" bestFit="1" customWidth="1"/>
    <col min="3" max="3" width="11.140625" bestFit="1" customWidth="1"/>
    <col min="4" max="4" width="17.5703125" bestFit="1" customWidth="1"/>
    <col min="5" max="5" width="32.85546875" bestFit="1" customWidth="1"/>
    <col min="6" max="6" width="5.85546875" bestFit="1" customWidth="1"/>
    <col min="7" max="8" width="8.28515625" bestFit="1" customWidth="1"/>
    <col min="9" max="9" width="11" bestFit="1" customWidth="1"/>
    <col min="10" max="10" width="8.28515625" bestFit="1" customWidth="1"/>
    <col min="11" max="11" width="10.28515625" bestFit="1" customWidth="1"/>
    <col min="12" max="13" width="18.42578125" bestFit="1" customWidth="1"/>
    <col min="14" max="14" width="14" customWidth="1"/>
    <col min="16" max="16" width="19.42578125" bestFit="1" customWidth="1"/>
  </cols>
  <sheetData>
    <row r="1" spans="1:16" ht="27.95" customHeight="1" x14ac:dyDescent="0.25">
      <c r="A1" s="65" t="s">
        <v>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t="18" customHeight="1" x14ac:dyDescent="0.25">
      <c r="A2" s="68" t="s">
        <v>31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6" ht="8.1" customHeight="1" x14ac:dyDescent="0.25"/>
    <row r="4" spans="1:16" ht="21.95" customHeight="1" x14ac:dyDescent="0.25">
      <c r="A4" s="69" t="s">
        <v>32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 spans="1:16" ht="21.95" customHeight="1" x14ac:dyDescent="0.25">
      <c r="A5" s="9" t="s">
        <v>33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  <c r="J5" s="9" t="s">
        <v>42</v>
      </c>
      <c r="K5" s="9" t="s">
        <v>43</v>
      </c>
      <c r="L5" s="9" t="s">
        <v>44</v>
      </c>
      <c r="M5" s="9" t="s">
        <v>45</v>
      </c>
      <c r="N5" s="9" t="s">
        <v>46</v>
      </c>
      <c r="P5" t="s">
        <v>409</v>
      </c>
    </row>
    <row r="6" spans="1:16" ht="15.95" customHeight="1" x14ac:dyDescent="0.25">
      <c r="A6" s="10" t="s">
        <v>47</v>
      </c>
      <c r="B6" s="10" t="s">
        <v>48</v>
      </c>
      <c r="C6" s="10" t="s">
        <v>49</v>
      </c>
      <c r="D6" s="10" t="s">
        <v>50</v>
      </c>
      <c r="E6" s="10" t="s">
        <v>50</v>
      </c>
      <c r="F6" s="10" t="s">
        <v>50</v>
      </c>
      <c r="G6" s="10" t="s">
        <v>51</v>
      </c>
      <c r="H6" s="10" t="s">
        <v>52</v>
      </c>
      <c r="I6" s="10" t="s">
        <v>53</v>
      </c>
      <c r="J6" s="10" t="s">
        <v>54</v>
      </c>
      <c r="K6" s="10" t="s">
        <v>55</v>
      </c>
      <c r="L6" s="10" t="s">
        <v>56</v>
      </c>
      <c r="M6" s="10" t="s">
        <v>56</v>
      </c>
      <c r="N6" s="10" t="s">
        <v>56</v>
      </c>
      <c r="P6" s="95" t="s">
        <v>87</v>
      </c>
    </row>
    <row r="7" spans="1:16" ht="18" customHeight="1" x14ac:dyDescent="0.25">
      <c r="A7" s="11" t="s">
        <v>57</v>
      </c>
      <c r="B7" s="11" t="s">
        <v>58</v>
      </c>
      <c r="C7" s="11" t="s">
        <v>59</v>
      </c>
      <c r="D7" s="11">
        <v>89</v>
      </c>
      <c r="E7" s="11">
        <v>67</v>
      </c>
      <c r="F7" s="11">
        <v>60</v>
      </c>
      <c r="G7" s="12">
        <f>SUM(D7:F7)</f>
        <v>216</v>
      </c>
      <c r="H7" s="12">
        <f>ROUND(AVERAGE(D7:F7),1)</f>
        <v>72</v>
      </c>
      <c r="I7" s="12" t="str">
        <f>IF(H7&gt;=90,"A",IF(H7&gt;=75,"B",IF(H7&gt;=60,"C",IF(H7&gt;=45,"D","F"))))</f>
        <v>C</v>
      </c>
      <c r="J7" s="12" t="str">
        <f>IF(H7&gt;=50,"PASS","FAIL")</f>
        <v>PASS</v>
      </c>
      <c r="K7" s="12" t="str">
        <f>IF(H7=MAX($H$7:$H$31),"⭐ TOP!","")</f>
        <v/>
      </c>
      <c r="L7" s="12">
        <f>LEN(B7)</f>
        <v>13</v>
      </c>
      <c r="M7" s="12" t="str">
        <f>UPPER(B7)</f>
        <v>ALICE JOHNSON</v>
      </c>
      <c r="N7" s="11">
        <v>2021</v>
      </c>
      <c r="P7" t="str">
        <f>VLOOKUP(P6,A7:N31,2,FALSE)</f>
        <v>Olivia Scott</v>
      </c>
    </row>
    <row r="8" spans="1:16" ht="18" customHeight="1" x14ac:dyDescent="0.25">
      <c r="A8" s="13" t="s">
        <v>60</v>
      </c>
      <c r="B8" s="13" t="s">
        <v>61</v>
      </c>
      <c r="C8" s="13" t="s">
        <v>62</v>
      </c>
      <c r="D8" s="13">
        <v>50</v>
      </c>
      <c r="E8" s="13">
        <v>65</v>
      </c>
      <c r="F8" s="13">
        <v>52</v>
      </c>
      <c r="G8" s="12">
        <f t="shared" ref="G8:G31" si="0">SUM(D8:F8)</f>
        <v>167</v>
      </c>
      <c r="H8" s="12">
        <f t="shared" ref="H8:H31" si="1">ROUND(AVERAGE(D8:F8),1)</f>
        <v>55.7</v>
      </c>
      <c r="I8" s="12" t="str">
        <f t="shared" ref="I8:I31" si="2">IF(H8&gt;=90,"A",IF(H8&gt;=75,"B",IF(H8&gt;=60,"C",IF(H8&gt;=45,"D","F"))))</f>
        <v>D</v>
      </c>
      <c r="J8" s="12" t="str">
        <f t="shared" ref="J8:J31" si="3">IF(H8&gt;=50,"PASS","FAIL")</f>
        <v>PASS</v>
      </c>
      <c r="K8" s="12" t="str">
        <f t="shared" ref="K8:K31" si="4">IF(H8=MAX($H$7:$H$31),"⭐ TOP!","")</f>
        <v/>
      </c>
      <c r="L8" s="12">
        <f t="shared" ref="L8:L31" si="5">LEN(B8)</f>
        <v>10</v>
      </c>
      <c r="M8" s="12" t="str">
        <f t="shared" ref="M8:M31" si="6">UPPER(B8)</f>
        <v>BEN CARTER</v>
      </c>
      <c r="N8" s="13">
        <v>2022</v>
      </c>
      <c r="P8" t="str">
        <f>VLOOKUP(P6,A7:N31,9,TRUE)</f>
        <v>B</v>
      </c>
    </row>
    <row r="9" spans="1:16" ht="18" customHeight="1" x14ac:dyDescent="0.25">
      <c r="A9" s="11" t="s">
        <v>63</v>
      </c>
      <c r="B9" s="11" t="s">
        <v>64</v>
      </c>
      <c r="C9" s="11" t="s">
        <v>59</v>
      </c>
      <c r="D9" s="11">
        <v>90</v>
      </c>
      <c r="E9" s="11">
        <v>49</v>
      </c>
      <c r="F9" s="11">
        <v>58</v>
      </c>
      <c r="G9" s="12">
        <f t="shared" si="0"/>
        <v>197</v>
      </c>
      <c r="H9" s="12">
        <f t="shared" si="1"/>
        <v>65.7</v>
      </c>
      <c r="I9" s="12" t="str">
        <f t="shared" si="2"/>
        <v>C</v>
      </c>
      <c r="J9" s="12" t="str">
        <f t="shared" si="3"/>
        <v>PASS</v>
      </c>
      <c r="K9" s="12" t="str">
        <f t="shared" si="4"/>
        <v/>
      </c>
      <c r="L9" s="12">
        <f t="shared" si="5"/>
        <v>11</v>
      </c>
      <c r="M9" s="12" t="str">
        <f t="shared" si="6"/>
        <v>CHLOE PATEL</v>
      </c>
      <c r="N9" s="11">
        <v>2023</v>
      </c>
    </row>
    <row r="10" spans="1:16" ht="18" customHeight="1" x14ac:dyDescent="0.25">
      <c r="A10" s="13" t="s">
        <v>65</v>
      </c>
      <c r="B10" s="13" t="s">
        <v>66</v>
      </c>
      <c r="C10" s="13" t="s">
        <v>62</v>
      </c>
      <c r="D10" s="13">
        <v>68</v>
      </c>
      <c r="E10" s="13">
        <v>65</v>
      </c>
      <c r="F10" s="13">
        <v>49</v>
      </c>
      <c r="G10" s="12">
        <f t="shared" si="0"/>
        <v>182</v>
      </c>
      <c r="H10" s="12">
        <f t="shared" si="1"/>
        <v>60.7</v>
      </c>
      <c r="I10" s="12" t="str">
        <f t="shared" si="2"/>
        <v>C</v>
      </c>
      <c r="J10" s="12" t="str">
        <f t="shared" si="3"/>
        <v>PASS</v>
      </c>
      <c r="K10" s="12" t="str">
        <f t="shared" si="4"/>
        <v/>
      </c>
      <c r="L10" s="12">
        <f t="shared" si="5"/>
        <v>10</v>
      </c>
      <c r="M10" s="12" t="str">
        <f t="shared" si="6"/>
        <v>DANIEL KIM</v>
      </c>
      <c r="N10" s="13">
        <v>2022</v>
      </c>
    </row>
    <row r="11" spans="1:16" ht="18" customHeight="1" x14ac:dyDescent="0.25">
      <c r="A11" s="11" t="s">
        <v>67</v>
      </c>
      <c r="B11" s="11" t="s">
        <v>68</v>
      </c>
      <c r="C11" s="11" t="s">
        <v>59</v>
      </c>
      <c r="D11" s="11">
        <v>73</v>
      </c>
      <c r="E11" s="11">
        <v>99</v>
      </c>
      <c r="F11" s="11">
        <v>40</v>
      </c>
      <c r="G11" s="12">
        <f t="shared" si="0"/>
        <v>212</v>
      </c>
      <c r="H11" s="12">
        <f t="shared" si="1"/>
        <v>70.7</v>
      </c>
      <c r="I11" s="12" t="str">
        <f t="shared" si="2"/>
        <v>C</v>
      </c>
      <c r="J11" s="12" t="str">
        <f t="shared" si="3"/>
        <v>PASS</v>
      </c>
      <c r="K11" s="12" t="str">
        <f t="shared" si="4"/>
        <v/>
      </c>
      <c r="L11" s="12">
        <f t="shared" si="5"/>
        <v>10</v>
      </c>
      <c r="M11" s="12" t="str">
        <f t="shared" si="6"/>
        <v>EMMA WALSH</v>
      </c>
      <c r="N11" s="11">
        <v>2023</v>
      </c>
    </row>
    <row r="12" spans="1:16" ht="18" customHeight="1" x14ac:dyDescent="0.25">
      <c r="A12" s="13" t="s">
        <v>69</v>
      </c>
      <c r="B12" s="13" t="s">
        <v>70</v>
      </c>
      <c r="C12" s="13" t="s">
        <v>62</v>
      </c>
      <c r="D12" s="13">
        <v>92</v>
      </c>
      <c r="E12" s="13">
        <v>70</v>
      </c>
      <c r="F12" s="13">
        <v>41</v>
      </c>
      <c r="G12" s="12">
        <f t="shared" si="0"/>
        <v>203</v>
      </c>
      <c r="H12" s="12">
        <f t="shared" si="1"/>
        <v>67.7</v>
      </c>
      <c r="I12" s="12" t="str">
        <f t="shared" si="2"/>
        <v>C</v>
      </c>
      <c r="J12" s="12" t="str">
        <f t="shared" si="3"/>
        <v>PASS</v>
      </c>
      <c r="K12" s="12" t="str">
        <f t="shared" si="4"/>
        <v/>
      </c>
      <c r="L12" s="12">
        <f t="shared" si="5"/>
        <v>11</v>
      </c>
      <c r="M12" s="12" t="str">
        <f t="shared" si="6"/>
        <v>FINN MURPHY</v>
      </c>
      <c r="N12" s="13">
        <v>2022</v>
      </c>
    </row>
    <row r="13" spans="1:16" ht="18" customHeight="1" x14ac:dyDescent="0.25">
      <c r="A13" s="11" t="s">
        <v>71</v>
      </c>
      <c r="B13" s="11" t="s">
        <v>72</v>
      </c>
      <c r="C13" s="11" t="s">
        <v>59</v>
      </c>
      <c r="D13" s="11">
        <v>91</v>
      </c>
      <c r="E13" s="11">
        <v>98</v>
      </c>
      <c r="F13" s="11">
        <v>51</v>
      </c>
      <c r="G13" s="12">
        <f t="shared" si="0"/>
        <v>240</v>
      </c>
      <c r="H13" s="12">
        <f t="shared" si="1"/>
        <v>80</v>
      </c>
      <c r="I13" s="12" t="str">
        <f t="shared" si="2"/>
        <v>B</v>
      </c>
      <c r="J13" s="12" t="str">
        <f t="shared" si="3"/>
        <v>PASS</v>
      </c>
      <c r="K13" s="12" t="str">
        <f t="shared" si="4"/>
        <v/>
      </c>
      <c r="L13" s="12">
        <f t="shared" si="5"/>
        <v>9</v>
      </c>
      <c r="M13" s="12" t="str">
        <f t="shared" si="6"/>
        <v>GRACE LEE</v>
      </c>
      <c r="N13" s="11">
        <v>2023</v>
      </c>
    </row>
    <row r="14" spans="1:16" ht="18" customHeight="1" x14ac:dyDescent="0.25">
      <c r="A14" s="13" t="s">
        <v>73</v>
      </c>
      <c r="B14" s="13" t="s">
        <v>74</v>
      </c>
      <c r="C14" s="13" t="s">
        <v>62</v>
      </c>
      <c r="D14" s="13">
        <v>88</v>
      </c>
      <c r="E14" s="13">
        <v>59</v>
      </c>
      <c r="F14" s="13">
        <v>72</v>
      </c>
      <c r="G14" s="12">
        <f t="shared" si="0"/>
        <v>219</v>
      </c>
      <c r="H14" s="12">
        <f t="shared" si="1"/>
        <v>73</v>
      </c>
      <c r="I14" s="12" t="str">
        <f t="shared" si="2"/>
        <v>C</v>
      </c>
      <c r="J14" s="12" t="str">
        <f t="shared" si="3"/>
        <v>PASS</v>
      </c>
      <c r="K14" s="12" t="str">
        <f t="shared" si="4"/>
        <v/>
      </c>
      <c r="L14" s="12">
        <f t="shared" si="5"/>
        <v>11</v>
      </c>
      <c r="M14" s="12" t="str">
        <f t="shared" si="6"/>
        <v>HARRY SINGH</v>
      </c>
      <c r="N14" s="13">
        <v>2022</v>
      </c>
    </row>
    <row r="15" spans="1:16" ht="18" customHeight="1" x14ac:dyDescent="0.25">
      <c r="A15" s="11" t="s">
        <v>75</v>
      </c>
      <c r="B15" s="11" t="s">
        <v>76</v>
      </c>
      <c r="C15" s="11" t="s">
        <v>59</v>
      </c>
      <c r="D15" s="11">
        <v>91</v>
      </c>
      <c r="E15" s="11">
        <v>84</v>
      </c>
      <c r="F15" s="11">
        <v>51</v>
      </c>
      <c r="G15" s="12">
        <f t="shared" si="0"/>
        <v>226</v>
      </c>
      <c r="H15" s="12">
        <f t="shared" si="1"/>
        <v>75.3</v>
      </c>
      <c r="I15" s="12" t="str">
        <f t="shared" si="2"/>
        <v>B</v>
      </c>
      <c r="J15" s="12" t="str">
        <f t="shared" si="3"/>
        <v>PASS</v>
      </c>
      <c r="K15" s="12" t="str">
        <f t="shared" si="4"/>
        <v/>
      </c>
      <c r="L15" s="12">
        <f t="shared" si="5"/>
        <v>10</v>
      </c>
      <c r="M15" s="12" t="str">
        <f t="shared" si="6"/>
        <v>ISLA BROWN</v>
      </c>
      <c r="N15" s="11">
        <v>2022</v>
      </c>
    </row>
    <row r="16" spans="1:16" ht="18" customHeight="1" x14ac:dyDescent="0.25">
      <c r="A16" s="13" t="s">
        <v>77</v>
      </c>
      <c r="B16" s="13" t="s">
        <v>78</v>
      </c>
      <c r="C16" s="13" t="s">
        <v>62</v>
      </c>
      <c r="D16" s="13">
        <v>59</v>
      </c>
      <c r="E16" s="13">
        <v>76</v>
      </c>
      <c r="F16" s="13">
        <v>47</v>
      </c>
      <c r="G16" s="12">
        <f t="shared" si="0"/>
        <v>182</v>
      </c>
      <c r="H16" s="12">
        <f t="shared" si="1"/>
        <v>60.7</v>
      </c>
      <c r="I16" s="12" t="str">
        <f t="shared" si="2"/>
        <v>C</v>
      </c>
      <c r="J16" s="12" t="str">
        <f t="shared" si="3"/>
        <v>PASS</v>
      </c>
      <c r="K16" s="12" t="str">
        <f t="shared" si="4"/>
        <v/>
      </c>
      <c r="L16" s="12">
        <f t="shared" si="5"/>
        <v>11</v>
      </c>
      <c r="M16" s="12" t="str">
        <f t="shared" si="6"/>
        <v>JAKE TORRES</v>
      </c>
      <c r="N16" s="13">
        <v>2023</v>
      </c>
    </row>
    <row r="17" spans="1:14" ht="18" customHeight="1" x14ac:dyDescent="0.25">
      <c r="A17" s="11" t="s">
        <v>79</v>
      </c>
      <c r="B17" s="11" t="s">
        <v>80</v>
      </c>
      <c r="C17" s="11" t="s">
        <v>59</v>
      </c>
      <c r="D17" s="11">
        <v>43</v>
      </c>
      <c r="E17" s="11">
        <v>68</v>
      </c>
      <c r="F17" s="11">
        <v>74</v>
      </c>
      <c r="G17" s="12">
        <f t="shared" si="0"/>
        <v>185</v>
      </c>
      <c r="H17" s="12">
        <f t="shared" si="1"/>
        <v>61.7</v>
      </c>
      <c r="I17" s="12" t="str">
        <f t="shared" si="2"/>
        <v>C</v>
      </c>
      <c r="J17" s="12" t="str">
        <f t="shared" si="3"/>
        <v>PASS</v>
      </c>
      <c r="K17" s="12" t="str">
        <f t="shared" si="4"/>
        <v/>
      </c>
      <c r="L17" s="12">
        <f t="shared" si="5"/>
        <v>11</v>
      </c>
      <c r="M17" s="12" t="str">
        <f t="shared" si="6"/>
        <v>KEIRA ADAMS</v>
      </c>
      <c r="N17" s="11">
        <v>2022</v>
      </c>
    </row>
    <row r="18" spans="1:14" ht="18" customHeight="1" x14ac:dyDescent="0.25">
      <c r="A18" s="13" t="s">
        <v>81</v>
      </c>
      <c r="B18" s="13" t="s">
        <v>82</v>
      </c>
      <c r="C18" s="13" t="s">
        <v>62</v>
      </c>
      <c r="D18" s="13">
        <v>68</v>
      </c>
      <c r="E18" s="13">
        <v>61</v>
      </c>
      <c r="F18" s="13">
        <v>54</v>
      </c>
      <c r="G18" s="12">
        <f t="shared" si="0"/>
        <v>183</v>
      </c>
      <c r="H18" s="12">
        <f t="shared" si="1"/>
        <v>61</v>
      </c>
      <c r="I18" s="12" t="str">
        <f t="shared" si="2"/>
        <v>C</v>
      </c>
      <c r="J18" s="12" t="str">
        <f t="shared" si="3"/>
        <v>PASS</v>
      </c>
      <c r="K18" s="12" t="str">
        <f t="shared" si="4"/>
        <v/>
      </c>
      <c r="L18" s="12">
        <f t="shared" si="5"/>
        <v>10</v>
      </c>
      <c r="M18" s="12" t="str">
        <f t="shared" si="6"/>
        <v>LEO NGUYEN</v>
      </c>
      <c r="N18" s="13">
        <v>2023</v>
      </c>
    </row>
    <row r="19" spans="1:14" ht="18" customHeight="1" x14ac:dyDescent="0.25">
      <c r="A19" s="11" t="s">
        <v>83</v>
      </c>
      <c r="B19" s="11" t="s">
        <v>84</v>
      </c>
      <c r="C19" s="11" t="s">
        <v>59</v>
      </c>
      <c r="D19" s="11">
        <v>50</v>
      </c>
      <c r="E19" s="11">
        <v>44</v>
      </c>
      <c r="F19" s="11">
        <v>45</v>
      </c>
      <c r="G19" s="12">
        <f t="shared" si="0"/>
        <v>139</v>
      </c>
      <c r="H19" s="12">
        <f t="shared" si="1"/>
        <v>46.3</v>
      </c>
      <c r="I19" s="12" t="str">
        <f t="shared" si="2"/>
        <v>D</v>
      </c>
      <c r="J19" s="12" t="str">
        <f t="shared" si="3"/>
        <v>FAIL</v>
      </c>
      <c r="K19" s="12" t="str">
        <f t="shared" si="4"/>
        <v/>
      </c>
      <c r="L19" s="12">
        <f t="shared" si="5"/>
        <v>9</v>
      </c>
      <c r="M19" s="12" t="str">
        <f t="shared" si="6"/>
        <v>MAYA CHEN</v>
      </c>
      <c r="N19" s="11">
        <v>2022</v>
      </c>
    </row>
    <row r="20" spans="1:14" ht="18" customHeight="1" x14ac:dyDescent="0.25">
      <c r="A20" s="13" t="s">
        <v>85</v>
      </c>
      <c r="B20" s="13" t="s">
        <v>86</v>
      </c>
      <c r="C20" s="13" t="s">
        <v>62</v>
      </c>
      <c r="D20" s="13">
        <v>92</v>
      </c>
      <c r="E20" s="13">
        <v>60</v>
      </c>
      <c r="F20" s="13">
        <v>84</v>
      </c>
      <c r="G20" s="12">
        <f t="shared" si="0"/>
        <v>236</v>
      </c>
      <c r="H20" s="12">
        <f t="shared" si="1"/>
        <v>78.7</v>
      </c>
      <c r="I20" s="12" t="str">
        <f t="shared" si="2"/>
        <v>B</v>
      </c>
      <c r="J20" s="12" t="str">
        <f t="shared" si="3"/>
        <v>PASS</v>
      </c>
      <c r="K20" s="12" t="str">
        <f t="shared" si="4"/>
        <v/>
      </c>
      <c r="L20" s="12">
        <f t="shared" si="5"/>
        <v>11</v>
      </c>
      <c r="M20" s="12" t="str">
        <f t="shared" si="6"/>
        <v>NATHAN WEBB</v>
      </c>
      <c r="N20" s="13">
        <v>2022</v>
      </c>
    </row>
    <row r="21" spans="1:14" ht="18" customHeight="1" x14ac:dyDescent="0.25">
      <c r="A21" s="11" t="s">
        <v>87</v>
      </c>
      <c r="B21" s="11" t="s">
        <v>88</v>
      </c>
      <c r="C21" s="11" t="s">
        <v>59</v>
      </c>
      <c r="D21" s="11">
        <v>73</v>
      </c>
      <c r="E21" s="11">
        <v>91</v>
      </c>
      <c r="F21" s="11">
        <v>78</v>
      </c>
      <c r="G21" s="12">
        <f t="shared" si="0"/>
        <v>242</v>
      </c>
      <c r="H21" s="12">
        <f t="shared" si="1"/>
        <v>80.7</v>
      </c>
      <c r="I21" s="12" t="str">
        <f t="shared" si="2"/>
        <v>B</v>
      </c>
      <c r="J21" s="12" t="str">
        <f t="shared" si="3"/>
        <v>PASS</v>
      </c>
      <c r="K21" s="12" t="str">
        <f t="shared" si="4"/>
        <v/>
      </c>
      <c r="L21" s="12">
        <f t="shared" si="5"/>
        <v>12</v>
      </c>
      <c r="M21" s="12" t="str">
        <f t="shared" si="6"/>
        <v>OLIVIA SCOTT</v>
      </c>
      <c r="N21" s="11">
        <v>2023</v>
      </c>
    </row>
    <row r="22" spans="1:14" ht="18" customHeight="1" x14ac:dyDescent="0.25">
      <c r="A22" s="13" t="s">
        <v>89</v>
      </c>
      <c r="B22" s="13" t="s">
        <v>90</v>
      </c>
      <c r="C22" s="13" t="s">
        <v>62</v>
      </c>
      <c r="D22" s="13">
        <v>83</v>
      </c>
      <c r="E22" s="13">
        <v>44</v>
      </c>
      <c r="F22" s="13">
        <v>46</v>
      </c>
      <c r="G22" s="12">
        <f t="shared" si="0"/>
        <v>173</v>
      </c>
      <c r="H22" s="12">
        <f t="shared" si="1"/>
        <v>57.7</v>
      </c>
      <c r="I22" s="12" t="str">
        <f t="shared" si="2"/>
        <v>D</v>
      </c>
      <c r="J22" s="12" t="str">
        <f t="shared" si="3"/>
        <v>PASS</v>
      </c>
      <c r="K22" s="12" t="str">
        <f t="shared" si="4"/>
        <v/>
      </c>
      <c r="L22" s="12">
        <f t="shared" si="5"/>
        <v>12</v>
      </c>
      <c r="M22" s="12" t="str">
        <f t="shared" si="6"/>
        <v>PRIYA SHARMA</v>
      </c>
      <c r="N22" s="13">
        <v>2022</v>
      </c>
    </row>
    <row r="23" spans="1:14" ht="18" customHeight="1" x14ac:dyDescent="0.25">
      <c r="A23" s="11" t="s">
        <v>91</v>
      </c>
      <c r="B23" s="11" t="s">
        <v>92</v>
      </c>
      <c r="C23" s="11" t="s">
        <v>59</v>
      </c>
      <c r="D23" s="11">
        <v>91</v>
      </c>
      <c r="E23" s="11">
        <v>62</v>
      </c>
      <c r="F23" s="11">
        <v>87</v>
      </c>
      <c r="G23" s="12">
        <f t="shared" si="0"/>
        <v>240</v>
      </c>
      <c r="H23" s="12">
        <f t="shared" si="1"/>
        <v>80</v>
      </c>
      <c r="I23" s="12" t="str">
        <f t="shared" si="2"/>
        <v>B</v>
      </c>
      <c r="J23" s="12" t="str">
        <f t="shared" si="3"/>
        <v>PASS</v>
      </c>
      <c r="K23" s="12" t="str">
        <f t="shared" si="4"/>
        <v/>
      </c>
      <c r="L23" s="12">
        <f t="shared" si="5"/>
        <v>12</v>
      </c>
      <c r="M23" s="12" t="str">
        <f t="shared" si="6"/>
        <v>QUINN FOSTER</v>
      </c>
      <c r="N23" s="11">
        <v>2022</v>
      </c>
    </row>
    <row r="24" spans="1:14" ht="18" customHeight="1" x14ac:dyDescent="0.25">
      <c r="A24" s="13" t="s">
        <v>93</v>
      </c>
      <c r="B24" s="13" t="s">
        <v>94</v>
      </c>
      <c r="C24" s="13" t="s">
        <v>62</v>
      </c>
      <c r="D24" s="13">
        <v>59</v>
      </c>
      <c r="E24" s="13">
        <v>46</v>
      </c>
      <c r="F24" s="13">
        <v>46</v>
      </c>
      <c r="G24" s="12">
        <f t="shared" si="0"/>
        <v>151</v>
      </c>
      <c r="H24" s="12">
        <f t="shared" si="1"/>
        <v>50.3</v>
      </c>
      <c r="I24" s="12" t="str">
        <f t="shared" si="2"/>
        <v>D</v>
      </c>
      <c r="J24" s="12" t="str">
        <f t="shared" si="3"/>
        <v>PASS</v>
      </c>
      <c r="K24" s="12" t="str">
        <f t="shared" si="4"/>
        <v/>
      </c>
      <c r="L24" s="12">
        <f t="shared" si="5"/>
        <v>12</v>
      </c>
      <c r="M24" s="12" t="str">
        <f t="shared" si="6"/>
        <v>RILEY COOPER</v>
      </c>
      <c r="N24" s="13">
        <v>2023</v>
      </c>
    </row>
    <row r="25" spans="1:14" ht="18" customHeight="1" x14ac:dyDescent="0.25">
      <c r="A25" s="11" t="s">
        <v>95</v>
      </c>
      <c r="B25" s="11" t="s">
        <v>96</v>
      </c>
      <c r="C25" s="11" t="s">
        <v>59</v>
      </c>
      <c r="D25" s="11">
        <v>74</v>
      </c>
      <c r="E25" s="11">
        <v>94</v>
      </c>
      <c r="F25" s="11">
        <v>92</v>
      </c>
      <c r="G25" s="12">
        <f t="shared" si="0"/>
        <v>260</v>
      </c>
      <c r="H25" s="12">
        <f t="shared" si="1"/>
        <v>86.7</v>
      </c>
      <c r="I25" s="12" t="str">
        <f t="shared" si="2"/>
        <v>B</v>
      </c>
      <c r="J25" s="12" t="str">
        <f t="shared" si="3"/>
        <v>PASS</v>
      </c>
      <c r="K25" s="12" t="str">
        <f t="shared" si="4"/>
        <v/>
      </c>
      <c r="L25" s="12">
        <f t="shared" si="5"/>
        <v>10</v>
      </c>
      <c r="M25" s="12" t="str">
        <f t="shared" si="6"/>
        <v>SAM MORGAN</v>
      </c>
      <c r="N25" s="11">
        <v>2022</v>
      </c>
    </row>
    <row r="26" spans="1:14" ht="18" customHeight="1" x14ac:dyDescent="0.25">
      <c r="A26" s="13" t="s">
        <v>97</v>
      </c>
      <c r="B26" s="13" t="s">
        <v>98</v>
      </c>
      <c r="C26" s="13" t="s">
        <v>62</v>
      </c>
      <c r="D26" s="13">
        <v>43</v>
      </c>
      <c r="E26" s="13">
        <v>48</v>
      </c>
      <c r="F26" s="13">
        <v>57</v>
      </c>
      <c r="G26" s="12">
        <f t="shared" si="0"/>
        <v>148</v>
      </c>
      <c r="H26" s="12">
        <f t="shared" si="1"/>
        <v>49.3</v>
      </c>
      <c r="I26" s="12" t="str">
        <f t="shared" si="2"/>
        <v>D</v>
      </c>
      <c r="J26" s="12" t="str">
        <f t="shared" si="3"/>
        <v>FAIL</v>
      </c>
      <c r="K26" s="12" t="str">
        <f t="shared" si="4"/>
        <v/>
      </c>
      <c r="L26" s="12">
        <f t="shared" si="5"/>
        <v>11</v>
      </c>
      <c r="M26" s="12" t="str">
        <f t="shared" si="6"/>
        <v>TIA JOHNSON</v>
      </c>
      <c r="N26" s="13">
        <v>2023</v>
      </c>
    </row>
    <row r="27" spans="1:14" ht="18" customHeight="1" x14ac:dyDescent="0.25">
      <c r="A27" s="11" t="s">
        <v>99</v>
      </c>
      <c r="B27" s="11" t="s">
        <v>100</v>
      </c>
      <c r="C27" s="11" t="s">
        <v>59</v>
      </c>
      <c r="D27" s="11">
        <v>66</v>
      </c>
      <c r="E27" s="11">
        <v>50</v>
      </c>
      <c r="F27" s="11">
        <v>62</v>
      </c>
      <c r="G27" s="12">
        <f t="shared" si="0"/>
        <v>178</v>
      </c>
      <c r="H27" s="12">
        <f t="shared" si="1"/>
        <v>59.3</v>
      </c>
      <c r="I27" s="12" t="str">
        <f t="shared" si="2"/>
        <v>D</v>
      </c>
      <c r="J27" s="12" t="str">
        <f t="shared" si="3"/>
        <v>PASS</v>
      </c>
      <c r="K27" s="12" t="str">
        <f t="shared" si="4"/>
        <v/>
      </c>
      <c r="L27" s="12">
        <f t="shared" si="5"/>
        <v>11</v>
      </c>
      <c r="M27" s="12" t="str">
        <f t="shared" si="6"/>
        <v>UMAR HASSAN</v>
      </c>
      <c r="N27" s="11">
        <v>2023</v>
      </c>
    </row>
    <row r="28" spans="1:14" ht="18" customHeight="1" x14ac:dyDescent="0.25">
      <c r="A28" s="13" t="s">
        <v>101</v>
      </c>
      <c r="B28" s="13" t="s">
        <v>102</v>
      </c>
      <c r="C28" s="13" t="s">
        <v>62</v>
      </c>
      <c r="D28" s="13">
        <v>97</v>
      </c>
      <c r="E28" s="13">
        <v>42</v>
      </c>
      <c r="F28" s="13">
        <v>93</v>
      </c>
      <c r="G28" s="12">
        <f t="shared" si="0"/>
        <v>232</v>
      </c>
      <c r="H28" s="12">
        <f t="shared" si="1"/>
        <v>77.3</v>
      </c>
      <c r="I28" s="12" t="str">
        <f t="shared" si="2"/>
        <v>B</v>
      </c>
      <c r="J28" s="12" t="str">
        <f t="shared" si="3"/>
        <v>PASS</v>
      </c>
      <c r="K28" s="12" t="str">
        <f t="shared" si="4"/>
        <v/>
      </c>
      <c r="L28" s="12">
        <f t="shared" si="5"/>
        <v>11</v>
      </c>
      <c r="M28" s="12" t="str">
        <f t="shared" si="6"/>
        <v>VIOLET ROSS</v>
      </c>
      <c r="N28" s="13">
        <v>2022</v>
      </c>
    </row>
    <row r="29" spans="1:14" ht="18" customHeight="1" x14ac:dyDescent="0.25">
      <c r="A29" s="11" t="s">
        <v>103</v>
      </c>
      <c r="B29" s="11" t="s">
        <v>104</v>
      </c>
      <c r="C29" s="11" t="s">
        <v>59</v>
      </c>
      <c r="D29" s="11">
        <v>91</v>
      </c>
      <c r="E29" s="11">
        <v>86</v>
      </c>
      <c r="F29" s="11">
        <v>88</v>
      </c>
      <c r="G29" s="12">
        <f t="shared" si="0"/>
        <v>265</v>
      </c>
      <c r="H29" s="12">
        <f t="shared" si="1"/>
        <v>88.3</v>
      </c>
      <c r="I29" s="12" t="str">
        <f t="shared" si="2"/>
        <v>B</v>
      </c>
      <c r="J29" s="12" t="str">
        <f t="shared" si="3"/>
        <v>PASS</v>
      </c>
      <c r="K29" s="12" t="str">
        <f t="shared" si="4"/>
        <v>⭐ TOP!</v>
      </c>
      <c r="L29" s="12">
        <f t="shared" si="5"/>
        <v>10</v>
      </c>
      <c r="M29" s="12" t="str">
        <f t="shared" si="6"/>
        <v>WILL EVANS</v>
      </c>
      <c r="N29" s="11">
        <v>2022</v>
      </c>
    </row>
    <row r="30" spans="1:14" ht="18" customHeight="1" x14ac:dyDescent="0.25">
      <c r="A30" s="13" t="s">
        <v>105</v>
      </c>
      <c r="B30" s="13" t="s">
        <v>106</v>
      </c>
      <c r="C30" s="13" t="s">
        <v>62</v>
      </c>
      <c r="D30" s="13">
        <v>75</v>
      </c>
      <c r="E30" s="13">
        <v>66</v>
      </c>
      <c r="F30" s="13">
        <v>54</v>
      </c>
      <c r="G30" s="12">
        <f t="shared" si="0"/>
        <v>195</v>
      </c>
      <c r="H30" s="12">
        <f t="shared" si="1"/>
        <v>65</v>
      </c>
      <c r="I30" s="12" t="str">
        <f t="shared" si="2"/>
        <v>C</v>
      </c>
      <c r="J30" s="12" t="str">
        <f t="shared" si="3"/>
        <v>PASS</v>
      </c>
      <c r="K30" s="12" t="str">
        <f t="shared" si="4"/>
        <v/>
      </c>
      <c r="L30" s="12">
        <f t="shared" si="5"/>
        <v>10</v>
      </c>
      <c r="M30" s="12" t="str">
        <f t="shared" si="6"/>
        <v>XARA BLAKE</v>
      </c>
      <c r="N30" s="13">
        <v>2023</v>
      </c>
    </row>
    <row r="31" spans="1:14" ht="18" customHeight="1" x14ac:dyDescent="0.25">
      <c r="A31" s="11" t="s">
        <v>107</v>
      </c>
      <c r="B31" s="11" t="s">
        <v>108</v>
      </c>
      <c r="C31" s="11" t="s">
        <v>59</v>
      </c>
      <c r="D31" s="11">
        <v>74</v>
      </c>
      <c r="E31" s="11">
        <v>95</v>
      </c>
      <c r="F31" s="11">
        <v>65</v>
      </c>
      <c r="G31" s="12">
        <f t="shared" si="0"/>
        <v>234</v>
      </c>
      <c r="H31" s="12">
        <f t="shared" si="1"/>
        <v>78</v>
      </c>
      <c r="I31" s="12" t="str">
        <f t="shared" si="2"/>
        <v>B</v>
      </c>
      <c r="J31" s="12" t="str">
        <f t="shared" si="3"/>
        <v>PASS</v>
      </c>
      <c r="K31" s="12" t="str">
        <f t="shared" si="4"/>
        <v/>
      </c>
      <c r="L31" s="12">
        <f t="shared" si="5"/>
        <v>9</v>
      </c>
      <c r="M31" s="12" t="str">
        <f t="shared" si="6"/>
        <v>YUSUF ALI</v>
      </c>
      <c r="N31" s="11">
        <v>2022</v>
      </c>
    </row>
    <row r="32" spans="1:14" ht="9.9499999999999993" customHeight="1" x14ac:dyDescent="0.25"/>
    <row r="33" spans="1:14" ht="21.95" customHeight="1" x14ac:dyDescent="0.25">
      <c r="A33" s="70" t="s">
        <v>109</v>
      </c>
      <c r="B33" s="55"/>
      <c r="C33" s="55"/>
      <c r="D33" s="55"/>
      <c r="E33" s="55"/>
      <c r="F33" s="55"/>
      <c r="G33" s="55"/>
      <c r="I33" s="66" t="s">
        <v>110</v>
      </c>
      <c r="J33" s="55"/>
      <c r="K33" s="55"/>
      <c r="L33" s="55"/>
      <c r="M33" s="55"/>
      <c r="N33" s="55"/>
    </row>
    <row r="34" spans="1:14" ht="20.100000000000001" customHeight="1" x14ac:dyDescent="0.25">
      <c r="A34" s="14" t="s">
        <v>111</v>
      </c>
      <c r="B34" s="64">
        <f>COUNTA(B7:B31)</f>
        <v>25</v>
      </c>
      <c r="C34" s="55"/>
      <c r="E34" s="15" t="s">
        <v>112</v>
      </c>
      <c r="I34" s="16" t="s">
        <v>113</v>
      </c>
      <c r="J34" s="16" t="s">
        <v>114</v>
      </c>
      <c r="K34" s="16" t="s">
        <v>115</v>
      </c>
      <c r="L34" s="9" t="s">
        <v>116</v>
      </c>
      <c r="M34" s="9" t="s">
        <v>117</v>
      </c>
      <c r="N34" s="9" t="s">
        <v>118</v>
      </c>
    </row>
    <row r="35" spans="1:14" ht="18" customHeight="1" x14ac:dyDescent="0.25">
      <c r="A35" s="14" t="s">
        <v>119</v>
      </c>
      <c r="B35" s="64">
        <f>MAX(D7:D31)</f>
        <v>97</v>
      </c>
      <c r="C35" s="55"/>
      <c r="E35" s="15" t="s">
        <v>120</v>
      </c>
      <c r="I35" s="2" t="s">
        <v>121</v>
      </c>
      <c r="J35" s="17">
        <v>8500</v>
      </c>
      <c r="K35" s="18">
        <v>7200</v>
      </c>
      <c r="L35" s="93">
        <f>J35-K35</f>
        <v>1300</v>
      </c>
      <c r="M35" s="94">
        <f>K35/J35</f>
        <v>0.84705882352941175</v>
      </c>
      <c r="N35" s="19" t="str">
        <f>IF(K35&gt;J35,"YES ⚠️", "NO")</f>
        <v>NO</v>
      </c>
    </row>
    <row r="36" spans="1:14" ht="18" customHeight="1" x14ac:dyDescent="0.25">
      <c r="A36" s="14" t="s">
        <v>122</v>
      </c>
      <c r="B36" s="64">
        <f>MIN(D8:D32)</f>
        <v>43</v>
      </c>
      <c r="C36" s="55"/>
      <c r="E36" s="15" t="s">
        <v>123</v>
      </c>
      <c r="I36" s="20" t="s">
        <v>124</v>
      </c>
      <c r="J36" s="17">
        <v>6000</v>
      </c>
      <c r="K36" s="21">
        <v>6450</v>
      </c>
      <c r="L36" s="93">
        <f t="shared" ref="L36:L44" si="7">J36-K36</f>
        <v>-450</v>
      </c>
      <c r="M36" s="94">
        <f t="shared" ref="M36:M44" si="8">K36/J36</f>
        <v>1.075</v>
      </c>
      <c r="N36" s="19" t="str">
        <f t="shared" ref="N36:N44" si="9">IF(K36&gt;J36,"YES ⚠️", "NO")</f>
        <v>YES ⚠️</v>
      </c>
    </row>
    <row r="37" spans="1:14" ht="18" customHeight="1" x14ac:dyDescent="0.25">
      <c r="A37" s="14" t="s">
        <v>125</v>
      </c>
      <c r="B37" s="64">
        <f>ROUND(AVERAGE(D7:D31),1)</f>
        <v>74.8</v>
      </c>
      <c r="C37" s="55"/>
      <c r="E37" s="15" t="s">
        <v>126</v>
      </c>
      <c r="I37" s="2" t="s">
        <v>127</v>
      </c>
      <c r="J37" s="17">
        <v>5500</v>
      </c>
      <c r="K37" s="18">
        <v>4800</v>
      </c>
      <c r="L37" s="93">
        <f t="shared" si="7"/>
        <v>700</v>
      </c>
      <c r="M37" s="94">
        <f t="shared" si="8"/>
        <v>0.87272727272727268</v>
      </c>
      <c r="N37" s="19" t="str">
        <f t="shared" si="9"/>
        <v>NO</v>
      </c>
    </row>
    <row r="38" spans="1:14" ht="18" customHeight="1" x14ac:dyDescent="0.25">
      <c r="A38" s="14" t="s">
        <v>128</v>
      </c>
      <c r="B38" s="64">
        <f>COUNTIF(C7:C31,"M")</f>
        <v>13</v>
      </c>
      <c r="C38" s="55"/>
      <c r="E38" s="15" t="s">
        <v>129</v>
      </c>
      <c r="I38" s="20" t="s">
        <v>130</v>
      </c>
      <c r="J38" s="17">
        <v>3200</v>
      </c>
      <c r="K38" s="18">
        <v>3200</v>
      </c>
      <c r="L38" s="93">
        <f t="shared" si="7"/>
        <v>0</v>
      </c>
      <c r="M38" s="94">
        <f t="shared" si="8"/>
        <v>1</v>
      </c>
      <c r="N38" s="19" t="str">
        <f t="shared" si="9"/>
        <v>NO</v>
      </c>
    </row>
    <row r="39" spans="1:14" ht="18" customHeight="1" x14ac:dyDescent="0.25">
      <c r="A39" s="14" t="s">
        <v>131</v>
      </c>
      <c r="B39" s="64">
        <f>COUNTIF(C7:C31,"F")</f>
        <v>12</v>
      </c>
      <c r="C39" s="55"/>
      <c r="E39" s="15" t="s">
        <v>132</v>
      </c>
      <c r="I39" s="2" t="s">
        <v>133</v>
      </c>
      <c r="J39" s="17">
        <v>4000</v>
      </c>
      <c r="K39" s="18">
        <v>2900</v>
      </c>
      <c r="L39" s="93">
        <f t="shared" si="7"/>
        <v>1100</v>
      </c>
      <c r="M39" s="94">
        <f t="shared" si="8"/>
        <v>0.72499999999999998</v>
      </c>
      <c r="N39" s="19" t="str">
        <f t="shared" si="9"/>
        <v>NO</v>
      </c>
    </row>
    <row r="40" spans="1:14" ht="18" customHeight="1" x14ac:dyDescent="0.25">
      <c r="A40" s="14" t="s">
        <v>134</v>
      </c>
      <c r="B40" s="64">
        <f>COUNTIF(I7:I31,"A")</f>
        <v>0</v>
      </c>
      <c r="C40" s="55"/>
      <c r="E40" s="15" t="s">
        <v>135</v>
      </c>
      <c r="I40" s="20" t="s">
        <v>136</v>
      </c>
      <c r="J40" s="17">
        <v>7000</v>
      </c>
      <c r="K40" s="21">
        <v>7800</v>
      </c>
      <c r="L40" s="93">
        <f t="shared" si="7"/>
        <v>-800</v>
      </c>
      <c r="M40" s="94">
        <f t="shared" si="8"/>
        <v>1.1142857142857143</v>
      </c>
      <c r="N40" s="19" t="str">
        <f t="shared" si="9"/>
        <v>YES ⚠️</v>
      </c>
    </row>
    <row r="41" spans="1:14" ht="18" customHeight="1" x14ac:dyDescent="0.25">
      <c r="A41" s="14" t="s">
        <v>137</v>
      </c>
      <c r="B41" s="64">
        <f>COUNTIF(I7:I31,"B")</f>
        <v>9</v>
      </c>
      <c r="C41" s="55"/>
      <c r="E41" s="15" t="s">
        <v>138</v>
      </c>
      <c r="I41" s="2" t="s">
        <v>139</v>
      </c>
      <c r="J41" s="17">
        <v>2800</v>
      </c>
      <c r="K41" s="18">
        <v>1950</v>
      </c>
      <c r="L41" s="93">
        <f t="shared" si="7"/>
        <v>850</v>
      </c>
      <c r="M41" s="94">
        <f t="shared" si="8"/>
        <v>0.6964285714285714</v>
      </c>
      <c r="N41" s="19" t="str">
        <f t="shared" si="9"/>
        <v>NO</v>
      </c>
    </row>
    <row r="42" spans="1:14" ht="18" customHeight="1" x14ac:dyDescent="0.25">
      <c r="A42" s="14" t="s">
        <v>140</v>
      </c>
      <c r="B42" s="64">
        <f>COUNTIF(I7:I31,"C")</f>
        <v>10</v>
      </c>
      <c r="C42" s="55"/>
      <c r="E42" s="15" t="s">
        <v>141</v>
      </c>
      <c r="I42" s="20" t="s">
        <v>142</v>
      </c>
      <c r="J42" s="17">
        <v>2500</v>
      </c>
      <c r="K42" s="18">
        <v>2100</v>
      </c>
      <c r="L42" s="93">
        <f t="shared" si="7"/>
        <v>400</v>
      </c>
      <c r="M42" s="94">
        <f t="shared" si="8"/>
        <v>0.84</v>
      </c>
      <c r="N42" s="19" t="str">
        <f t="shared" si="9"/>
        <v>NO</v>
      </c>
    </row>
    <row r="43" spans="1:14" ht="18" customHeight="1" x14ac:dyDescent="0.25">
      <c r="A43" s="14" t="s">
        <v>143</v>
      </c>
      <c r="B43" s="64">
        <f>COUNTIF(I7:I31,"D")</f>
        <v>6</v>
      </c>
      <c r="C43" s="55"/>
      <c r="E43" s="15" t="s">
        <v>144</v>
      </c>
      <c r="I43" s="2" t="s">
        <v>145</v>
      </c>
      <c r="J43" s="17">
        <v>3500</v>
      </c>
      <c r="K43" s="18">
        <v>3500</v>
      </c>
      <c r="L43" s="93">
        <f t="shared" si="7"/>
        <v>0</v>
      </c>
      <c r="M43" s="94">
        <f t="shared" si="8"/>
        <v>1</v>
      </c>
      <c r="N43" s="19" t="str">
        <f t="shared" si="9"/>
        <v>NO</v>
      </c>
    </row>
    <row r="44" spans="1:14" ht="18" customHeight="1" x14ac:dyDescent="0.25">
      <c r="A44" s="14" t="s">
        <v>146</v>
      </c>
      <c r="B44" s="64">
        <f>COUNTIF(I7:I31,"F")</f>
        <v>0</v>
      </c>
      <c r="C44" s="55"/>
      <c r="E44" s="15" t="s">
        <v>147</v>
      </c>
      <c r="I44" s="20" t="s">
        <v>148</v>
      </c>
      <c r="J44" s="17">
        <v>1800</v>
      </c>
      <c r="K44" s="18">
        <v>1200</v>
      </c>
      <c r="L44" s="93">
        <f t="shared" si="7"/>
        <v>600</v>
      </c>
      <c r="M44" s="94">
        <f t="shared" si="8"/>
        <v>0.66666666666666663</v>
      </c>
      <c r="N44" s="19" t="str">
        <f t="shared" si="9"/>
        <v>NO</v>
      </c>
    </row>
    <row r="45" spans="1:14" ht="18" customHeight="1" x14ac:dyDescent="0.25">
      <c r="A45" s="14" t="s">
        <v>149</v>
      </c>
      <c r="B45" s="64">
        <f>COUNTIF(J7:J31,"PASS")</f>
        <v>23</v>
      </c>
      <c r="C45" s="55"/>
      <c r="E45" s="15" t="s">
        <v>150</v>
      </c>
    </row>
    <row r="46" spans="1:14" ht="18" customHeight="1" x14ac:dyDescent="0.25">
      <c r="A46" s="14" t="s">
        <v>151</v>
      </c>
      <c r="B46" s="64">
        <f>SUM(D7:D31)</f>
        <v>1870</v>
      </c>
      <c r="C46" s="55"/>
      <c r="E46" s="15" t="s">
        <v>152</v>
      </c>
    </row>
    <row r="49" spans="1:4" ht="21.95" customHeight="1" x14ac:dyDescent="0.25">
      <c r="A49" s="67" t="s">
        <v>153</v>
      </c>
      <c r="B49" s="55"/>
      <c r="C49" s="55"/>
      <c r="D49" s="55"/>
    </row>
    <row r="50" spans="1:4" ht="20.100000000000001" customHeight="1" x14ac:dyDescent="0.25">
      <c r="A50" s="22" t="s">
        <v>154</v>
      </c>
      <c r="B50" s="22" t="s">
        <v>155</v>
      </c>
      <c r="C50" s="22" t="s">
        <v>156</v>
      </c>
      <c r="D50" s="22" t="s">
        <v>157</v>
      </c>
    </row>
    <row r="51" spans="1:4" ht="18" customHeight="1" x14ac:dyDescent="0.25">
      <c r="A51" s="23">
        <v>90</v>
      </c>
      <c r="B51" s="23">
        <v>100</v>
      </c>
      <c r="C51" s="23" t="s">
        <v>158</v>
      </c>
      <c r="D51" s="23" t="s">
        <v>159</v>
      </c>
    </row>
    <row r="52" spans="1:4" ht="18" customHeight="1" x14ac:dyDescent="0.25">
      <c r="A52" s="23">
        <v>75</v>
      </c>
      <c r="B52" s="23">
        <v>89</v>
      </c>
      <c r="C52" s="23" t="s">
        <v>160</v>
      </c>
      <c r="D52" s="23" t="s">
        <v>161</v>
      </c>
    </row>
    <row r="53" spans="1:4" ht="18" customHeight="1" x14ac:dyDescent="0.25">
      <c r="A53" s="24">
        <v>60</v>
      </c>
      <c r="B53" s="24">
        <v>74</v>
      </c>
      <c r="C53" s="24" t="s">
        <v>162</v>
      </c>
      <c r="D53" s="24" t="s">
        <v>163</v>
      </c>
    </row>
    <row r="54" spans="1:4" ht="18" customHeight="1" x14ac:dyDescent="0.25">
      <c r="A54" s="25">
        <v>45</v>
      </c>
      <c r="B54" s="25">
        <v>59</v>
      </c>
      <c r="C54" s="25" t="s">
        <v>164</v>
      </c>
      <c r="D54" s="25" t="s">
        <v>165</v>
      </c>
    </row>
    <row r="55" spans="1:4" ht="18" customHeight="1" x14ac:dyDescent="0.25">
      <c r="A55" s="26">
        <v>0</v>
      </c>
      <c r="B55" s="26">
        <v>44</v>
      </c>
      <c r="C55" s="26" t="s">
        <v>62</v>
      </c>
      <c r="D55" s="26" t="s">
        <v>166</v>
      </c>
    </row>
  </sheetData>
  <mergeCells count="19">
    <mergeCell ref="A49:D49"/>
    <mergeCell ref="B38:C38"/>
    <mergeCell ref="B44:C44"/>
    <mergeCell ref="B34:C34"/>
    <mergeCell ref="A2:N2"/>
    <mergeCell ref="B37:C37"/>
    <mergeCell ref="B40:C40"/>
    <mergeCell ref="A4:N4"/>
    <mergeCell ref="B45:C45"/>
    <mergeCell ref="B36:C36"/>
    <mergeCell ref="B41:C41"/>
    <mergeCell ref="A33:G33"/>
    <mergeCell ref="B35:C35"/>
    <mergeCell ref="B46:C46"/>
    <mergeCell ref="B43:C43"/>
    <mergeCell ref="A1:N1"/>
    <mergeCell ref="B39:C39"/>
    <mergeCell ref="I33:N33"/>
    <mergeCell ref="B42:C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showGridLines="0" workbookViewId="0">
      <pane ySplit="3" topLeftCell="A82" activePane="bottomLeft" state="frozen"/>
      <selection pane="bottomLeft" activeCell="B107" sqref="B107:H107"/>
    </sheetView>
  </sheetViews>
  <sheetFormatPr defaultRowHeight="15" x14ac:dyDescent="0.25"/>
  <cols>
    <col min="1" max="2" width="10" customWidth="1"/>
    <col min="3" max="3" width="28" customWidth="1"/>
    <col min="4" max="4" width="18" customWidth="1"/>
    <col min="5" max="5" width="14" customWidth="1"/>
    <col min="6" max="6" width="22" customWidth="1"/>
    <col min="7" max="7" width="18" customWidth="1"/>
    <col min="8" max="8" width="12" customWidth="1"/>
  </cols>
  <sheetData>
    <row r="1" spans="1:8" ht="32.1" customHeight="1" x14ac:dyDescent="0.25">
      <c r="A1" s="89" t="s">
        <v>167</v>
      </c>
      <c r="B1" s="55"/>
      <c r="C1" s="55"/>
      <c r="D1" s="55"/>
      <c r="E1" s="55"/>
      <c r="F1" s="55"/>
      <c r="G1" s="55"/>
      <c r="H1" s="55"/>
    </row>
    <row r="2" spans="1:8" ht="20.100000000000001" customHeight="1" x14ac:dyDescent="0.25">
      <c r="A2" s="82" t="s">
        <v>168</v>
      </c>
      <c r="B2" s="55"/>
      <c r="C2" s="55"/>
      <c r="D2" s="55"/>
      <c r="E2" s="55"/>
      <c r="F2" s="55"/>
      <c r="G2" s="55"/>
      <c r="H2" s="55"/>
    </row>
    <row r="3" spans="1:8" ht="8.1" customHeight="1" x14ac:dyDescent="0.25"/>
    <row r="4" spans="1:8" ht="26.1" customHeight="1" x14ac:dyDescent="0.25">
      <c r="A4" s="90" t="s">
        <v>169</v>
      </c>
      <c r="B4" s="55"/>
      <c r="C4" s="55"/>
      <c r="D4" s="55"/>
      <c r="E4" s="55"/>
      <c r="F4" s="55"/>
      <c r="G4" s="55"/>
      <c r="H4" s="55"/>
    </row>
    <row r="5" spans="1:8" ht="36" customHeight="1" x14ac:dyDescent="0.25">
      <c r="A5" s="75" t="s">
        <v>170</v>
      </c>
      <c r="B5" s="55"/>
      <c r="C5" s="55"/>
      <c r="D5" s="55"/>
      <c r="E5" s="55"/>
      <c r="F5" s="55"/>
      <c r="G5" s="55"/>
      <c r="H5" s="55"/>
    </row>
    <row r="6" spans="1:8" ht="21.95" customHeight="1" x14ac:dyDescent="0.25">
      <c r="A6" s="27" t="s">
        <v>171</v>
      </c>
      <c r="B6" s="74" t="e">
        <f>D7+E7+F7</f>
        <v>#VALUE!</v>
      </c>
      <c r="C6" s="55"/>
      <c r="D6" s="55"/>
      <c r="E6" s="28" t="s">
        <v>172</v>
      </c>
      <c r="F6" s="71" t="s">
        <v>173</v>
      </c>
      <c r="G6" s="55"/>
      <c r="H6" s="55"/>
    </row>
    <row r="7" spans="1:8" ht="21.95" customHeight="1" x14ac:dyDescent="0.25">
      <c r="A7" s="27" t="s">
        <v>171</v>
      </c>
      <c r="B7" s="74">
        <f>SUM(D7:F7)</f>
        <v>0</v>
      </c>
      <c r="C7" s="55"/>
      <c r="D7" s="55"/>
      <c r="E7" s="28" t="s">
        <v>174</v>
      </c>
      <c r="F7" s="71" t="s">
        <v>175</v>
      </c>
      <c r="G7" s="55"/>
      <c r="H7" s="55"/>
    </row>
    <row r="8" spans="1:8" ht="21.95" customHeight="1" x14ac:dyDescent="0.25">
      <c r="A8" s="27" t="s">
        <v>171</v>
      </c>
      <c r="B8" s="74">
        <f>D7*3</f>
        <v>0</v>
      </c>
      <c r="C8" s="55"/>
      <c r="D8" s="55"/>
      <c r="E8" s="28" t="s">
        <v>176</v>
      </c>
      <c r="F8" s="71" t="s">
        <v>177</v>
      </c>
      <c r="G8" s="55"/>
      <c r="H8" s="55"/>
    </row>
    <row r="9" spans="1:8" ht="21.95" customHeight="1" x14ac:dyDescent="0.25">
      <c r="A9" s="27" t="s">
        <v>171</v>
      </c>
      <c r="B9" s="74" t="e">
        <f>D7-E7</f>
        <v>#VALUE!</v>
      </c>
      <c r="C9" s="55"/>
      <c r="D9" s="55"/>
      <c r="E9" s="28" t="s">
        <v>178</v>
      </c>
      <c r="F9" s="71" t="s">
        <v>179</v>
      </c>
      <c r="G9" s="55"/>
      <c r="H9" s="55"/>
    </row>
    <row r="10" spans="1:8" ht="21.95" customHeight="1" x14ac:dyDescent="0.25">
      <c r="A10" s="27" t="s">
        <v>171</v>
      </c>
      <c r="B10" s="74">
        <f>D7/3</f>
        <v>0</v>
      </c>
      <c r="C10" s="55"/>
      <c r="D10" s="55"/>
      <c r="E10" s="28" t="s">
        <v>180</v>
      </c>
      <c r="F10" s="71" t="s">
        <v>181</v>
      </c>
      <c r="G10" s="55"/>
      <c r="H10" s="55"/>
    </row>
    <row r="11" spans="1:8" ht="36" customHeight="1" x14ac:dyDescent="0.25">
      <c r="A11" s="1" t="s">
        <v>182</v>
      </c>
      <c r="B11" s="72" t="s">
        <v>183</v>
      </c>
      <c r="C11" s="55"/>
      <c r="D11" s="55"/>
      <c r="E11" s="55"/>
      <c r="F11" s="55"/>
      <c r="G11" s="55"/>
      <c r="H11" s="55"/>
    </row>
    <row r="12" spans="1:8" ht="36" customHeight="1" x14ac:dyDescent="0.25">
      <c r="A12" s="1" t="s">
        <v>184</v>
      </c>
      <c r="B12" s="72" t="s">
        <v>185</v>
      </c>
      <c r="C12" s="55"/>
      <c r="D12" s="55"/>
      <c r="E12" s="55"/>
      <c r="F12" s="55"/>
      <c r="G12" s="55"/>
      <c r="H12" s="55"/>
    </row>
    <row r="13" spans="1:8" ht="36" customHeight="1" x14ac:dyDescent="0.25">
      <c r="A13" s="1" t="s">
        <v>186</v>
      </c>
      <c r="B13" s="72" t="s">
        <v>187</v>
      </c>
      <c r="C13" s="55"/>
      <c r="D13" s="55"/>
      <c r="E13" s="55"/>
      <c r="F13" s="55"/>
      <c r="G13" s="55"/>
      <c r="H13" s="55"/>
    </row>
    <row r="14" spans="1:8" ht="36" customHeight="1" x14ac:dyDescent="0.25">
      <c r="A14" s="1" t="s">
        <v>188</v>
      </c>
      <c r="B14" s="72" t="s">
        <v>189</v>
      </c>
      <c r="C14" s="55"/>
      <c r="D14" s="55"/>
      <c r="E14" s="55"/>
      <c r="F14" s="55"/>
      <c r="G14" s="55"/>
      <c r="H14" s="55"/>
    </row>
    <row r="15" spans="1:8" ht="36" customHeight="1" x14ac:dyDescent="0.25">
      <c r="A15" s="1" t="s">
        <v>190</v>
      </c>
      <c r="B15" s="72" t="s">
        <v>191</v>
      </c>
      <c r="C15" s="55"/>
      <c r="D15" s="55"/>
      <c r="E15" s="55"/>
      <c r="F15" s="55"/>
      <c r="G15" s="55"/>
      <c r="H15" s="55"/>
    </row>
    <row r="16" spans="1:8" ht="36" customHeight="1" x14ac:dyDescent="0.25">
      <c r="A16" s="1" t="s">
        <v>192</v>
      </c>
      <c r="B16" s="72" t="s">
        <v>193</v>
      </c>
      <c r="C16" s="55"/>
      <c r="D16" s="55"/>
      <c r="E16" s="55"/>
      <c r="F16" s="55"/>
      <c r="G16" s="55"/>
      <c r="H16" s="55"/>
    </row>
    <row r="17" spans="1:8" ht="36" customHeight="1" x14ac:dyDescent="0.25">
      <c r="A17" s="79" t="s">
        <v>194</v>
      </c>
      <c r="B17" s="55"/>
      <c r="C17" s="55"/>
      <c r="D17" s="55"/>
      <c r="E17" s="55"/>
      <c r="F17" s="55"/>
      <c r="G17" s="55"/>
      <c r="H17" s="55"/>
    </row>
    <row r="18" spans="1:8" ht="8.1" customHeight="1" x14ac:dyDescent="0.25"/>
    <row r="19" spans="1:8" ht="26.1" customHeight="1" x14ac:dyDescent="0.25">
      <c r="A19" s="78" t="s">
        <v>195</v>
      </c>
      <c r="B19" s="55"/>
      <c r="C19" s="55"/>
      <c r="D19" s="55"/>
      <c r="E19" s="55"/>
      <c r="F19" s="55"/>
      <c r="G19" s="55"/>
      <c r="H19" s="55"/>
    </row>
    <row r="20" spans="1:8" ht="36" customHeight="1" x14ac:dyDescent="0.25">
      <c r="A20" s="77" t="s">
        <v>196</v>
      </c>
      <c r="B20" s="55"/>
      <c r="C20" s="55"/>
      <c r="D20" s="55"/>
      <c r="E20" s="55"/>
      <c r="F20" s="55"/>
      <c r="G20" s="55"/>
      <c r="H20" s="55"/>
    </row>
    <row r="21" spans="1:8" ht="21.95" customHeight="1" x14ac:dyDescent="0.25">
      <c r="A21" s="30" t="s">
        <v>171</v>
      </c>
      <c r="B21" s="74" t="e">
        <f>AVERAGE(D7:F7)</f>
        <v>#DIV/0!</v>
      </c>
      <c r="C21" s="55"/>
      <c r="D21" s="55"/>
      <c r="E21" s="28" t="s">
        <v>197</v>
      </c>
      <c r="F21" s="71" t="s">
        <v>198</v>
      </c>
      <c r="G21" s="55"/>
      <c r="H21" s="55"/>
    </row>
    <row r="22" spans="1:8" ht="21.95" customHeight="1" x14ac:dyDescent="0.25">
      <c r="A22" s="30" t="s">
        <v>171</v>
      </c>
      <c r="B22" s="74" t="e">
        <f>ROUND(AVERAGE(D7:F7),1)</f>
        <v>#DIV/0!</v>
      </c>
      <c r="C22" s="55"/>
      <c r="D22" s="55"/>
      <c r="E22" s="28" t="s">
        <v>199</v>
      </c>
      <c r="F22" s="71" t="s">
        <v>200</v>
      </c>
      <c r="G22" s="55"/>
      <c r="H22" s="55"/>
    </row>
    <row r="23" spans="1:8" ht="21.95" customHeight="1" x14ac:dyDescent="0.25">
      <c r="A23" s="30" t="s">
        <v>171</v>
      </c>
      <c r="B23" s="74" t="e">
        <f>ROUND(AVERAGE(D7:F7),0)</f>
        <v>#DIV/0!</v>
      </c>
      <c r="C23" s="55"/>
      <c r="D23" s="55"/>
      <c r="E23" s="28" t="s">
        <v>201</v>
      </c>
      <c r="F23" s="71" t="s">
        <v>202</v>
      </c>
      <c r="G23" s="55"/>
      <c r="H23" s="55"/>
    </row>
    <row r="24" spans="1:8" ht="21.95" customHeight="1" x14ac:dyDescent="0.25">
      <c r="A24" s="30" t="s">
        <v>171</v>
      </c>
      <c r="B24" s="74" t="e">
        <f>ROUNDUP(AVERAGE(D7:F7),1)</f>
        <v>#DIV/0!</v>
      </c>
      <c r="C24" s="55"/>
      <c r="D24" s="55"/>
      <c r="E24" s="28" t="s">
        <v>203</v>
      </c>
      <c r="F24" s="71" t="s">
        <v>204</v>
      </c>
      <c r="G24" s="55"/>
      <c r="H24" s="55"/>
    </row>
    <row r="25" spans="1:8" ht="21.95" customHeight="1" x14ac:dyDescent="0.25">
      <c r="A25" s="30" t="s">
        <v>171</v>
      </c>
      <c r="B25" s="74" t="e">
        <f>(D7+E7+F7)/3</f>
        <v>#VALUE!</v>
      </c>
      <c r="C25" s="55"/>
      <c r="D25" s="55"/>
      <c r="E25" s="28" t="s">
        <v>205</v>
      </c>
      <c r="F25" s="71" t="s">
        <v>206</v>
      </c>
      <c r="G25" s="55"/>
      <c r="H25" s="55"/>
    </row>
    <row r="26" spans="1:8" ht="36" customHeight="1" x14ac:dyDescent="0.25">
      <c r="A26" s="3" t="s">
        <v>182</v>
      </c>
      <c r="B26" s="72" t="s">
        <v>207</v>
      </c>
      <c r="C26" s="55"/>
      <c r="D26" s="55"/>
      <c r="E26" s="55"/>
      <c r="F26" s="55"/>
      <c r="G26" s="55"/>
      <c r="H26" s="55"/>
    </row>
    <row r="27" spans="1:8" ht="36" customHeight="1" x14ac:dyDescent="0.25">
      <c r="A27" s="3" t="s">
        <v>184</v>
      </c>
      <c r="B27" s="72" t="s">
        <v>208</v>
      </c>
      <c r="C27" s="55"/>
      <c r="D27" s="55"/>
      <c r="E27" s="55"/>
      <c r="F27" s="55"/>
      <c r="G27" s="55"/>
      <c r="H27" s="55"/>
    </row>
    <row r="28" spans="1:8" ht="36" customHeight="1" x14ac:dyDescent="0.25">
      <c r="A28" s="3" t="s">
        <v>186</v>
      </c>
      <c r="B28" s="72" t="s">
        <v>209</v>
      </c>
      <c r="C28" s="55"/>
      <c r="D28" s="55"/>
      <c r="E28" s="55"/>
      <c r="F28" s="55"/>
      <c r="G28" s="55"/>
      <c r="H28" s="55"/>
    </row>
    <row r="29" spans="1:8" ht="36" customHeight="1" x14ac:dyDescent="0.25">
      <c r="A29" s="3" t="s">
        <v>188</v>
      </c>
      <c r="B29" s="72" t="s">
        <v>210</v>
      </c>
      <c r="C29" s="55"/>
      <c r="D29" s="55"/>
      <c r="E29" s="55"/>
      <c r="F29" s="55"/>
      <c r="G29" s="55"/>
      <c r="H29" s="55"/>
    </row>
    <row r="30" spans="1:8" ht="36" customHeight="1" x14ac:dyDescent="0.25">
      <c r="A30" s="3" t="s">
        <v>190</v>
      </c>
      <c r="B30" s="72" t="s">
        <v>211</v>
      </c>
      <c r="C30" s="55"/>
      <c r="D30" s="55"/>
      <c r="E30" s="55"/>
      <c r="F30" s="55"/>
      <c r="G30" s="55"/>
      <c r="H30" s="55"/>
    </row>
    <row r="31" spans="1:8" ht="8.1" customHeight="1" x14ac:dyDescent="0.25"/>
    <row r="32" spans="1:8" ht="26.1" customHeight="1" x14ac:dyDescent="0.25">
      <c r="A32" s="76" t="s">
        <v>212</v>
      </c>
      <c r="B32" s="55"/>
      <c r="C32" s="55"/>
      <c r="D32" s="55"/>
      <c r="E32" s="55"/>
      <c r="F32" s="55"/>
      <c r="G32" s="55"/>
      <c r="H32" s="55"/>
    </row>
    <row r="33" spans="1:8" ht="36" customHeight="1" x14ac:dyDescent="0.25">
      <c r="A33" s="88" t="s">
        <v>213</v>
      </c>
      <c r="B33" s="55"/>
      <c r="C33" s="55"/>
      <c r="D33" s="55"/>
      <c r="E33" s="55"/>
      <c r="F33" s="55"/>
      <c r="G33" s="55"/>
      <c r="H33" s="55"/>
    </row>
    <row r="34" spans="1:8" ht="21.95" customHeight="1" x14ac:dyDescent="0.25">
      <c r="A34" s="31" t="s">
        <v>171</v>
      </c>
      <c r="B34" s="74">
        <f>MAX(D7:D31)</f>
        <v>0</v>
      </c>
      <c r="C34" s="55"/>
      <c r="D34" s="55"/>
      <c r="E34" s="28" t="s">
        <v>214</v>
      </c>
      <c r="F34" s="71" t="s">
        <v>215</v>
      </c>
      <c r="G34" s="55"/>
      <c r="H34" s="55"/>
    </row>
    <row r="35" spans="1:8" ht="21.95" customHeight="1" x14ac:dyDescent="0.25">
      <c r="A35" s="31" t="s">
        <v>171</v>
      </c>
      <c r="B35" s="74">
        <f>MIN(D7:D31)</f>
        <v>0</v>
      </c>
      <c r="C35" s="55"/>
      <c r="D35" s="55"/>
      <c r="E35" s="28" t="s">
        <v>216</v>
      </c>
      <c r="F35" s="71" t="s">
        <v>217</v>
      </c>
      <c r="G35" s="55"/>
      <c r="H35" s="55"/>
    </row>
    <row r="36" spans="1:8" ht="21.95" customHeight="1" x14ac:dyDescent="0.25">
      <c r="A36" s="31" t="s">
        <v>171</v>
      </c>
      <c r="B36" s="74">
        <f>COUNT(D7:D31)</f>
        <v>0</v>
      </c>
      <c r="C36" s="55"/>
      <c r="D36" s="55"/>
      <c r="E36" s="28" t="s">
        <v>218</v>
      </c>
      <c r="F36" s="71" t="s">
        <v>219</v>
      </c>
      <c r="G36" s="55"/>
      <c r="H36" s="55"/>
    </row>
    <row r="37" spans="1:8" ht="21.95" customHeight="1" x14ac:dyDescent="0.25">
      <c r="A37" s="31" t="s">
        <v>171</v>
      </c>
      <c r="B37" s="74">
        <f>COUNTA(B7:B31)</f>
        <v>20</v>
      </c>
      <c r="C37" s="55"/>
      <c r="D37" s="55"/>
      <c r="E37" s="28" t="s">
        <v>220</v>
      </c>
      <c r="F37" s="71" t="s">
        <v>221</v>
      </c>
      <c r="G37" s="55"/>
      <c r="H37" s="55"/>
    </row>
    <row r="38" spans="1:8" ht="21.95" customHeight="1" x14ac:dyDescent="0.25">
      <c r="A38" s="31" t="s">
        <v>171</v>
      </c>
      <c r="B38" s="74">
        <f>SUM(D7:D31)</f>
        <v>0</v>
      </c>
      <c r="C38" s="55"/>
      <c r="D38" s="55"/>
      <c r="E38" s="28" t="s">
        <v>222</v>
      </c>
      <c r="F38" s="71" t="s">
        <v>223</v>
      </c>
      <c r="G38" s="55"/>
      <c r="H38" s="55"/>
    </row>
    <row r="39" spans="1:8" ht="36" customHeight="1" x14ac:dyDescent="0.25">
      <c r="A39" s="4" t="s">
        <v>182</v>
      </c>
      <c r="B39" s="72" t="s">
        <v>224</v>
      </c>
      <c r="C39" s="55"/>
      <c r="D39" s="55"/>
      <c r="E39" s="55"/>
      <c r="F39" s="55"/>
      <c r="G39" s="55"/>
      <c r="H39" s="55"/>
    </row>
    <row r="40" spans="1:8" ht="36" customHeight="1" x14ac:dyDescent="0.25">
      <c r="A40" s="4" t="s">
        <v>184</v>
      </c>
      <c r="B40" s="72" t="s">
        <v>225</v>
      </c>
      <c r="C40" s="55"/>
      <c r="D40" s="55"/>
      <c r="E40" s="55"/>
      <c r="F40" s="55"/>
      <c r="G40" s="55"/>
      <c r="H40" s="55"/>
    </row>
    <row r="41" spans="1:8" ht="36" customHeight="1" x14ac:dyDescent="0.25">
      <c r="A41" s="4" t="s">
        <v>186</v>
      </c>
      <c r="B41" s="72" t="s">
        <v>226</v>
      </c>
      <c r="C41" s="55"/>
      <c r="D41" s="55"/>
      <c r="E41" s="55"/>
      <c r="F41" s="55"/>
      <c r="G41" s="55"/>
      <c r="H41" s="55"/>
    </row>
    <row r="42" spans="1:8" ht="36" customHeight="1" x14ac:dyDescent="0.25">
      <c r="A42" s="4" t="s">
        <v>188</v>
      </c>
      <c r="B42" s="72" t="s">
        <v>227</v>
      </c>
      <c r="C42" s="55"/>
      <c r="D42" s="55"/>
      <c r="E42" s="55"/>
      <c r="F42" s="55"/>
      <c r="G42" s="55"/>
      <c r="H42" s="55"/>
    </row>
    <row r="43" spans="1:8" ht="36" customHeight="1" x14ac:dyDescent="0.25">
      <c r="A43" s="4" t="s">
        <v>190</v>
      </c>
      <c r="B43" s="72" t="s">
        <v>228</v>
      </c>
      <c r="C43" s="55"/>
      <c r="D43" s="55"/>
      <c r="E43" s="55"/>
      <c r="F43" s="55"/>
      <c r="G43" s="55"/>
      <c r="H43" s="55"/>
    </row>
    <row r="44" spans="1:8" ht="36" customHeight="1" x14ac:dyDescent="0.25">
      <c r="A44" s="4" t="s">
        <v>192</v>
      </c>
      <c r="B44" s="72" t="s">
        <v>229</v>
      </c>
      <c r="C44" s="55"/>
      <c r="D44" s="55"/>
      <c r="E44" s="55"/>
      <c r="F44" s="55"/>
      <c r="G44" s="55"/>
      <c r="H44" s="55"/>
    </row>
    <row r="45" spans="1:8" ht="36" customHeight="1" x14ac:dyDescent="0.25">
      <c r="A45" s="4" t="s">
        <v>230</v>
      </c>
      <c r="B45" s="72" t="s">
        <v>231</v>
      </c>
      <c r="C45" s="55"/>
      <c r="D45" s="55"/>
      <c r="E45" s="55"/>
      <c r="F45" s="55"/>
      <c r="G45" s="55"/>
      <c r="H45" s="55"/>
    </row>
    <row r="46" spans="1:8" ht="8.1" customHeight="1" x14ac:dyDescent="0.25"/>
    <row r="47" spans="1:8" ht="26.1" customHeight="1" x14ac:dyDescent="0.25">
      <c r="A47" s="83" t="s">
        <v>232</v>
      </c>
      <c r="B47" s="55"/>
      <c r="C47" s="55"/>
      <c r="D47" s="55"/>
      <c r="E47" s="55"/>
      <c r="F47" s="55"/>
      <c r="G47" s="55"/>
      <c r="H47" s="55"/>
    </row>
    <row r="48" spans="1:8" ht="36" customHeight="1" x14ac:dyDescent="0.25">
      <c r="A48" s="84" t="s">
        <v>233</v>
      </c>
      <c r="B48" s="55"/>
      <c r="C48" s="55"/>
      <c r="D48" s="55"/>
      <c r="E48" s="55"/>
      <c r="F48" s="55"/>
      <c r="G48" s="55"/>
      <c r="H48" s="55"/>
    </row>
    <row r="49" spans="1:8" ht="21.95" customHeight="1" x14ac:dyDescent="0.25">
      <c r="A49" s="22" t="s">
        <v>171</v>
      </c>
      <c r="B49" s="74" t="str">
        <f>IF(H7&gt;=50,"PASS","FAIL")</f>
        <v>FAIL</v>
      </c>
      <c r="C49" s="55"/>
      <c r="D49" s="55"/>
      <c r="E49" s="28" t="s">
        <v>234</v>
      </c>
      <c r="F49" s="71" t="s">
        <v>235</v>
      </c>
      <c r="G49" s="55"/>
      <c r="H49" s="55"/>
    </row>
    <row r="50" spans="1:8" ht="21.95" customHeight="1" x14ac:dyDescent="0.25">
      <c r="A50" s="22" t="s">
        <v>171</v>
      </c>
      <c r="B50" s="74" t="str">
        <f>IF(H7&gt;90,"Top Student","Normal")</f>
        <v>Normal</v>
      </c>
      <c r="C50" s="55"/>
      <c r="D50" s="55"/>
      <c r="E50" s="28" t="s">
        <v>236</v>
      </c>
      <c r="F50" s="71" t="s">
        <v>237</v>
      </c>
      <c r="G50" s="55"/>
      <c r="H50" s="55"/>
    </row>
    <row r="51" spans="1:8" ht="21.95" customHeight="1" x14ac:dyDescent="0.25">
      <c r="A51" s="22" t="s">
        <v>171</v>
      </c>
      <c r="B51" s="74" t="str">
        <f>IF(D7=E7,"Same","Different")</f>
        <v>Different</v>
      </c>
      <c r="C51" s="55"/>
      <c r="D51" s="55"/>
      <c r="E51" s="28" t="s">
        <v>238</v>
      </c>
      <c r="F51" s="71" t="s">
        <v>239</v>
      </c>
      <c r="G51" s="55"/>
      <c r="H51" s="55"/>
    </row>
    <row r="52" spans="1:8" ht="21.95" customHeight="1" x14ac:dyDescent="0.25">
      <c r="A52" s="22" t="s">
        <v>171</v>
      </c>
      <c r="B52" s="74">
        <f>IF(H7&gt;=50,1,0)</f>
        <v>0</v>
      </c>
      <c r="C52" s="55"/>
      <c r="D52" s="55"/>
      <c r="E52" s="28" t="s">
        <v>240</v>
      </c>
      <c r="F52" s="71" t="s">
        <v>241</v>
      </c>
      <c r="G52" s="55"/>
      <c r="H52" s="55"/>
    </row>
    <row r="53" spans="1:8" ht="36" customHeight="1" x14ac:dyDescent="0.25">
      <c r="A53" s="5" t="s">
        <v>182</v>
      </c>
      <c r="B53" s="72" t="s">
        <v>242</v>
      </c>
      <c r="C53" s="55"/>
      <c r="D53" s="55"/>
      <c r="E53" s="55"/>
      <c r="F53" s="55"/>
      <c r="G53" s="55"/>
      <c r="H53" s="55"/>
    </row>
    <row r="54" spans="1:8" ht="36" customHeight="1" x14ac:dyDescent="0.25">
      <c r="A54" s="5" t="s">
        <v>184</v>
      </c>
      <c r="B54" s="72" t="s">
        <v>243</v>
      </c>
      <c r="C54" s="55"/>
      <c r="D54" s="55"/>
      <c r="E54" s="55"/>
      <c r="F54" s="55"/>
      <c r="G54" s="55"/>
      <c r="H54" s="55"/>
    </row>
    <row r="55" spans="1:8" ht="36" customHeight="1" x14ac:dyDescent="0.25">
      <c r="A55" s="5" t="s">
        <v>186</v>
      </c>
      <c r="B55" s="72" t="s">
        <v>244</v>
      </c>
      <c r="C55" s="55"/>
      <c r="D55" s="55"/>
      <c r="E55" s="55"/>
      <c r="F55" s="55"/>
      <c r="G55" s="55"/>
      <c r="H55" s="55"/>
    </row>
    <row r="56" spans="1:8" ht="36" customHeight="1" x14ac:dyDescent="0.25">
      <c r="A56" s="5" t="s">
        <v>188</v>
      </c>
      <c r="B56" s="72" t="s">
        <v>245</v>
      </c>
      <c r="C56" s="55"/>
      <c r="D56" s="55"/>
      <c r="E56" s="55"/>
      <c r="F56" s="55"/>
      <c r="G56" s="55"/>
      <c r="H56" s="55"/>
    </row>
    <row r="57" spans="1:8" ht="36" customHeight="1" x14ac:dyDescent="0.25">
      <c r="A57" s="5" t="s">
        <v>190</v>
      </c>
      <c r="B57" s="72" t="s">
        <v>246</v>
      </c>
      <c r="C57" s="55"/>
      <c r="D57" s="55"/>
      <c r="E57" s="55"/>
      <c r="F57" s="55"/>
      <c r="G57" s="55"/>
      <c r="H57" s="55"/>
    </row>
    <row r="58" spans="1:8" ht="36" customHeight="1" x14ac:dyDescent="0.25">
      <c r="A58" s="79" t="s">
        <v>247</v>
      </c>
      <c r="B58" s="55"/>
      <c r="C58" s="55"/>
      <c r="D58" s="55"/>
      <c r="E58" s="55"/>
      <c r="F58" s="55"/>
      <c r="G58" s="55"/>
      <c r="H58" s="55"/>
    </row>
    <row r="59" spans="1:8" ht="8.1" customHeight="1" x14ac:dyDescent="0.25"/>
    <row r="60" spans="1:8" ht="26.1" customHeight="1" x14ac:dyDescent="0.25">
      <c r="A60" s="80" t="s">
        <v>248</v>
      </c>
      <c r="B60" s="55"/>
      <c r="C60" s="55"/>
      <c r="D60" s="55"/>
      <c r="E60" s="55"/>
      <c r="F60" s="55"/>
      <c r="G60" s="55"/>
      <c r="H60" s="55"/>
    </row>
    <row r="61" spans="1:8" ht="36" customHeight="1" x14ac:dyDescent="0.25">
      <c r="A61" s="85" t="s">
        <v>249</v>
      </c>
      <c r="B61" s="55"/>
      <c r="C61" s="55"/>
      <c r="D61" s="55"/>
      <c r="E61" s="55"/>
      <c r="F61" s="55"/>
      <c r="G61" s="55"/>
      <c r="H61" s="55"/>
    </row>
    <row r="62" spans="1:8" ht="21.95" customHeight="1" x14ac:dyDescent="0.25">
      <c r="A62" s="32" t="s">
        <v>171</v>
      </c>
      <c r="B62" s="74" t="str">
        <f>IF(H7&gt;=90,"A",IF(H7&gt;=75,"B",IF(H7&gt;=60,"C",IF(H7&gt;=45,"D","F"))))</f>
        <v>F</v>
      </c>
      <c r="C62" s="55"/>
      <c r="D62" s="55"/>
      <c r="E62" s="28" t="s">
        <v>250</v>
      </c>
      <c r="F62" s="71" t="s">
        <v>251</v>
      </c>
      <c r="G62" s="55"/>
      <c r="H62" s="55"/>
    </row>
    <row r="63" spans="1:8" ht="36" customHeight="1" x14ac:dyDescent="0.25">
      <c r="A63" s="6" t="s">
        <v>182</v>
      </c>
      <c r="B63" s="72" t="s">
        <v>252</v>
      </c>
      <c r="C63" s="55"/>
      <c r="D63" s="55"/>
      <c r="E63" s="55"/>
      <c r="F63" s="55"/>
      <c r="G63" s="55"/>
      <c r="H63" s="55"/>
    </row>
    <row r="64" spans="1:8" ht="36" customHeight="1" x14ac:dyDescent="0.25">
      <c r="A64" s="6" t="s">
        <v>184</v>
      </c>
      <c r="B64" s="72" t="s">
        <v>253</v>
      </c>
      <c r="C64" s="55"/>
      <c r="D64" s="55"/>
      <c r="E64" s="55"/>
      <c r="F64" s="55"/>
      <c r="G64" s="55"/>
      <c r="H64" s="55"/>
    </row>
    <row r="65" spans="1:8" ht="36" customHeight="1" x14ac:dyDescent="0.25">
      <c r="A65" s="6" t="s">
        <v>186</v>
      </c>
      <c r="B65" s="72" t="s">
        <v>254</v>
      </c>
      <c r="C65" s="55"/>
      <c r="D65" s="55"/>
      <c r="E65" s="55"/>
      <c r="F65" s="55"/>
      <c r="G65" s="55"/>
      <c r="H65" s="55"/>
    </row>
    <row r="66" spans="1:8" ht="36" customHeight="1" x14ac:dyDescent="0.25">
      <c r="A66" s="6" t="s">
        <v>188</v>
      </c>
      <c r="B66" s="72" t="s">
        <v>255</v>
      </c>
      <c r="C66" s="55"/>
      <c r="D66" s="55"/>
      <c r="E66" s="55"/>
      <c r="F66" s="55"/>
      <c r="G66" s="55"/>
      <c r="H66" s="55"/>
    </row>
    <row r="67" spans="1:8" ht="36" customHeight="1" x14ac:dyDescent="0.25">
      <c r="A67" s="6" t="s">
        <v>190</v>
      </c>
      <c r="B67" s="72" t="s">
        <v>256</v>
      </c>
      <c r="C67" s="55"/>
      <c r="D67" s="55"/>
      <c r="E67" s="55"/>
      <c r="F67" s="55"/>
      <c r="G67" s="55"/>
      <c r="H67" s="55"/>
    </row>
    <row r="68" spans="1:8" ht="36" customHeight="1" x14ac:dyDescent="0.25">
      <c r="A68" s="6" t="s">
        <v>192</v>
      </c>
      <c r="B68" s="72" t="s">
        <v>257</v>
      </c>
      <c r="C68" s="55"/>
      <c r="D68" s="55"/>
      <c r="E68" s="55"/>
      <c r="F68" s="55"/>
      <c r="G68" s="55"/>
      <c r="H68" s="55"/>
    </row>
    <row r="69" spans="1:8" ht="8.1" customHeight="1" x14ac:dyDescent="0.25"/>
    <row r="70" spans="1:8" ht="26.1" customHeight="1" x14ac:dyDescent="0.25">
      <c r="A70" s="86" t="s">
        <v>258</v>
      </c>
      <c r="B70" s="55"/>
      <c r="C70" s="55"/>
      <c r="D70" s="55"/>
      <c r="E70" s="55"/>
      <c r="F70" s="55"/>
      <c r="G70" s="55"/>
      <c r="H70" s="55"/>
    </row>
    <row r="71" spans="1:8" ht="36" customHeight="1" x14ac:dyDescent="0.25">
      <c r="A71" s="87" t="s">
        <v>259</v>
      </c>
      <c r="B71" s="55"/>
      <c r="C71" s="55"/>
      <c r="D71" s="55"/>
      <c r="E71" s="55"/>
      <c r="F71" s="55"/>
      <c r="G71" s="55"/>
      <c r="H71" s="55"/>
    </row>
    <row r="72" spans="1:8" ht="21.95" customHeight="1" x14ac:dyDescent="0.25">
      <c r="A72" s="33" t="s">
        <v>171</v>
      </c>
      <c r="B72" s="74">
        <f>COUNTIF(I7:I31,"A")</f>
        <v>0</v>
      </c>
      <c r="C72" s="55"/>
      <c r="D72" s="55"/>
      <c r="E72" s="28" t="s">
        <v>260</v>
      </c>
      <c r="F72" s="71" t="s">
        <v>261</v>
      </c>
      <c r="G72" s="55"/>
      <c r="H72" s="55"/>
    </row>
    <row r="73" spans="1:8" ht="21.95" customHeight="1" x14ac:dyDescent="0.25">
      <c r="A73" s="33" t="s">
        <v>171</v>
      </c>
      <c r="B73" s="74">
        <f>COUNTIF(C7:C31,"M")</f>
        <v>0</v>
      </c>
      <c r="C73" s="55"/>
      <c r="D73" s="55"/>
      <c r="E73" s="28" t="s">
        <v>262</v>
      </c>
      <c r="F73" s="71" t="s">
        <v>263</v>
      </c>
      <c r="G73" s="55"/>
      <c r="H73" s="55"/>
    </row>
    <row r="74" spans="1:8" ht="21.95" customHeight="1" x14ac:dyDescent="0.25">
      <c r="A74" s="33" t="s">
        <v>171</v>
      </c>
      <c r="B74" s="74">
        <f>SUMIF(C7:C31,"F",H7:H31)</f>
        <v>0</v>
      </c>
      <c r="C74" s="55"/>
      <c r="D74" s="55"/>
      <c r="E74" s="28" t="s">
        <v>264</v>
      </c>
      <c r="F74" s="71" t="s">
        <v>265</v>
      </c>
      <c r="G74" s="55"/>
      <c r="H74" s="55"/>
    </row>
    <row r="75" spans="1:8" ht="21.95" customHeight="1" x14ac:dyDescent="0.25">
      <c r="A75" s="33" t="s">
        <v>171</v>
      </c>
      <c r="B75" s="74">
        <f>COUNTIF(H7:H31,"&gt;="&amp;75)</f>
        <v>0</v>
      </c>
      <c r="C75" s="55"/>
      <c r="D75" s="55"/>
      <c r="E75" s="28" t="s">
        <v>266</v>
      </c>
      <c r="F75" s="71" t="s">
        <v>267</v>
      </c>
      <c r="G75" s="55"/>
      <c r="H75" s="55"/>
    </row>
    <row r="76" spans="1:8" ht="21.95" customHeight="1" x14ac:dyDescent="0.25">
      <c r="A76" s="33" t="s">
        <v>171</v>
      </c>
      <c r="B76" s="74">
        <f>SUMIF(I7:I31,"A",G7:G31)</f>
        <v>0</v>
      </c>
      <c r="C76" s="55"/>
      <c r="D76" s="55"/>
      <c r="E76" s="28" t="s">
        <v>268</v>
      </c>
      <c r="F76" s="71" t="s">
        <v>269</v>
      </c>
      <c r="G76" s="55"/>
      <c r="H76" s="55"/>
    </row>
    <row r="77" spans="1:8" ht="36" customHeight="1" x14ac:dyDescent="0.25">
      <c r="A77" s="7" t="s">
        <v>182</v>
      </c>
      <c r="B77" s="72" t="s">
        <v>270</v>
      </c>
      <c r="C77" s="55"/>
      <c r="D77" s="55"/>
      <c r="E77" s="55"/>
      <c r="F77" s="55"/>
      <c r="G77" s="55"/>
      <c r="H77" s="55"/>
    </row>
    <row r="78" spans="1:8" ht="36" customHeight="1" x14ac:dyDescent="0.25">
      <c r="A78" s="7" t="s">
        <v>184</v>
      </c>
      <c r="B78" s="72" t="s">
        <v>271</v>
      </c>
      <c r="C78" s="55"/>
      <c r="D78" s="55"/>
      <c r="E78" s="55"/>
      <c r="F78" s="55"/>
      <c r="G78" s="55"/>
      <c r="H78" s="55"/>
    </row>
    <row r="79" spans="1:8" ht="36" customHeight="1" x14ac:dyDescent="0.25">
      <c r="A79" s="7" t="s">
        <v>186</v>
      </c>
      <c r="B79" s="72" t="s">
        <v>272</v>
      </c>
      <c r="C79" s="55"/>
      <c r="D79" s="55"/>
      <c r="E79" s="55"/>
      <c r="F79" s="55"/>
      <c r="G79" s="55"/>
      <c r="H79" s="55"/>
    </row>
    <row r="80" spans="1:8" ht="36" customHeight="1" x14ac:dyDescent="0.25">
      <c r="A80" s="7" t="s">
        <v>188</v>
      </c>
      <c r="B80" s="72" t="s">
        <v>273</v>
      </c>
      <c r="C80" s="55"/>
      <c r="D80" s="55"/>
      <c r="E80" s="55"/>
      <c r="F80" s="55"/>
      <c r="G80" s="55"/>
      <c r="H80" s="55"/>
    </row>
    <row r="81" spans="1:8" ht="36" customHeight="1" x14ac:dyDescent="0.25">
      <c r="A81" s="7" t="s">
        <v>190</v>
      </c>
      <c r="B81" s="72" t="s">
        <v>274</v>
      </c>
      <c r="C81" s="55"/>
      <c r="D81" s="55"/>
      <c r="E81" s="55"/>
      <c r="F81" s="55"/>
      <c r="G81" s="55"/>
      <c r="H81" s="55"/>
    </row>
    <row r="82" spans="1:8" ht="8.1" customHeight="1" x14ac:dyDescent="0.25"/>
    <row r="83" spans="1:8" ht="26.1" customHeight="1" x14ac:dyDescent="0.25">
      <c r="A83" s="73" t="s">
        <v>275</v>
      </c>
      <c r="B83" s="55"/>
      <c r="C83" s="55"/>
      <c r="D83" s="55"/>
      <c r="E83" s="55"/>
      <c r="F83" s="55"/>
      <c r="G83" s="55"/>
      <c r="H83" s="55"/>
    </row>
    <row r="84" spans="1:8" ht="36" customHeight="1" x14ac:dyDescent="0.25">
      <c r="A84" s="81" t="s">
        <v>276</v>
      </c>
      <c r="B84" s="55"/>
      <c r="C84" s="55"/>
      <c r="D84" s="55"/>
      <c r="E84" s="55"/>
      <c r="F84" s="55"/>
      <c r="G84" s="55"/>
      <c r="H84" s="55"/>
    </row>
    <row r="85" spans="1:8" ht="21.95" customHeight="1" x14ac:dyDescent="0.25">
      <c r="A85" s="16" t="s">
        <v>171</v>
      </c>
      <c r="B85" s="74" t="e">
        <f>VLOOKUP("SC003",A7:N31,2,FALSE)</f>
        <v>#N/A</v>
      </c>
      <c r="C85" s="55"/>
      <c r="D85" s="55"/>
      <c r="E85" s="28" t="s">
        <v>277</v>
      </c>
      <c r="F85" s="71" t="s">
        <v>278</v>
      </c>
      <c r="G85" s="55"/>
      <c r="H85" s="55"/>
    </row>
    <row r="86" spans="1:8" ht="21.95" customHeight="1" x14ac:dyDescent="0.25">
      <c r="A86" s="16" t="s">
        <v>171</v>
      </c>
      <c r="B86" s="74" t="e">
        <f>VLOOKUP("SC010",A7:N31,9,FALSE)</f>
        <v>#N/A</v>
      </c>
      <c r="C86" s="55"/>
      <c r="D86" s="55"/>
      <c r="E86" s="28" t="s">
        <v>279</v>
      </c>
      <c r="F86" s="71" t="s">
        <v>280</v>
      </c>
      <c r="G86" s="55"/>
      <c r="H86" s="55"/>
    </row>
    <row r="87" spans="1:8" ht="36" customHeight="1" x14ac:dyDescent="0.25">
      <c r="A87" s="8" t="s">
        <v>182</v>
      </c>
      <c r="B87" s="72" t="s">
        <v>281</v>
      </c>
      <c r="C87" s="55"/>
      <c r="D87" s="55"/>
      <c r="E87" s="55"/>
      <c r="F87" s="55"/>
      <c r="G87" s="55"/>
      <c r="H87" s="55"/>
    </row>
    <row r="88" spans="1:8" ht="36" customHeight="1" x14ac:dyDescent="0.25">
      <c r="A88" s="8" t="s">
        <v>184</v>
      </c>
      <c r="B88" s="72" t="s">
        <v>282</v>
      </c>
      <c r="C88" s="55"/>
      <c r="D88" s="55"/>
      <c r="E88" s="55"/>
      <c r="F88" s="55"/>
      <c r="G88" s="55"/>
      <c r="H88" s="55"/>
    </row>
    <row r="89" spans="1:8" ht="36" customHeight="1" x14ac:dyDescent="0.25">
      <c r="A89" s="8" t="s">
        <v>186</v>
      </c>
      <c r="B89" s="72" t="s">
        <v>283</v>
      </c>
      <c r="C89" s="55"/>
      <c r="D89" s="55"/>
      <c r="E89" s="55"/>
      <c r="F89" s="55"/>
      <c r="G89" s="55"/>
      <c r="H89" s="55"/>
    </row>
    <row r="90" spans="1:8" ht="36" customHeight="1" x14ac:dyDescent="0.25">
      <c r="A90" s="8" t="s">
        <v>188</v>
      </c>
      <c r="B90" s="72" t="s">
        <v>284</v>
      </c>
      <c r="C90" s="55"/>
      <c r="D90" s="55"/>
      <c r="E90" s="55"/>
      <c r="F90" s="55"/>
      <c r="G90" s="55"/>
      <c r="H90" s="55"/>
    </row>
    <row r="91" spans="1:8" ht="36" customHeight="1" x14ac:dyDescent="0.25">
      <c r="A91" s="8" t="s">
        <v>190</v>
      </c>
      <c r="B91" s="72" t="s">
        <v>285</v>
      </c>
      <c r="C91" s="55"/>
      <c r="D91" s="55"/>
      <c r="E91" s="55"/>
      <c r="F91" s="55"/>
      <c r="G91" s="55"/>
      <c r="H91" s="55"/>
    </row>
    <row r="92" spans="1:8" ht="36" customHeight="1" x14ac:dyDescent="0.25">
      <c r="A92" s="8" t="s">
        <v>192</v>
      </c>
      <c r="B92" s="72" t="s">
        <v>286</v>
      </c>
      <c r="C92" s="55"/>
      <c r="D92" s="55"/>
      <c r="E92" s="55"/>
      <c r="F92" s="55"/>
      <c r="G92" s="55"/>
      <c r="H92" s="55"/>
    </row>
    <row r="93" spans="1:8" ht="36" customHeight="1" x14ac:dyDescent="0.25">
      <c r="A93" s="8" t="s">
        <v>230</v>
      </c>
      <c r="B93" s="72" t="s">
        <v>287</v>
      </c>
      <c r="C93" s="55"/>
      <c r="D93" s="55"/>
      <c r="E93" s="55"/>
      <c r="F93" s="55"/>
      <c r="G93" s="55"/>
      <c r="H93" s="55"/>
    </row>
    <row r="94" spans="1:8" ht="36" customHeight="1" x14ac:dyDescent="0.25">
      <c r="A94" s="8" t="s">
        <v>288</v>
      </c>
      <c r="B94" s="72" t="s">
        <v>289</v>
      </c>
      <c r="C94" s="55"/>
      <c r="D94" s="55"/>
      <c r="E94" s="55"/>
      <c r="F94" s="55"/>
      <c r="G94" s="55"/>
      <c r="H94" s="55"/>
    </row>
    <row r="95" spans="1:8" ht="8.1" customHeight="1" x14ac:dyDescent="0.25"/>
    <row r="96" spans="1:8" ht="26.1" customHeight="1" x14ac:dyDescent="0.25">
      <c r="A96" s="78" t="s">
        <v>290</v>
      </c>
      <c r="B96" s="55"/>
      <c r="C96" s="55"/>
      <c r="D96" s="55"/>
      <c r="E96" s="55"/>
      <c r="F96" s="55"/>
      <c r="G96" s="55"/>
      <c r="H96" s="55"/>
    </row>
    <row r="97" spans="1:8" ht="36" customHeight="1" x14ac:dyDescent="0.25">
      <c r="A97" s="77" t="s">
        <v>291</v>
      </c>
      <c r="B97" s="55"/>
      <c r="C97" s="55"/>
      <c r="D97" s="55"/>
      <c r="E97" s="55"/>
      <c r="F97" s="55"/>
      <c r="G97" s="55"/>
      <c r="H97" s="55"/>
    </row>
    <row r="98" spans="1:8" ht="21.95" customHeight="1" x14ac:dyDescent="0.25">
      <c r="A98" s="30" t="s">
        <v>171</v>
      </c>
      <c r="B98" s="74">
        <f>LEN(B7)</f>
        <v>1</v>
      </c>
      <c r="C98" s="55"/>
      <c r="D98" s="55"/>
      <c r="E98" s="28" t="s">
        <v>292</v>
      </c>
      <c r="F98" s="71" t="s">
        <v>293</v>
      </c>
      <c r="G98" s="55"/>
      <c r="H98" s="55"/>
    </row>
    <row r="99" spans="1:8" ht="21.95" customHeight="1" x14ac:dyDescent="0.25">
      <c r="A99" s="30" t="s">
        <v>171</v>
      </c>
      <c r="B99" s="74" t="str">
        <f>UPPER(B7)</f>
        <v>0</v>
      </c>
      <c r="C99" s="55"/>
      <c r="D99" s="55"/>
      <c r="E99" s="28" t="s">
        <v>294</v>
      </c>
      <c r="F99" s="71" t="s">
        <v>295</v>
      </c>
      <c r="G99" s="55"/>
      <c r="H99" s="55"/>
    </row>
    <row r="100" spans="1:8" ht="21.95" customHeight="1" x14ac:dyDescent="0.25">
      <c r="A100" s="30" t="s">
        <v>171</v>
      </c>
      <c r="B100" s="74" t="str">
        <f>LOWER(B7)</f>
        <v>0</v>
      </c>
      <c r="C100" s="55"/>
      <c r="D100" s="55"/>
      <c r="E100" s="28" t="s">
        <v>296</v>
      </c>
      <c r="F100" s="71" t="s">
        <v>297</v>
      </c>
      <c r="G100" s="55"/>
      <c r="H100" s="55"/>
    </row>
    <row r="101" spans="1:8" ht="21.95" customHeight="1" x14ac:dyDescent="0.25">
      <c r="A101" s="30" t="s">
        <v>171</v>
      </c>
      <c r="B101" s="74" t="str">
        <f>LEFT(B7,5)</f>
        <v>0</v>
      </c>
      <c r="C101" s="55"/>
      <c r="D101" s="55"/>
      <c r="E101" s="28" t="s">
        <v>298</v>
      </c>
      <c r="F101" s="71" t="s">
        <v>299</v>
      </c>
      <c r="G101" s="55"/>
      <c r="H101" s="55"/>
    </row>
    <row r="102" spans="1:8" ht="21.95" customHeight="1" x14ac:dyDescent="0.25">
      <c r="A102" s="30" t="s">
        <v>171</v>
      </c>
      <c r="B102" s="74">
        <f ca="1">TODAY()</f>
        <v>46146</v>
      </c>
      <c r="C102" s="55"/>
      <c r="D102" s="55"/>
      <c r="E102" s="28" t="s">
        <v>300</v>
      </c>
      <c r="F102" s="71" t="s">
        <v>301</v>
      </c>
      <c r="G102" s="55"/>
      <c r="H102" s="55"/>
    </row>
    <row r="103" spans="1:8" ht="21.95" customHeight="1" x14ac:dyDescent="0.25">
      <c r="A103" s="30" t="s">
        <v>171</v>
      </c>
      <c r="B103" s="74">
        <f ca="1">YEAR(TODAY())</f>
        <v>2026</v>
      </c>
      <c r="C103" s="55"/>
      <c r="D103" s="55"/>
      <c r="E103" s="28" t="s">
        <v>302</v>
      </c>
      <c r="F103" s="71" t="s">
        <v>303</v>
      </c>
      <c r="G103" s="55"/>
      <c r="H103" s="55"/>
    </row>
    <row r="104" spans="1:8" ht="21.95" customHeight="1" x14ac:dyDescent="0.25">
      <c r="A104" s="30" t="s">
        <v>171</v>
      </c>
      <c r="B104" s="74">
        <f ca="1">YEAR(TODAY())-N7</f>
        <v>2026</v>
      </c>
      <c r="C104" s="55"/>
      <c r="D104" s="55"/>
      <c r="E104" s="28" t="s">
        <v>304</v>
      </c>
      <c r="F104" s="71" t="s">
        <v>305</v>
      </c>
      <c r="G104" s="55"/>
      <c r="H104" s="55"/>
    </row>
    <row r="105" spans="1:8" ht="36" customHeight="1" x14ac:dyDescent="0.25">
      <c r="A105" s="3" t="s">
        <v>182</v>
      </c>
      <c r="B105" s="72" t="s">
        <v>306</v>
      </c>
      <c r="C105" s="55"/>
      <c r="D105" s="55"/>
      <c r="E105" s="55"/>
      <c r="F105" s="55"/>
      <c r="G105" s="55"/>
      <c r="H105" s="55"/>
    </row>
    <row r="106" spans="1:8" ht="36" customHeight="1" x14ac:dyDescent="0.25">
      <c r="A106" s="3" t="s">
        <v>184</v>
      </c>
      <c r="B106" s="72" t="s">
        <v>307</v>
      </c>
      <c r="C106" s="55"/>
      <c r="D106" s="55"/>
      <c r="E106" s="55"/>
      <c r="F106" s="55"/>
      <c r="G106" s="55"/>
      <c r="H106" s="55"/>
    </row>
    <row r="107" spans="1:8" ht="36" customHeight="1" x14ac:dyDescent="0.25">
      <c r="A107" s="3" t="s">
        <v>186</v>
      </c>
      <c r="B107" s="72" t="s">
        <v>308</v>
      </c>
      <c r="C107" s="55"/>
      <c r="D107" s="55"/>
      <c r="E107" s="55"/>
      <c r="F107" s="55"/>
      <c r="G107" s="55"/>
      <c r="H107" s="55"/>
    </row>
    <row r="108" spans="1:8" ht="36" customHeight="1" x14ac:dyDescent="0.25">
      <c r="A108" s="3" t="s">
        <v>188</v>
      </c>
      <c r="B108" s="72" t="s">
        <v>309</v>
      </c>
      <c r="C108" s="55"/>
      <c r="D108" s="55"/>
      <c r="E108" s="55"/>
      <c r="F108" s="55"/>
      <c r="G108" s="55"/>
      <c r="H108" s="55"/>
    </row>
    <row r="109" spans="1:8" ht="36" customHeight="1" x14ac:dyDescent="0.25">
      <c r="A109" s="3" t="s">
        <v>190</v>
      </c>
      <c r="B109" s="72" t="s">
        <v>310</v>
      </c>
      <c r="C109" s="55"/>
      <c r="D109" s="55"/>
      <c r="E109" s="55"/>
      <c r="F109" s="55"/>
      <c r="G109" s="55"/>
      <c r="H109" s="55"/>
    </row>
  </sheetData>
  <mergeCells count="135">
    <mergeCell ref="A1:H1"/>
    <mergeCell ref="F62:H62"/>
    <mergeCell ref="B38:D38"/>
    <mergeCell ref="B103:D103"/>
    <mergeCell ref="B63:H63"/>
    <mergeCell ref="F72:H72"/>
    <mergeCell ref="B91:H91"/>
    <mergeCell ref="B24:D24"/>
    <mergeCell ref="B104:D104"/>
    <mergeCell ref="B93:H93"/>
    <mergeCell ref="F98:H98"/>
    <mergeCell ref="B12:H12"/>
    <mergeCell ref="B77:H77"/>
    <mergeCell ref="F73:H73"/>
    <mergeCell ref="B7:D7"/>
    <mergeCell ref="B67:H67"/>
    <mergeCell ref="A4:H4"/>
    <mergeCell ref="F10:H10"/>
    <mergeCell ref="B14:H14"/>
    <mergeCell ref="B52:D52"/>
    <mergeCell ref="F74:H74"/>
    <mergeCell ref="B78:H78"/>
    <mergeCell ref="B109:H109"/>
    <mergeCell ref="F52:H52"/>
    <mergeCell ref="F37:H37"/>
    <mergeCell ref="B51:D51"/>
    <mergeCell ref="A71:H71"/>
    <mergeCell ref="B35:D35"/>
    <mergeCell ref="B50:D50"/>
    <mergeCell ref="B39:H39"/>
    <mergeCell ref="A33:H33"/>
    <mergeCell ref="F34:H34"/>
    <mergeCell ref="F99:H99"/>
    <mergeCell ref="B87:H87"/>
    <mergeCell ref="B86:D86"/>
    <mergeCell ref="B65:H65"/>
    <mergeCell ref="B101:D101"/>
    <mergeCell ref="F75:H75"/>
    <mergeCell ref="A2:H2"/>
    <mergeCell ref="B43:H43"/>
    <mergeCell ref="B105:H105"/>
    <mergeCell ref="A47:H47"/>
    <mergeCell ref="B75:D75"/>
    <mergeCell ref="B100:D100"/>
    <mergeCell ref="F25:H25"/>
    <mergeCell ref="F103:H103"/>
    <mergeCell ref="B107:H107"/>
    <mergeCell ref="B57:H57"/>
    <mergeCell ref="B88:H88"/>
    <mergeCell ref="A20:H20"/>
    <mergeCell ref="B102:D102"/>
    <mergeCell ref="B21:D21"/>
    <mergeCell ref="F86:H86"/>
    <mergeCell ref="B28:H28"/>
    <mergeCell ref="F24:H24"/>
    <mergeCell ref="A48:H48"/>
    <mergeCell ref="F104:H104"/>
    <mergeCell ref="B23:D23"/>
    <mergeCell ref="B68:H68"/>
    <mergeCell ref="B92:H92"/>
    <mergeCell ref="B30:H30"/>
    <mergeCell ref="A61:H61"/>
    <mergeCell ref="B108:H108"/>
    <mergeCell ref="F51:H51"/>
    <mergeCell ref="B98:D98"/>
    <mergeCell ref="B8:D8"/>
    <mergeCell ref="F35:H35"/>
    <mergeCell ref="F50:H50"/>
    <mergeCell ref="A60:H60"/>
    <mergeCell ref="B73:D73"/>
    <mergeCell ref="F101:H101"/>
    <mergeCell ref="B15:H15"/>
    <mergeCell ref="B80:H80"/>
    <mergeCell ref="B89:H89"/>
    <mergeCell ref="B10:D10"/>
    <mergeCell ref="B79:H79"/>
    <mergeCell ref="B99:D99"/>
    <mergeCell ref="B9:D9"/>
    <mergeCell ref="B74:D74"/>
    <mergeCell ref="B54:H54"/>
    <mergeCell ref="A84:H84"/>
    <mergeCell ref="B81:H81"/>
    <mergeCell ref="B36:D36"/>
    <mergeCell ref="B76:D76"/>
    <mergeCell ref="B56:H56"/>
    <mergeCell ref="F49:H49"/>
    <mergeCell ref="A5:H5"/>
    <mergeCell ref="B11:H11"/>
    <mergeCell ref="A32:H32"/>
    <mergeCell ref="B42:H42"/>
    <mergeCell ref="A97:H97"/>
    <mergeCell ref="B72:D72"/>
    <mergeCell ref="B44:H44"/>
    <mergeCell ref="B53:H53"/>
    <mergeCell ref="A96:H96"/>
    <mergeCell ref="B29:H29"/>
    <mergeCell ref="F7:H7"/>
    <mergeCell ref="F21:H21"/>
    <mergeCell ref="A58:H58"/>
    <mergeCell ref="B85:D85"/>
    <mergeCell ref="B45:H45"/>
    <mergeCell ref="F23:H23"/>
    <mergeCell ref="F38:H38"/>
    <mergeCell ref="A70:H70"/>
    <mergeCell ref="B94:H94"/>
    <mergeCell ref="B49:D49"/>
    <mergeCell ref="B25:D25"/>
    <mergeCell ref="A17:H17"/>
    <mergeCell ref="F6:H6"/>
    <mergeCell ref="B13:H13"/>
    <mergeCell ref="F102:H102"/>
    <mergeCell ref="B106:H106"/>
    <mergeCell ref="B16:H16"/>
    <mergeCell ref="F9:H9"/>
    <mergeCell ref="B90:H90"/>
    <mergeCell ref="B6:D6"/>
    <mergeCell ref="B66:H66"/>
    <mergeCell ref="B27:H27"/>
    <mergeCell ref="B62:D62"/>
    <mergeCell ref="B22:D22"/>
    <mergeCell ref="A19:H19"/>
    <mergeCell ref="F36:H36"/>
    <mergeCell ref="B40:H40"/>
    <mergeCell ref="F76:H76"/>
    <mergeCell ref="A83:H83"/>
    <mergeCell ref="F85:H85"/>
    <mergeCell ref="B55:H55"/>
    <mergeCell ref="F8:H8"/>
    <mergeCell ref="B64:H64"/>
    <mergeCell ref="F100:H100"/>
    <mergeCell ref="B34:D34"/>
    <mergeCell ref="B37:D37"/>
    <mergeCell ref="F22:H22"/>
    <mergeCell ref="B26:H26"/>
    <mergeCell ref="B41:H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workbookViewId="0">
      <selection sqref="A1:F1"/>
    </sheetView>
  </sheetViews>
  <sheetFormatPr defaultRowHeight="15" x14ac:dyDescent="0.25"/>
  <cols>
    <col min="1" max="1" width="12" customWidth="1"/>
    <col min="2" max="2" width="28" customWidth="1"/>
    <col min="3" max="3" width="32" customWidth="1"/>
    <col min="4" max="4" width="22" customWidth="1"/>
    <col min="5" max="5" width="14" customWidth="1"/>
    <col min="6" max="6" width="12" customWidth="1"/>
  </cols>
  <sheetData>
    <row r="1" spans="1:6" ht="27.95" customHeight="1" x14ac:dyDescent="0.25">
      <c r="A1" s="65" t="s">
        <v>311</v>
      </c>
      <c r="B1" s="55"/>
      <c r="C1" s="55"/>
      <c r="D1" s="55"/>
      <c r="E1" s="55"/>
      <c r="F1" s="55"/>
    </row>
    <row r="3" spans="1:6" ht="20.100000000000001" customHeight="1" x14ac:dyDescent="0.25">
      <c r="A3" s="34" t="s">
        <v>312</v>
      </c>
      <c r="B3" s="34" t="s">
        <v>313</v>
      </c>
      <c r="C3" s="35" t="s">
        <v>314</v>
      </c>
      <c r="D3" s="34" t="s">
        <v>315</v>
      </c>
      <c r="E3" s="34" t="s">
        <v>316</v>
      </c>
      <c r="F3" s="34" t="s">
        <v>317</v>
      </c>
    </row>
    <row r="4" spans="1:6" ht="20.100000000000001" customHeight="1" x14ac:dyDescent="0.25">
      <c r="A4" s="27" t="s">
        <v>318</v>
      </c>
      <c r="B4" s="36" t="e">
        <f>SUM(range)</f>
        <v>#NAME?</v>
      </c>
      <c r="C4" s="37">
        <f>SUM(D7:D31)</f>
        <v>0</v>
      </c>
      <c r="D4" s="36" t="s">
        <v>319</v>
      </c>
      <c r="E4" s="36" t="s">
        <v>320</v>
      </c>
      <c r="F4" s="36" t="s">
        <v>321</v>
      </c>
    </row>
    <row r="5" spans="1:6" ht="20.100000000000001" customHeight="1" x14ac:dyDescent="0.25">
      <c r="A5" s="27" t="s">
        <v>322</v>
      </c>
      <c r="B5" s="36" t="e">
        <f>AVERAGE(range)</f>
        <v>#NAME?</v>
      </c>
      <c r="C5" s="37" t="e">
        <f>AVERAGE(D7:F7)</f>
        <v>#DIV/0!</v>
      </c>
      <c r="D5" s="36" t="s">
        <v>323</v>
      </c>
      <c r="E5" s="36" t="s">
        <v>320</v>
      </c>
      <c r="F5" s="36" t="s">
        <v>321</v>
      </c>
    </row>
    <row r="6" spans="1:6" ht="20.100000000000001" customHeight="1" x14ac:dyDescent="0.25">
      <c r="A6" s="30" t="s">
        <v>324</v>
      </c>
      <c r="B6" s="38" t="e">
        <f>ROUND(number,decimals)</f>
        <v>#NAME?</v>
      </c>
      <c r="C6" s="39">
        <f>ROUND(76.567,1)</f>
        <v>76.599999999999994</v>
      </c>
      <c r="D6" s="38" t="s">
        <v>325</v>
      </c>
      <c r="E6" s="38" t="s">
        <v>326</v>
      </c>
      <c r="F6" s="38" t="s">
        <v>321</v>
      </c>
    </row>
    <row r="7" spans="1:6" ht="20.100000000000001" customHeight="1" x14ac:dyDescent="0.25">
      <c r="A7" s="30" t="s">
        <v>327</v>
      </c>
      <c r="B7" s="38" t="e">
        <f>ROUNDUP(number,decimals)</f>
        <v>#NAME?</v>
      </c>
      <c r="C7" s="39">
        <f>ROUNDUP(76.1,0)</f>
        <v>77</v>
      </c>
      <c r="D7" s="38" t="s">
        <v>328</v>
      </c>
      <c r="E7" s="38" t="s">
        <v>326</v>
      </c>
      <c r="F7" s="38" t="s">
        <v>321</v>
      </c>
    </row>
    <row r="8" spans="1:6" ht="20.100000000000001" customHeight="1" x14ac:dyDescent="0.25">
      <c r="A8" s="31" t="s">
        <v>329</v>
      </c>
      <c r="B8" s="40" t="e">
        <f>MIN(range)</f>
        <v>#NAME?</v>
      </c>
      <c r="C8" s="41">
        <f>MIN(H7:H31)</f>
        <v>0</v>
      </c>
      <c r="D8" s="40" t="s">
        <v>330</v>
      </c>
      <c r="E8" s="40" t="s">
        <v>331</v>
      </c>
      <c r="F8" s="40" t="s">
        <v>321</v>
      </c>
    </row>
    <row r="9" spans="1:6" ht="20.100000000000001" customHeight="1" x14ac:dyDescent="0.25">
      <c r="A9" s="31" t="s">
        <v>332</v>
      </c>
      <c r="B9" s="40" t="e">
        <f>MAX(range)</f>
        <v>#NAME?</v>
      </c>
      <c r="C9" s="41">
        <f>MAX(H7:H31)</f>
        <v>0</v>
      </c>
      <c r="D9" s="40" t="s">
        <v>333</v>
      </c>
      <c r="E9" s="40" t="s">
        <v>331</v>
      </c>
      <c r="F9" s="40" t="s">
        <v>321</v>
      </c>
    </row>
    <row r="10" spans="1:6" ht="20.100000000000001" customHeight="1" x14ac:dyDescent="0.25">
      <c r="A10" s="31" t="s">
        <v>334</v>
      </c>
      <c r="B10" s="40">
        <f>COUNT(range)</f>
        <v>0</v>
      </c>
      <c r="C10" s="41">
        <f>COUNT(D7:D31)</f>
        <v>0</v>
      </c>
      <c r="D10" s="40" t="s">
        <v>335</v>
      </c>
      <c r="E10" s="40" t="s">
        <v>331</v>
      </c>
      <c r="F10" s="40" t="s">
        <v>321</v>
      </c>
    </row>
    <row r="11" spans="1:6" ht="20.100000000000001" customHeight="1" x14ac:dyDescent="0.25">
      <c r="A11" s="31" t="s">
        <v>336</v>
      </c>
      <c r="B11" s="40">
        <f>COUNTA(range)</f>
        <v>1</v>
      </c>
      <c r="C11" s="41">
        <f ca="1">COUNTA(B7:B31)</f>
        <v>16</v>
      </c>
      <c r="D11" s="40" t="s">
        <v>337</v>
      </c>
      <c r="E11" s="40" t="s">
        <v>331</v>
      </c>
      <c r="F11" s="40" t="s">
        <v>321</v>
      </c>
    </row>
    <row r="12" spans="1:6" ht="20.100000000000001" customHeight="1" x14ac:dyDescent="0.25">
      <c r="A12" s="22" t="s">
        <v>338</v>
      </c>
      <c r="B12" s="42" t="e">
        <f>IF(cond,TRUE,FALSE)</f>
        <v>#NAME?</v>
      </c>
      <c r="C12" s="43" t="str">
        <f>IF(H7&gt;=50,"PASS","FAIL")</f>
        <v>FAIL</v>
      </c>
      <c r="D12" s="42" t="s">
        <v>339</v>
      </c>
      <c r="E12" s="42" t="s">
        <v>340</v>
      </c>
      <c r="F12" s="42" t="s">
        <v>341</v>
      </c>
    </row>
    <row r="13" spans="1:6" ht="20.100000000000001" customHeight="1" x14ac:dyDescent="0.25">
      <c r="A13" s="22" t="s">
        <v>342</v>
      </c>
      <c r="B13" s="42"/>
      <c r="C13" s="43"/>
      <c r="D13" s="42" t="s">
        <v>343</v>
      </c>
      <c r="E13" s="42" t="s">
        <v>340</v>
      </c>
      <c r="F13" s="42" t="s">
        <v>344</v>
      </c>
    </row>
    <row r="14" spans="1:6" ht="20.100000000000001" customHeight="1" x14ac:dyDescent="0.25">
      <c r="A14" s="22" t="s">
        <v>345</v>
      </c>
      <c r="B14" s="42" t="e">
        <f>COUNTIF(range,"crit")</f>
        <v>#NAME?</v>
      </c>
      <c r="C14" s="43">
        <f>COUNTIF(I7:I31,"A")</f>
        <v>0</v>
      </c>
      <c r="D14" s="42" t="s">
        <v>346</v>
      </c>
      <c r="E14" s="42" t="s">
        <v>340</v>
      </c>
      <c r="F14" s="42" t="s">
        <v>341</v>
      </c>
    </row>
    <row r="15" spans="1:6" ht="20.100000000000001" customHeight="1" x14ac:dyDescent="0.25">
      <c r="A15" s="22" t="s">
        <v>347</v>
      </c>
      <c r="B15" s="42" t="e">
        <f>SUMIF(range,"crit",SUM)</f>
        <v>#NAME?</v>
      </c>
      <c r="C15" s="43">
        <f>SUMIF(C7:C31,"F",H7:H31)</f>
        <v>0</v>
      </c>
      <c r="D15" s="42" t="s">
        <v>348</v>
      </c>
      <c r="E15" s="42" t="s">
        <v>340</v>
      </c>
      <c r="F15" s="42" t="s">
        <v>341</v>
      </c>
    </row>
    <row r="16" spans="1:6" ht="20.100000000000001" customHeight="1" x14ac:dyDescent="0.25">
      <c r="A16" s="16" t="s">
        <v>24</v>
      </c>
      <c r="B16" s="44" t="e">
        <f>VLOOKUP(val,table,col,F)</f>
        <v>#NAME?</v>
      </c>
      <c r="C16" s="45" t="e">
        <f>VLOOKUP(P6,A7:N31,2,F)</f>
        <v>#NAME?</v>
      </c>
      <c r="D16" s="44" t="s">
        <v>349</v>
      </c>
      <c r="E16" s="44" t="s">
        <v>350</v>
      </c>
      <c r="F16" s="44" t="s">
        <v>344</v>
      </c>
    </row>
    <row r="17" spans="1:6" ht="20.100000000000001" customHeight="1" x14ac:dyDescent="0.25">
      <c r="A17" s="33" t="s">
        <v>351</v>
      </c>
      <c r="B17" s="46" t="e">
        <f>LEN(cell)</f>
        <v>#NAME?</v>
      </c>
      <c r="C17" s="47" t="e">
        <f>LEN(B7)</f>
        <v>#NAME?</v>
      </c>
      <c r="D17" s="46" t="s">
        <v>352</v>
      </c>
      <c r="E17" s="46" t="s">
        <v>353</v>
      </c>
      <c r="F17" s="46" t="s">
        <v>321</v>
      </c>
    </row>
    <row r="18" spans="1:6" ht="20.100000000000001" customHeight="1" x14ac:dyDescent="0.25">
      <c r="A18" s="33" t="s">
        <v>354</v>
      </c>
      <c r="B18" s="46" t="e">
        <f>UPPER(cell)</f>
        <v>#NAME?</v>
      </c>
      <c r="C18" s="47" t="e">
        <f>UPPER(B7)</f>
        <v>#NAME?</v>
      </c>
      <c r="D18" s="46" t="s">
        <v>355</v>
      </c>
      <c r="E18" s="46" t="s">
        <v>353</v>
      </c>
      <c r="F18" s="46" t="s">
        <v>321</v>
      </c>
    </row>
    <row r="19" spans="1:6" ht="20.100000000000001" customHeight="1" x14ac:dyDescent="0.25">
      <c r="A19" s="33" t="s">
        <v>356</v>
      </c>
      <c r="B19" s="46" t="e">
        <f>LOWER(cell)</f>
        <v>#NAME?</v>
      </c>
      <c r="C19" s="47" t="e">
        <f>LOWER(B7)</f>
        <v>#NAME?</v>
      </c>
      <c r="D19" s="46" t="s">
        <v>357</v>
      </c>
      <c r="E19" s="46" t="s">
        <v>353</v>
      </c>
      <c r="F19" s="46" t="s">
        <v>321</v>
      </c>
    </row>
    <row r="20" spans="1:6" ht="20.100000000000001" customHeight="1" x14ac:dyDescent="0.25">
      <c r="A20" s="33" t="s">
        <v>358</v>
      </c>
      <c r="B20" s="46" t="e">
        <f>LEFT(cell,n)</f>
        <v>#NAME?</v>
      </c>
      <c r="C20" s="47" t="e">
        <f>LEFT(B7,5)</f>
        <v>#NAME?</v>
      </c>
      <c r="D20" s="46" t="s">
        <v>359</v>
      </c>
      <c r="E20" s="46" t="s">
        <v>353</v>
      </c>
      <c r="F20" s="46" t="s">
        <v>321</v>
      </c>
    </row>
    <row r="21" spans="1:6" ht="20.100000000000001" customHeight="1" x14ac:dyDescent="0.25">
      <c r="A21" s="32" t="s">
        <v>360</v>
      </c>
      <c r="B21" s="48">
        <f ca="1">TODAY()</f>
        <v>46146</v>
      </c>
      <c r="C21" s="49">
        <f ca="1">TODAY()</f>
        <v>46146</v>
      </c>
      <c r="D21" s="48" t="s">
        <v>361</v>
      </c>
      <c r="E21" s="48" t="s">
        <v>362</v>
      </c>
      <c r="F21" s="48" t="s">
        <v>321</v>
      </c>
    </row>
    <row r="22" spans="1:6" ht="20.100000000000001" customHeight="1" x14ac:dyDescent="0.25">
      <c r="A22" s="32" t="s">
        <v>363</v>
      </c>
      <c r="B22" s="48" t="e">
        <f>YEAR(date)</f>
        <v>#NAME?</v>
      </c>
      <c r="C22" s="49">
        <f ca="1">YEAR(TODAY())</f>
        <v>2026</v>
      </c>
      <c r="D22" s="48" t="s">
        <v>364</v>
      </c>
      <c r="E22" s="48" t="s">
        <v>362</v>
      </c>
      <c r="F22" s="48" t="s">
        <v>321</v>
      </c>
    </row>
    <row r="23" spans="1:6" ht="20.100000000000001" customHeight="1" x14ac:dyDescent="0.25">
      <c r="A23" s="32" t="s">
        <v>365</v>
      </c>
      <c r="B23" s="48">
        <f ca="1">NOW()</f>
        <v>46146.662482175925</v>
      </c>
      <c r="C23" s="49">
        <f ca="1">NOW()</f>
        <v>46146.662482175925</v>
      </c>
      <c r="D23" s="48" t="s">
        <v>366</v>
      </c>
      <c r="E23" s="48" t="s">
        <v>362</v>
      </c>
      <c r="F23" s="48" t="s">
        <v>321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tabSelected="1" workbookViewId="0">
      <pane ySplit="3" topLeftCell="A17" activePane="bottomLeft" state="frozen"/>
      <selection pane="bottomLeft" activeCell="F29" sqref="F29"/>
    </sheetView>
  </sheetViews>
  <sheetFormatPr defaultRowHeight="15" x14ac:dyDescent="0.25"/>
  <cols>
    <col min="1" max="1" width="10" customWidth="1"/>
    <col min="2" max="2" width="14" customWidth="1"/>
    <col min="3" max="3" width="50" customWidth="1"/>
    <col min="4" max="4" width="12" customWidth="1"/>
    <col min="5" max="5" width="10" customWidth="1"/>
  </cols>
  <sheetData>
    <row r="1" spans="1:7" ht="27.95" customHeight="1" x14ac:dyDescent="0.25">
      <c r="A1" s="65" t="s">
        <v>367</v>
      </c>
      <c r="B1" s="55"/>
      <c r="C1" s="55"/>
      <c r="D1" s="55"/>
      <c r="E1" s="55"/>
      <c r="F1" s="55"/>
      <c r="G1" s="55"/>
    </row>
    <row r="3" spans="1:7" ht="21.95" customHeight="1" x14ac:dyDescent="0.25">
      <c r="A3" s="34" t="s">
        <v>368</v>
      </c>
      <c r="B3" s="34" t="s">
        <v>312</v>
      </c>
      <c r="C3" s="34" t="s">
        <v>369</v>
      </c>
      <c r="D3" s="34" t="s">
        <v>317</v>
      </c>
      <c r="E3" s="34" t="s">
        <v>370</v>
      </c>
    </row>
    <row r="4" spans="1:7" ht="26.1" customHeight="1" x14ac:dyDescent="0.25">
      <c r="A4" s="27" t="s">
        <v>5</v>
      </c>
      <c r="B4" s="29" t="e">
        <f>SUM</f>
        <v>#NAME?</v>
      </c>
      <c r="C4" s="29" t="s">
        <v>371</v>
      </c>
      <c r="D4" s="50" t="s">
        <v>321</v>
      </c>
      <c r="E4" s="51" t="s">
        <v>410</v>
      </c>
    </row>
    <row r="5" spans="1:7" ht="26.1" customHeight="1" x14ac:dyDescent="0.25">
      <c r="A5" s="27" t="s">
        <v>5</v>
      </c>
      <c r="B5" s="52" t="s">
        <v>372</v>
      </c>
      <c r="C5" s="52" t="s">
        <v>373</v>
      </c>
      <c r="D5" s="53" t="s">
        <v>321</v>
      </c>
      <c r="E5" s="51" t="s">
        <v>410</v>
      </c>
    </row>
    <row r="6" spans="1:7" ht="26.1" customHeight="1" x14ac:dyDescent="0.25">
      <c r="A6" s="27" t="s">
        <v>5</v>
      </c>
      <c r="B6" s="29" t="s">
        <v>374</v>
      </c>
      <c r="C6" s="29" t="s">
        <v>375</v>
      </c>
      <c r="D6" s="50" t="s">
        <v>341</v>
      </c>
      <c r="E6" s="51" t="s">
        <v>410</v>
      </c>
    </row>
    <row r="7" spans="1:7" ht="26.1" customHeight="1" x14ac:dyDescent="0.25">
      <c r="A7" s="30" t="s">
        <v>8</v>
      </c>
      <c r="B7" s="52" t="e">
        <f>AVERAGE</f>
        <v>#NAME?</v>
      </c>
      <c r="C7" s="52" t="s">
        <v>376</v>
      </c>
      <c r="D7" s="53" t="s">
        <v>321</v>
      </c>
      <c r="E7" s="51" t="s">
        <v>410</v>
      </c>
    </row>
    <row r="8" spans="1:7" ht="26.1" customHeight="1" x14ac:dyDescent="0.25">
      <c r="A8" s="30" t="s">
        <v>8</v>
      </c>
      <c r="B8" s="29" t="e">
        <f>ROUND</f>
        <v>#NAME?</v>
      </c>
      <c r="C8" s="29" t="s">
        <v>377</v>
      </c>
      <c r="D8" s="50" t="s">
        <v>321</v>
      </c>
      <c r="E8" s="51" t="s">
        <v>410</v>
      </c>
    </row>
    <row r="9" spans="1:7" ht="26.1" customHeight="1" x14ac:dyDescent="0.25">
      <c r="A9" s="30" t="s">
        <v>8</v>
      </c>
      <c r="B9" s="52" t="e">
        <f>ROUNDUP</f>
        <v>#NAME?</v>
      </c>
      <c r="C9" s="52" t="s">
        <v>378</v>
      </c>
      <c r="D9" s="53" t="s">
        <v>321</v>
      </c>
      <c r="E9" s="51" t="s">
        <v>410</v>
      </c>
    </row>
    <row r="10" spans="1:7" ht="26.1" customHeight="1" x14ac:dyDescent="0.25">
      <c r="A10" s="31" t="s">
        <v>11</v>
      </c>
      <c r="B10" s="29" t="e">
        <f>MAX</f>
        <v>#NAME?</v>
      </c>
      <c r="C10" s="29" t="s">
        <v>379</v>
      </c>
      <c r="D10" s="50" t="s">
        <v>321</v>
      </c>
      <c r="E10" s="51" t="s">
        <v>410</v>
      </c>
    </row>
    <row r="11" spans="1:7" ht="26.1" customHeight="1" x14ac:dyDescent="0.25">
      <c r="A11" s="31" t="s">
        <v>11</v>
      </c>
      <c r="B11" s="52" t="e">
        <f>MIN</f>
        <v>#NAME?</v>
      </c>
      <c r="C11" s="52" t="s">
        <v>380</v>
      </c>
      <c r="D11" s="53" t="s">
        <v>321</v>
      </c>
      <c r="E11" s="51" t="s">
        <v>410</v>
      </c>
    </row>
    <row r="12" spans="1:7" ht="26.1" customHeight="1" x14ac:dyDescent="0.25">
      <c r="A12" s="31" t="s">
        <v>11</v>
      </c>
      <c r="B12" s="29" t="e">
        <f>COUNTA</f>
        <v>#NAME?</v>
      </c>
      <c r="C12" s="29" t="s">
        <v>381</v>
      </c>
      <c r="D12" s="50" t="s">
        <v>321</v>
      </c>
      <c r="E12" s="51" t="s">
        <v>410</v>
      </c>
    </row>
    <row r="13" spans="1:7" ht="26.1" customHeight="1" x14ac:dyDescent="0.25">
      <c r="A13" s="31" t="s">
        <v>11</v>
      </c>
      <c r="B13" s="52" t="e">
        <f>COUNTIF</f>
        <v>#NAME?</v>
      </c>
      <c r="C13" s="52" t="s">
        <v>382</v>
      </c>
      <c r="D13" s="53" t="s">
        <v>341</v>
      </c>
      <c r="E13" s="51" t="s">
        <v>410</v>
      </c>
    </row>
    <row r="14" spans="1:7" ht="26.1" customHeight="1" x14ac:dyDescent="0.25">
      <c r="A14" s="22" t="s">
        <v>14</v>
      </c>
      <c r="B14" s="29" t="e">
        <f>IF basic</f>
        <v>#NAME?</v>
      </c>
      <c r="C14" s="29" t="s">
        <v>383</v>
      </c>
      <c r="D14" s="50" t="s">
        <v>341</v>
      </c>
      <c r="E14" s="51" t="s">
        <v>410</v>
      </c>
    </row>
    <row r="15" spans="1:7" ht="26.1" customHeight="1" x14ac:dyDescent="0.25">
      <c r="A15" s="22" t="s">
        <v>14</v>
      </c>
      <c r="B15" s="52" t="s">
        <v>384</v>
      </c>
      <c r="C15" s="52" t="s">
        <v>385</v>
      </c>
      <c r="D15" s="53" t="s">
        <v>344</v>
      </c>
      <c r="E15" s="51" t="s">
        <v>410</v>
      </c>
    </row>
    <row r="16" spans="1:7" ht="26.1" customHeight="1" x14ac:dyDescent="0.25">
      <c r="A16" s="22" t="s">
        <v>14</v>
      </c>
      <c r="B16" s="29" t="s">
        <v>386</v>
      </c>
      <c r="C16" s="29" t="s">
        <v>387</v>
      </c>
      <c r="D16" s="50" t="s">
        <v>341</v>
      </c>
      <c r="E16" s="51" t="s">
        <v>410</v>
      </c>
    </row>
    <row r="17" spans="1:5" ht="26.1" customHeight="1" x14ac:dyDescent="0.25">
      <c r="A17" s="32" t="s">
        <v>17</v>
      </c>
      <c r="B17" s="52" t="s">
        <v>342</v>
      </c>
      <c r="C17" s="52" t="s">
        <v>388</v>
      </c>
      <c r="D17" s="53" t="s">
        <v>344</v>
      </c>
      <c r="E17" s="51" t="s">
        <v>410</v>
      </c>
    </row>
    <row r="18" spans="1:5" ht="26.1" customHeight="1" x14ac:dyDescent="0.25">
      <c r="A18" s="32" t="s">
        <v>17</v>
      </c>
      <c r="B18" s="29" t="s">
        <v>389</v>
      </c>
      <c r="C18" s="29" t="s">
        <v>390</v>
      </c>
      <c r="D18" s="50" t="s">
        <v>341</v>
      </c>
      <c r="E18" s="51" t="s">
        <v>410</v>
      </c>
    </row>
    <row r="19" spans="1:5" ht="26.1" customHeight="1" x14ac:dyDescent="0.25">
      <c r="A19" s="33" t="s">
        <v>20</v>
      </c>
      <c r="B19" s="52" t="e">
        <f>COUNTIF</f>
        <v>#NAME?</v>
      </c>
      <c r="C19" s="52" t="s">
        <v>391</v>
      </c>
      <c r="D19" s="53" t="s">
        <v>341</v>
      </c>
      <c r="E19" s="51" t="s">
        <v>410</v>
      </c>
    </row>
    <row r="20" spans="1:5" ht="26.1" customHeight="1" x14ac:dyDescent="0.25">
      <c r="A20" s="33" t="s">
        <v>20</v>
      </c>
      <c r="B20" s="29" t="e">
        <f>SUMIF</f>
        <v>#NAME?</v>
      </c>
      <c r="C20" s="29" t="s">
        <v>392</v>
      </c>
      <c r="D20" s="50" t="s">
        <v>344</v>
      </c>
      <c r="E20" s="51" t="s">
        <v>410</v>
      </c>
    </row>
    <row r="21" spans="1:5" ht="26.1" customHeight="1" x14ac:dyDescent="0.25">
      <c r="A21" s="33" t="s">
        <v>20</v>
      </c>
      <c r="B21" s="52" t="s">
        <v>393</v>
      </c>
      <c r="C21" s="52" t="s">
        <v>394</v>
      </c>
      <c r="D21" s="53" t="s">
        <v>341</v>
      </c>
      <c r="E21" s="51" t="s">
        <v>410</v>
      </c>
    </row>
    <row r="22" spans="1:5" ht="26.1" customHeight="1" x14ac:dyDescent="0.25">
      <c r="A22" s="16" t="s">
        <v>23</v>
      </c>
      <c r="B22" s="29" t="e">
        <f>VLOOKUP</f>
        <v>#NAME?</v>
      </c>
      <c r="C22" s="29" t="s">
        <v>395</v>
      </c>
      <c r="D22" s="50" t="s">
        <v>344</v>
      </c>
      <c r="E22" s="51" t="s">
        <v>410</v>
      </c>
    </row>
    <row r="23" spans="1:5" ht="26.1" customHeight="1" x14ac:dyDescent="0.25">
      <c r="A23" s="16" t="s">
        <v>23</v>
      </c>
      <c r="B23" s="52" t="s">
        <v>396</v>
      </c>
      <c r="C23" s="52" t="s">
        <v>397</v>
      </c>
      <c r="D23" s="53" t="s">
        <v>341</v>
      </c>
      <c r="E23" s="51" t="s">
        <v>410</v>
      </c>
    </row>
    <row r="24" spans="1:5" ht="26.1" customHeight="1" x14ac:dyDescent="0.25">
      <c r="A24" s="16" t="s">
        <v>23</v>
      </c>
      <c r="B24" s="29" t="s">
        <v>398</v>
      </c>
      <c r="C24" s="29" t="s">
        <v>399</v>
      </c>
      <c r="D24" s="50" t="s">
        <v>344</v>
      </c>
      <c r="E24" s="51" t="s">
        <v>410</v>
      </c>
    </row>
    <row r="25" spans="1:5" ht="26.1" customHeight="1" x14ac:dyDescent="0.25">
      <c r="A25" s="30" t="s">
        <v>26</v>
      </c>
      <c r="B25" s="52" t="e">
        <f>LEN</f>
        <v>#NAME?</v>
      </c>
      <c r="C25" s="52" t="s">
        <v>400</v>
      </c>
      <c r="D25" s="53" t="s">
        <v>321</v>
      </c>
      <c r="E25" s="51" t="s">
        <v>410</v>
      </c>
    </row>
    <row r="26" spans="1:5" ht="26.1" customHeight="1" x14ac:dyDescent="0.25">
      <c r="A26" s="30" t="s">
        <v>26</v>
      </c>
      <c r="B26" s="29" t="e">
        <f>UPPER</f>
        <v>#NAME?</v>
      </c>
      <c r="C26" s="29" t="s">
        <v>401</v>
      </c>
      <c r="D26" s="50" t="s">
        <v>321</v>
      </c>
      <c r="E26" s="51" t="s">
        <v>410</v>
      </c>
    </row>
    <row r="27" spans="1:5" ht="26.1" customHeight="1" x14ac:dyDescent="0.25">
      <c r="A27" s="30" t="s">
        <v>26</v>
      </c>
      <c r="B27" s="52" t="e">
        <f>TODAY</f>
        <v>#NAME?</v>
      </c>
      <c r="C27" s="52" t="s">
        <v>402</v>
      </c>
      <c r="D27" s="53" t="s">
        <v>321</v>
      </c>
      <c r="E27" s="51" t="s">
        <v>410</v>
      </c>
    </row>
    <row r="28" spans="1:5" ht="26.1" customHeight="1" x14ac:dyDescent="0.25">
      <c r="A28" s="30" t="s">
        <v>26</v>
      </c>
      <c r="B28" s="29" t="s">
        <v>403</v>
      </c>
      <c r="C28" s="29" t="s">
        <v>404</v>
      </c>
      <c r="D28" s="50" t="s">
        <v>341</v>
      </c>
      <c r="E28" s="51" t="s">
        <v>410</v>
      </c>
    </row>
    <row r="29" spans="1:5" ht="26.1" customHeight="1" x14ac:dyDescent="0.25">
      <c r="A29" s="22" t="s">
        <v>405</v>
      </c>
      <c r="B29" s="52" t="s">
        <v>406</v>
      </c>
      <c r="C29" s="52" t="s">
        <v>407</v>
      </c>
      <c r="D29" s="53" t="s">
        <v>344</v>
      </c>
      <c r="E29" s="51" t="s">
        <v>410</v>
      </c>
    </row>
    <row r="31" spans="1:5" ht="26.1" customHeight="1" x14ac:dyDescent="0.25">
      <c r="A31" s="92" t="s">
        <v>408</v>
      </c>
      <c r="B31" s="55"/>
      <c r="C31" s="55"/>
      <c r="D31" s="91" t="str">
        <f>COUNTIF(E4:E29,"✓")&amp;" / 26 completed"</f>
        <v>26 / 26 completed</v>
      </c>
      <c r="E31" s="55"/>
    </row>
  </sheetData>
  <mergeCells count="3">
    <mergeCell ref="D31:E31"/>
    <mergeCell ref="A31:C3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👋 START HERE</vt:lpstr>
      <vt:lpstr>📊 SCHOOL_DATA</vt:lpstr>
      <vt:lpstr>📋 TASK_GUIDE</vt:lpstr>
      <vt:lpstr>📖 FORMULA_REFERENCE</vt:lpstr>
      <vt:lpstr>✔️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Batch5</cp:lastModifiedBy>
  <dcterms:created xsi:type="dcterms:W3CDTF">2026-04-27T07:08:13Z</dcterms:created>
  <dcterms:modified xsi:type="dcterms:W3CDTF">2026-05-04T10:24:02Z</dcterms:modified>
</cp:coreProperties>
</file>