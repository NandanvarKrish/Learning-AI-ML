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👋 START HERE" sheetId="1" state="visible" r:id="rId1"/>
    <sheet xmlns:r="http://schemas.openxmlformats.org/officeDocument/2006/relationships" name="🗃️ RAW_DATA" sheetId="2" state="visible" r:id="rId2"/>
    <sheet xmlns:r="http://schemas.openxmlformats.org/officeDocument/2006/relationships" name="🎯 CONFUSION_MATRIX" sheetId="3" state="visible" r:id="rId3"/>
    <sheet xmlns:r="http://schemas.openxmlformats.org/officeDocument/2006/relationships" name="📋 TASK_GUIDE" sheetId="4" state="visible" r:id="rId4"/>
    <sheet xmlns:r="http://schemas.openxmlformats.org/officeDocument/2006/relationships" name="📖 ML_FORMULA_REF" sheetId="5" state="visible" r:id="rId5"/>
    <sheet xmlns:r="http://schemas.openxmlformats.org/officeDocument/2006/relationships" name="✔️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212121"/>
      <sz val="9"/>
    </font>
    <font>
      <name val="Consolas"/>
      <color rgb="006A1B9A"/>
      <sz val="8"/>
    </font>
    <font>
      <name val="Calibri"/>
      <i val="1"/>
      <color rgb="00616161"/>
      <sz val="9"/>
    </font>
    <font>
      <name val="Calibri"/>
      <b val="1"/>
      <color rgb="00FFFFFF"/>
      <sz val="12"/>
    </font>
    <font>
      <name val="Calibri"/>
      <i val="1"/>
      <color rgb="001565C0"/>
      <sz val="9"/>
    </font>
    <font>
      <name val="Calibri"/>
      <i val="1"/>
      <color rgb="00FFFFFF"/>
      <sz val="8"/>
    </font>
    <font>
      <name val="Calibri"/>
      <color rgb="00212121"/>
      <sz val="9"/>
    </font>
    <font>
      <name val="Calibri"/>
      <b val="1"/>
      <color rgb="00B71C1C"/>
      <sz val="9"/>
    </font>
    <font>
      <name val="Calibri"/>
      <i val="1"/>
      <color rgb="00E65100"/>
      <sz val="8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FFFFFF"/>
      <sz val="8"/>
    </font>
    <font>
      <name val="Calibri"/>
      <b val="1"/>
      <color rgb="00FFFFFF"/>
      <sz val="13"/>
    </font>
    <font>
      <name val="Calibri"/>
      <b val="1"/>
      <color rgb="001B5E20"/>
      <sz val="10"/>
    </font>
    <font>
      <name val="Calibri"/>
      <i val="1"/>
      <color rgb="00E65100"/>
      <sz val="9"/>
    </font>
    <font>
      <name val="Calibri"/>
      <color rgb="00212121"/>
      <sz val="11"/>
    </font>
    <font>
      <name val="Calibri"/>
      <b val="1"/>
      <color rgb="00B71C1C"/>
      <sz val="10"/>
    </font>
    <font>
      <name val="Calibri"/>
      <b val="1"/>
      <color rgb="00212121"/>
      <sz val="10"/>
    </font>
    <font>
      <name val="Calibri"/>
      <i val="1"/>
      <color rgb="00616161"/>
      <sz val="8"/>
    </font>
    <font>
      <name val="Calibri"/>
      <b val="1"/>
      <color rgb="00FFFFFF"/>
      <sz val="14"/>
    </font>
    <font>
      <name val="Calibri"/>
      <i val="1"/>
      <color rgb="006A1B9A"/>
      <sz val="9"/>
    </font>
    <font>
      <name val="Consolas"/>
      <b val="1"/>
      <color rgb="006A1B9A"/>
      <sz val="8"/>
    </font>
    <font>
      <name val="Calibri"/>
      <b val="1"/>
      <color rgb="001B5E20"/>
      <sz val="8"/>
    </font>
    <font>
      <name val="Calibri"/>
      <i val="1"/>
      <color rgb="005D4037"/>
      <sz val="9"/>
    </font>
    <font>
      <name val="Calibri"/>
      <b val="1"/>
      <color rgb="001565C0"/>
      <sz val="8"/>
    </font>
    <font>
      <name val="Calibri"/>
      <color rgb="00212121"/>
      <sz val="8"/>
    </font>
    <font>
      <name val="Consolas"/>
      <color rgb="006A1B9A"/>
      <sz val="7.5"/>
    </font>
    <font>
      <name val="Consolas"/>
      <color rgb="0000695C"/>
      <sz val="7.5"/>
    </font>
    <font>
      <name val="Calibri"/>
      <b val="1"/>
      <color rgb="00E65100"/>
      <sz val="8"/>
    </font>
    <font>
      <name val="Calibri"/>
      <b val="1"/>
      <color rgb="00B71C1C"/>
      <sz val="8"/>
    </font>
    <font>
      <name val="Calibri"/>
      <b val="1"/>
      <color rgb="006A1B9A"/>
      <sz val="8"/>
    </font>
    <font>
      <name val="Calibri"/>
      <b val="1"/>
      <color rgb="005D4037"/>
      <sz val="8"/>
    </font>
    <font>
      <name val="Calibri"/>
      <b val="1"/>
      <color rgb="00616161"/>
      <sz val="8"/>
    </font>
    <font>
      <name val="Calibri"/>
      <b val="1"/>
      <color rgb="0000695C"/>
      <sz val="8"/>
    </font>
    <font>
      <name val="Calibri"/>
      <b val="1"/>
      <color rgb="001565C0"/>
      <sz val="9"/>
    </font>
    <font>
      <name val="Calibri"/>
      <color rgb="00E65100"/>
      <sz val="11"/>
    </font>
    <font>
      <name val="Calibri"/>
      <b val="1"/>
      <color rgb="001B5E20"/>
      <sz val="13"/>
    </font>
    <font>
      <name val="Calibri"/>
      <b val="1"/>
      <color rgb="00006064"/>
      <sz val="9"/>
    </font>
    <font>
      <name val="Calibri"/>
      <b val="1"/>
      <color rgb="006A1B9A"/>
      <sz val="9"/>
    </font>
    <font>
      <name val="Calibri"/>
      <b val="1"/>
      <color rgb="0000695C"/>
      <sz val="9"/>
    </font>
    <font>
      <name val="Calibri"/>
      <b val="1"/>
      <color rgb="000D1B2A"/>
      <sz val="9"/>
    </font>
    <font>
      <name val="Calibri"/>
      <b val="1"/>
      <color rgb="001B5E20"/>
      <sz val="11"/>
    </font>
  </fonts>
  <fills count="2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65C0"/>
      </patternFill>
    </fill>
    <fill>
      <patternFill patternType="solid">
        <fgColor rgb="00006064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00695C"/>
      </patternFill>
    </fill>
    <fill>
      <patternFill patternType="solid">
        <fgColor rgb="00E3F2FD"/>
      </patternFill>
    </fill>
    <fill>
      <patternFill patternType="solid">
        <fgColor rgb="001A5276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2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left" vertical="center"/>
    </xf>
    <xf numFmtId="0" fontId="27" fillId="2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14" fillId="14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left" vertical="center"/>
    </xf>
    <xf numFmtId="0" fontId="30" fillId="17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wrapText="1"/>
    </xf>
    <xf numFmtId="0" fontId="31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14" fillId="19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4" fillId="16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14" fillId="20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center" vertical="center"/>
    </xf>
    <xf numFmtId="0" fontId="32" fillId="14" borderId="1" applyAlignment="1" pivotButton="0" quotePrefix="0" xfId="0">
      <alignment horizontal="center" vertical="center"/>
    </xf>
    <xf numFmtId="0" fontId="34" fillId="14" borderId="1" applyAlignment="1" pivotButton="0" quotePrefix="0" xfId="0">
      <alignment horizontal="left" vertical="center"/>
    </xf>
    <xf numFmtId="0" fontId="35" fillId="14" borderId="1" applyAlignment="1" pivotButton="0" quotePrefix="0" xfId="0">
      <alignment horizontal="left" vertical="center"/>
    </xf>
    <xf numFmtId="0" fontId="33" fillId="14" borderId="1" applyAlignment="1" pivotButton="0" quotePrefix="0" xfId="0">
      <alignment horizontal="left" vertical="center"/>
    </xf>
    <xf numFmtId="0" fontId="33" fillId="14" borderId="1" applyAlignment="1" pivotButton="0" quotePrefix="0" xfId="0">
      <alignment horizontal="center" vertical="center"/>
    </xf>
    <xf numFmtId="0" fontId="34" fillId="17" borderId="1" applyAlignment="1" pivotButton="0" quotePrefix="0" xfId="0">
      <alignment horizontal="left" vertical="center"/>
    </xf>
    <xf numFmtId="0" fontId="35" fillId="17" borderId="1" applyAlignment="1" pivotButton="0" quotePrefix="0" xfId="0">
      <alignment horizontal="left" vertical="center"/>
    </xf>
    <xf numFmtId="0" fontId="33" fillId="17" borderId="1" applyAlignment="1" pivotButton="0" quotePrefix="0" xfId="0">
      <alignment horizontal="left" vertical="center"/>
    </xf>
    <xf numFmtId="0" fontId="33" fillId="17" borderId="1" applyAlignment="1" pivotButton="0" quotePrefix="0" xfId="0">
      <alignment horizontal="center" vertical="center"/>
    </xf>
    <xf numFmtId="0" fontId="36" fillId="18" borderId="1" applyAlignment="1" pivotButton="0" quotePrefix="0" xfId="0">
      <alignment horizontal="center" vertical="center"/>
    </xf>
    <xf numFmtId="0" fontId="34" fillId="18" borderId="1" applyAlignment="1" pivotButton="0" quotePrefix="0" xfId="0">
      <alignment horizontal="left" vertical="center"/>
    </xf>
    <xf numFmtId="0" fontId="35" fillId="18" borderId="1" applyAlignment="1" pivotButton="0" quotePrefix="0" xfId="0">
      <alignment horizontal="left" vertical="center"/>
    </xf>
    <xf numFmtId="0" fontId="33" fillId="18" borderId="1" applyAlignment="1" pivotButton="0" quotePrefix="0" xfId="0">
      <alignment horizontal="left" vertical="center"/>
    </xf>
    <xf numFmtId="0" fontId="33" fillId="18" borderId="1" applyAlignment="1" pivotButton="0" quotePrefix="0" xfId="0">
      <alignment horizontal="center" vertical="center"/>
    </xf>
    <xf numFmtId="0" fontId="37" fillId="16" borderId="1" applyAlignment="1" pivotButton="0" quotePrefix="0" xfId="0">
      <alignment horizontal="center" vertical="center"/>
    </xf>
    <xf numFmtId="0" fontId="34" fillId="16" borderId="1" applyAlignment="1" pivotButton="0" quotePrefix="0" xfId="0">
      <alignment horizontal="left" vertical="center"/>
    </xf>
    <xf numFmtId="0" fontId="35" fillId="16" borderId="1" applyAlignment="1" pivotButton="0" quotePrefix="0" xfId="0">
      <alignment horizontal="left" vertical="center"/>
    </xf>
    <xf numFmtId="0" fontId="33" fillId="16" borderId="1" applyAlignment="1" pivotButton="0" quotePrefix="0" xfId="0">
      <alignment horizontal="left" vertical="center"/>
    </xf>
    <xf numFmtId="0" fontId="33" fillId="16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34" fillId="6" borderId="1" applyAlignment="1" pivotButton="0" quotePrefix="0" xfId="0">
      <alignment horizontal="left" vertical="center"/>
    </xf>
    <xf numFmtId="0" fontId="35" fillId="6" borderId="1" applyAlignment="1" pivotButton="0" quotePrefix="0" xfId="0">
      <alignment horizontal="left" vertical="center"/>
    </xf>
    <xf numFmtId="0" fontId="33" fillId="6" borderId="1" applyAlignment="1" pivotButton="0" quotePrefix="0" xfId="0">
      <alignment horizontal="left" vertical="center"/>
    </xf>
    <xf numFmtId="0" fontId="33" fillId="6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4" fillId="8" borderId="1" applyAlignment="1" pivotButton="0" quotePrefix="0" xfId="0">
      <alignment horizontal="left" vertical="center"/>
    </xf>
    <xf numFmtId="0" fontId="35" fillId="8" borderId="1" applyAlignment="1" pivotButton="0" quotePrefix="0" xfId="0">
      <alignment horizontal="left" vertical="center"/>
    </xf>
    <xf numFmtId="0" fontId="33" fillId="8" borderId="1" applyAlignment="1" pivotButton="0" quotePrefix="0" xfId="0">
      <alignment horizontal="left" vertical="center"/>
    </xf>
    <xf numFmtId="0" fontId="33" fillId="8" borderId="1" applyAlignment="1" pivotButton="0" quotePrefix="0" xfId="0">
      <alignment horizontal="center" vertical="center"/>
    </xf>
    <xf numFmtId="0" fontId="40" fillId="7" borderId="1" applyAlignment="1" pivotButton="0" quotePrefix="0" xfId="0">
      <alignment horizontal="center" vertical="center"/>
    </xf>
    <xf numFmtId="0" fontId="34" fillId="7" borderId="1" applyAlignment="1" pivotButton="0" quotePrefix="0" xfId="0">
      <alignment horizontal="left" vertical="center"/>
    </xf>
    <xf numFmtId="0" fontId="35" fillId="7" borderId="1" applyAlignment="1" pivotButton="0" quotePrefix="0" xfId="0">
      <alignment horizontal="left" vertical="center"/>
    </xf>
    <xf numFmtId="0" fontId="33" fillId="7" borderId="1" applyAlignment="1" pivotButton="0" quotePrefix="0" xfId="0">
      <alignment horizontal="left" vertical="center"/>
    </xf>
    <xf numFmtId="0" fontId="33" fillId="7" borderId="1" applyAlignment="1" pivotButton="0" quotePrefix="0" xfId="0">
      <alignment horizontal="center" vertical="center"/>
    </xf>
    <xf numFmtId="0" fontId="41" fillId="19" borderId="1" applyAlignment="1" pivotButton="0" quotePrefix="0" xfId="0">
      <alignment horizontal="center" vertical="center"/>
    </xf>
    <xf numFmtId="0" fontId="34" fillId="19" borderId="1" applyAlignment="1" pivotButton="0" quotePrefix="0" xfId="0">
      <alignment horizontal="left" vertical="center"/>
    </xf>
    <xf numFmtId="0" fontId="35" fillId="19" borderId="1" applyAlignment="1" pivotButton="0" quotePrefix="0" xfId="0">
      <alignment horizontal="left" vertical="center"/>
    </xf>
    <xf numFmtId="0" fontId="33" fillId="19" borderId="1" applyAlignment="1" pivotButton="0" quotePrefix="0" xfId="0">
      <alignment horizontal="left" vertical="center"/>
    </xf>
    <xf numFmtId="0" fontId="33" fillId="19" borderId="1" applyAlignment="1" pivotButton="0" quotePrefix="0" xfId="0">
      <alignment horizontal="center" vertical="center"/>
    </xf>
    <xf numFmtId="0" fontId="42" fillId="14" borderId="1" applyAlignment="1" pivotButton="0" quotePrefix="0" xfId="0">
      <alignment horizontal="left" vertical="center"/>
    </xf>
    <xf numFmtId="0" fontId="43" fillId="7" borderId="1" applyAlignment="1" pivotButton="0" quotePrefix="0" xfId="0">
      <alignment horizontal="center" vertical="center"/>
    </xf>
    <xf numFmtId="0" fontId="44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43" fillId="9" borderId="1" applyAlignment="1" pivotButton="0" quotePrefix="0" xfId="0">
      <alignment horizontal="center" vertical="center"/>
    </xf>
    <xf numFmtId="0" fontId="45" fillId="19" borderId="1" applyAlignment="1" pivotButton="0" quotePrefix="0" xfId="0">
      <alignment horizontal="left" vertical="center"/>
    </xf>
    <xf numFmtId="0" fontId="17" fillId="17" borderId="1" applyAlignment="1" pivotButton="0" quotePrefix="0" xfId="0">
      <alignment horizontal="left" vertical="center"/>
    </xf>
    <xf numFmtId="0" fontId="46" fillId="6" borderId="1" applyAlignment="1" pivotButton="0" quotePrefix="0" xfId="0">
      <alignment horizontal="left" vertical="center"/>
    </xf>
    <xf numFmtId="0" fontId="15" fillId="16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/>
    </xf>
    <xf numFmtId="0" fontId="47" fillId="20" borderId="1" applyAlignment="1" pivotButton="0" quotePrefix="0" xfId="0">
      <alignment horizontal="left" vertical="center"/>
    </xf>
    <xf numFmtId="0" fontId="48" fillId="1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right" vertical="center"/>
    </xf>
    <xf numFmtId="0" fontId="49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zoomScale="10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54" customWidth="1" min="4" max="4"/>
  </cols>
  <sheetData>
    <row r="1" ht="38" customHeight="1">
      <c r="A1" s="1" t="inlineStr">
        <is>
          <t>🤖  Excel Formula Bar — AI &amp; ML Student Task</t>
        </is>
      </c>
    </row>
    <row r="2" ht="20" customHeight="1">
      <c r="A2" s="2" t="inlineStr">
        <is>
          <t>Feature Engineering  •  Normalisation  •  Statistics  •  Correlation  •  Confusion Matrix</t>
        </is>
      </c>
    </row>
    <row r="3" ht="18" customHeight="1">
      <c r="A3" s="3" t="inlineStr">
        <is>
          <t>No internet needed  |  All data is inside this file  |  40 real student records</t>
        </is>
      </c>
    </row>
    <row r="4" ht="8" customHeight="1"/>
    <row r="5" ht="22" customHeight="1">
      <c r="A5" s="4" t="inlineStr">
        <is>
          <t>🎯  YOUR SCENARIO</t>
        </is>
      </c>
    </row>
    <row r="6" ht="26" customHeight="1">
      <c r="A6" s="5" t="inlineStr">
        <is>
          <t>You are a junior data scientist at an EdTech startup. Your manager has given you a raw dataset of 40 students with study habits and exam results. Before building any ML model, you must use Excel's formula bar to: clean the data, engineer new features, calculate statistics, normalise values, measure correlation, and build a confusion matrix. This mirrors real-world ML data prep!</t>
        </is>
      </c>
    </row>
    <row r="7" ht="8" customHeight="1"/>
    <row r="8" ht="22" customHeight="1">
      <c r="A8" s="6" t="inlineStr">
        <is>
          <t>🔬  YOUR 10 ML FORMULA CHALLENGES</t>
        </is>
      </c>
    </row>
    <row r="9" ht="18" customHeight="1">
      <c r="A9" s="7" t="inlineStr">
        <is>
          <t>#</t>
        </is>
      </c>
      <c r="B9" s="7" t="inlineStr">
        <is>
          <t>Task Title</t>
        </is>
      </c>
      <c r="C9" s="7" t="inlineStr">
        <is>
          <t>Key Formulas</t>
        </is>
      </c>
      <c r="D9" s="7" t="inlineStr">
        <is>
          <t>What You Build / Learn</t>
        </is>
      </c>
    </row>
    <row r="10" ht="22" customHeight="1">
      <c r="A10" s="8" t="n">
        <v>1</v>
      </c>
      <c r="B10" s="9" t="inlineStr">
        <is>
          <t>Data Quality Check</t>
        </is>
      </c>
      <c r="C10" s="10" t="inlineStr">
        <is>
          <t>COUNTBLANK · ISNUMBER · IFERROR · IF</t>
        </is>
      </c>
      <c r="D10" s="11" t="inlineStr">
        <is>
          <t>Find missing values &amp; wrong data types — mirrors df.isnull().sum() in pandas</t>
        </is>
      </c>
    </row>
    <row r="11" ht="22" customHeight="1">
      <c r="A11" s="12" t="n">
        <v>2</v>
      </c>
      <c r="B11" s="9" t="inlineStr">
        <is>
          <t>Feature Engineering</t>
        </is>
      </c>
      <c r="C11" s="10" t="inlineStr">
        <is>
          <t>IF · AND · OR · arithmetic expressions</t>
        </is>
      </c>
      <c r="D11" s="11" t="inlineStr">
        <is>
          <t>Create FamilySize, IsAlone, AgeGroup, EffortScore — new ML-ready features</t>
        </is>
      </c>
    </row>
    <row r="12" ht="22" customHeight="1">
      <c r="A12" s="13" t="n">
        <v>3</v>
      </c>
      <c r="B12" s="9" t="inlineStr">
        <is>
          <t>Z-Score Normalisation</t>
        </is>
      </c>
      <c r="C12" s="10">
        <f>(X−AVERAGE($))/STDEV.S($)</f>
        <v/>
      </c>
      <c r="D12" s="11" t="inlineStr">
        <is>
          <t>Standardise StudyHours to mean=0, std=1 — required for SVM / KNN / Neural Nets</t>
        </is>
      </c>
    </row>
    <row r="13" ht="22" customHeight="1">
      <c r="A13" s="14" t="n">
        <v>4</v>
      </c>
      <c r="B13" s="9" t="inlineStr">
        <is>
          <t>Min-Max Normalisation</t>
        </is>
      </c>
      <c r="C13" s="10">
        <f>(X−MIN($))/(MAX($)−MIN($))</f>
        <v/>
      </c>
      <c r="D13" s="11" t="inlineStr">
        <is>
          <t>Scale FinalExam to [0,1] range — required for Neural Networks</t>
        </is>
      </c>
    </row>
    <row r="14" ht="22" customHeight="1">
      <c r="A14" s="15" t="n">
        <v>5</v>
      </c>
      <c r="B14" s="9" t="inlineStr">
        <is>
          <t>Descriptive Statistics</t>
        </is>
      </c>
      <c r="C14" s="10" t="inlineStr">
        <is>
          <t>STDEV.S · VAR.S · SKEW · KURT · PERCENTILE.INC</t>
        </is>
      </c>
      <c r="D14" s="11" t="inlineStr">
        <is>
          <t>Full statistical profile for 4 features — mirrors df.describe() in pandas</t>
        </is>
      </c>
    </row>
    <row r="15" ht="22" customHeight="1">
      <c r="A15" s="16" t="n">
        <v>6</v>
      </c>
      <c r="B15" s="9" t="inlineStr">
        <is>
          <t>Pearson Correlation</t>
        </is>
      </c>
      <c r="C15" s="10">
        <f>CORREL(range1, range2)</f>
        <v/>
      </c>
      <c r="D15" s="11" t="inlineStr">
        <is>
          <t>Build 5×5 correlation matrix — mirrors df.corr() in pandas</t>
        </is>
      </c>
    </row>
    <row r="16" ht="22" customHeight="1">
      <c r="A16" s="15" t="n">
        <v>7</v>
      </c>
      <c r="B16" s="9" t="inlineStr">
        <is>
          <t>Class Distribution</t>
        </is>
      </c>
      <c r="C16" s="10" t="inlineStr">
        <is>
          <t>COUNTIF · COUNTIFS</t>
        </is>
      </c>
      <c r="D16" s="11" t="inlineStr">
        <is>
          <t>Measure class imbalance — critical before model training</t>
        </is>
      </c>
    </row>
    <row r="17" ht="22" customHeight="1">
      <c r="A17" s="17" t="n">
        <v>8</v>
      </c>
      <c r="B17" s="9" t="inlineStr">
        <is>
          <t>Outlier Detection (IQR)</t>
        </is>
      </c>
      <c r="C17" s="10" t="inlineStr">
        <is>
          <t>QUARTILE.INC · IQR · OR · IF outlier flag</t>
        </is>
      </c>
      <c r="D17" s="11" t="inlineStr">
        <is>
          <t>Identify outliers using IQR method — same logic as box plots</t>
        </is>
      </c>
    </row>
    <row r="18" ht="22" customHeight="1">
      <c r="A18" s="18" t="n">
        <v>9</v>
      </c>
      <c r="B18" s="9" t="inlineStr">
        <is>
          <t>Confusion Matrix Metrics</t>
        </is>
      </c>
      <c r="C18" s="10" t="inlineStr">
        <is>
          <t>IF · AND · SUM · Accuracy · Precision · Recall · F1</t>
        </is>
      </c>
      <c r="D18" s="11" t="inlineStr">
        <is>
          <t>Build TP/FP/TN/FN table and calculate 5 core ML evaluation metrics</t>
        </is>
      </c>
    </row>
    <row r="19" ht="22" customHeight="1">
      <c r="A19" s="14" t="n">
        <v>10</v>
      </c>
      <c r="B19" s="9" t="inlineStr">
        <is>
          <t>RANK &amp; Quartile Binning</t>
        </is>
      </c>
      <c r="C19" s="10" t="inlineStr">
        <is>
          <t>RANK.EQ · PERCENTILE.INC · IF nested bins</t>
        </is>
      </c>
      <c r="D19" s="11" t="inlineStr">
        <is>
          <t>Rank all observations, create Q1/Q2/Q3/Q4 feature bins</t>
        </is>
      </c>
    </row>
    <row r="20" ht="10" customHeight="1"/>
    <row r="21" ht="28" customHeight="1">
      <c r="A21" s="19" t="inlineStr">
        <is>
          <t>➡️   Open  🗃️ RAW_DATA  sheet  and  📋 TASK_GUIDE  sheet side by side to begin!</t>
        </is>
      </c>
    </row>
  </sheetData>
  <mergeCells count="7">
    <mergeCell ref="A1:J1"/>
    <mergeCell ref="A5:J5"/>
    <mergeCell ref="A8:J8"/>
    <mergeCell ref="A6:J6"/>
    <mergeCell ref="A3:J3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9"/>
  <sheetViews>
    <sheetView showGridLines="1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0" customWidth="1" min="4" max="4"/>
    <col width="10" customWidth="1" min="5" max="5"/>
    <col width="10" customWidth="1" min="6" max="6"/>
    <col width="11" customWidth="1" min="7" max="7"/>
    <col width="9" customWidth="1" min="8" max="8"/>
    <col width="9" customWidth="1" min="9" max="9"/>
    <col width="9" customWidth="1" min="10" max="10"/>
    <col width="11" customWidth="1" min="11" max="11"/>
    <col width="9" customWidth="1" min="12" max="12"/>
    <col width="12" customWidth="1" min="13" max="13"/>
    <col width="10" customWidth="1" min="14" max="14"/>
    <col width="12" customWidth="1" min="15" max="15"/>
    <col width="13" customWidth="1" min="16" max="16"/>
    <col width="12" customWidth="1" min="17" max="17"/>
    <col width="12" customWidth="1" min="18" max="18"/>
    <col width="10" customWidth="1" min="19" max="19"/>
    <col width="12" customWidth="1" min="20" max="20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 ht="26" customHeight="1">
      <c r="A1" s="20" t="inlineStr">
        <is>
          <t>🗃️  Student Performance Dataset — 40 Observations | 12 Raw Features + 8 Engineered Features</t>
        </is>
      </c>
    </row>
    <row r="2" ht="18" customHeight="1">
      <c r="A2" s="21" t="inlineStr">
        <is>
          <t>🟡 Yellow cells = your formula goes here     ✦ Raw features (cols A–L) are given     ✦ Engineered features (cols M–T) = you build them</t>
        </is>
      </c>
    </row>
    <row r="3" ht="6" customHeight="1"/>
    <row r="4" ht="22" customHeight="1">
      <c r="A4" s="7" t="inlineStr">
        <is>
          <t>ID</t>
        </is>
      </c>
      <c r="B4" s="7" t="inlineStr">
        <is>
          <t>Age</t>
        </is>
      </c>
      <c r="C4" s="7" t="inlineStr">
        <is>
          <t>Gender</t>
        </is>
      </c>
      <c r="D4" s="7" t="inlineStr">
        <is>
          <t>StudyHrs</t>
        </is>
      </c>
      <c r="E4" s="7" t="inlineStr">
        <is>
          <t>SibCount</t>
        </is>
      </c>
      <c r="F4" s="7" t="inlineStr">
        <is>
          <t>ParchCount</t>
        </is>
      </c>
      <c r="G4" s="7" t="inlineStr">
        <is>
          <t>AttendPct</t>
        </is>
      </c>
      <c r="H4" s="7" t="inlineStr">
        <is>
          <t>Quiz1</t>
        </is>
      </c>
      <c r="I4" s="7" t="inlineStr">
        <is>
          <t>Quiz2</t>
        </is>
      </c>
      <c r="J4" s="7" t="inlineStr">
        <is>
          <t>Quiz3</t>
        </is>
      </c>
      <c r="K4" s="7" t="inlineStr">
        <is>
          <t>FinalExam</t>
        </is>
      </c>
      <c r="L4" s="7" t="inlineStr">
        <is>
          <t>Passed</t>
        </is>
      </c>
      <c r="M4" s="22" t="inlineStr">
        <is>
          <t>FamilySize</t>
        </is>
      </c>
      <c r="N4" s="22" t="inlineStr">
        <is>
          <t>IsAlone</t>
        </is>
      </c>
      <c r="O4" s="22" t="inlineStr">
        <is>
          <t>AgeGroup</t>
        </is>
      </c>
      <c r="P4" s="22" t="inlineStr">
        <is>
          <t>EffortScore</t>
        </is>
      </c>
      <c r="Q4" s="22" t="inlineStr">
        <is>
          <t>StudyHrs_Z</t>
        </is>
      </c>
      <c r="R4" s="22" t="inlineStr">
        <is>
          <t>Exam_MinMax</t>
        </is>
      </c>
      <c r="S4" s="22" t="inlineStr">
        <is>
          <t>QuizAvg</t>
        </is>
      </c>
      <c r="T4" s="22" t="inlineStr">
        <is>
          <t>StudyBin</t>
        </is>
      </c>
    </row>
    <row r="5" ht="16" customHeight="1">
      <c r="A5" s="23" t="inlineStr">
        <is>
          <t>Student ID</t>
        </is>
      </c>
      <c r="B5" s="23" t="inlineStr">
        <is>
          <t>15–19</t>
        </is>
      </c>
      <c r="C5" s="23" t="inlineStr">
        <is>
          <t>M / F</t>
        </is>
      </c>
      <c r="D5" s="23" t="inlineStr">
        <is>
          <t>hrs / wk</t>
        </is>
      </c>
      <c r="E5" s="23" t="inlineStr">
        <is>
          <t># siblings</t>
        </is>
      </c>
      <c r="F5" s="23" t="inlineStr">
        <is>
          <t># parents</t>
        </is>
      </c>
      <c r="G5" s="23" t="inlineStr">
        <is>
          <t>0–100 %</t>
        </is>
      </c>
      <c r="H5" s="23" t="inlineStr">
        <is>
          <t>0–100</t>
        </is>
      </c>
      <c r="I5" s="23" t="inlineStr">
        <is>
          <t>0–100</t>
        </is>
      </c>
      <c r="J5" s="23" t="inlineStr">
        <is>
          <t>0–100</t>
        </is>
      </c>
      <c r="K5" s="23" t="inlineStr">
        <is>
          <t>0–100</t>
        </is>
      </c>
      <c r="L5" s="23" t="inlineStr">
        <is>
          <t>1=Yes 0=No</t>
        </is>
      </c>
      <c r="M5" s="24" t="inlineStr">
        <is>
          <t>Task 2</t>
        </is>
      </c>
      <c r="N5" s="24" t="inlineStr">
        <is>
          <t>Task 2</t>
        </is>
      </c>
      <c r="O5" s="24" t="inlineStr">
        <is>
          <t>Task 2</t>
        </is>
      </c>
      <c r="P5" s="24" t="inlineStr">
        <is>
          <t>Task 2</t>
        </is>
      </c>
      <c r="Q5" s="24" t="inlineStr">
        <is>
          <t>Task 3</t>
        </is>
      </c>
      <c r="R5" s="24" t="inlineStr">
        <is>
          <t>Task 4</t>
        </is>
      </c>
      <c r="S5" s="24" t="inlineStr">
        <is>
          <t>Task 5</t>
        </is>
      </c>
      <c r="T5" s="24" t="inlineStr">
        <is>
          <t>Task 10</t>
        </is>
      </c>
    </row>
    <row r="6" ht="17" customHeight="1">
      <c r="A6" s="25" t="inlineStr">
        <is>
          <t>ML001</t>
        </is>
      </c>
      <c r="B6" s="25" t="n">
        <v>15</v>
      </c>
      <c r="C6" s="25" t="inlineStr">
        <is>
          <t>M</t>
        </is>
      </c>
      <c r="D6" s="25" t="n">
        <v>11.1</v>
      </c>
      <c r="E6" s="25" t="n">
        <v>0</v>
      </c>
      <c r="F6" s="25" t="n">
        <v>2</v>
      </c>
      <c r="G6" s="25" t="n">
        <v>64</v>
      </c>
      <c r="H6" s="25" t="n">
        <v>20</v>
      </c>
      <c r="I6" s="25" t="n">
        <v>20</v>
      </c>
      <c r="J6" s="25" t="n">
        <v>25</v>
      </c>
      <c r="K6" s="26" t="n">
        <v>20</v>
      </c>
      <c r="L6" s="27" t="n">
        <v>0</v>
      </c>
      <c r="M6" s="28" t="inlineStr">
        <is>
          <t>← formula</t>
        </is>
      </c>
      <c r="N6" s="28" t="inlineStr">
        <is>
          <t>← formula</t>
        </is>
      </c>
      <c r="O6" s="28" t="inlineStr">
        <is>
          <t>← formula</t>
        </is>
      </c>
      <c r="P6" s="28" t="inlineStr">
        <is>
          <t>← formula</t>
        </is>
      </c>
      <c r="Q6" s="28" t="inlineStr">
        <is>
          <t>← formula</t>
        </is>
      </c>
      <c r="R6" s="28" t="inlineStr">
        <is>
          <t>← formula</t>
        </is>
      </c>
      <c r="S6" s="28" t="inlineStr">
        <is>
          <t>← formula</t>
        </is>
      </c>
      <c r="T6" s="28" t="inlineStr">
        <is>
          <t>← formula</t>
        </is>
      </c>
    </row>
    <row r="7" ht="17" customHeight="1">
      <c r="A7" s="29" t="inlineStr">
        <is>
          <t>ML002</t>
        </is>
      </c>
      <c r="B7" s="29" t="n">
        <v>15</v>
      </c>
      <c r="C7" s="29" t="inlineStr">
        <is>
          <t>F</t>
        </is>
      </c>
      <c r="D7" s="29" t="n">
        <v>9.699999999999999</v>
      </c>
      <c r="E7" s="29" t="n">
        <v>0</v>
      </c>
      <c r="F7" s="29" t="n">
        <v>0</v>
      </c>
      <c r="G7" s="29" t="n">
        <v>88</v>
      </c>
      <c r="H7" s="29" t="n">
        <v>20</v>
      </c>
      <c r="I7" s="29" t="n">
        <v>25</v>
      </c>
      <c r="J7" s="29" t="n">
        <v>20</v>
      </c>
      <c r="K7" s="26" t="n">
        <v>24</v>
      </c>
      <c r="L7" s="27" t="n">
        <v>0</v>
      </c>
      <c r="M7" s="28" t="inlineStr">
        <is>
          <t>← formula</t>
        </is>
      </c>
      <c r="N7" s="28" t="inlineStr">
        <is>
          <t>← formula</t>
        </is>
      </c>
      <c r="O7" s="28" t="inlineStr">
        <is>
          <t>← formula</t>
        </is>
      </c>
      <c r="P7" s="28" t="inlineStr">
        <is>
          <t>← formula</t>
        </is>
      </c>
      <c r="Q7" s="28" t="inlineStr">
        <is>
          <t>← formula</t>
        </is>
      </c>
      <c r="R7" s="28" t="inlineStr">
        <is>
          <t>← formula</t>
        </is>
      </c>
      <c r="S7" s="28" t="inlineStr">
        <is>
          <t>← formula</t>
        </is>
      </c>
      <c r="T7" s="28" t="inlineStr">
        <is>
          <t>← formula</t>
        </is>
      </c>
    </row>
    <row r="8" ht="17" customHeight="1">
      <c r="A8" s="25" t="inlineStr">
        <is>
          <t>ML003</t>
        </is>
      </c>
      <c r="B8" s="25" t="n">
        <v>19</v>
      </c>
      <c r="C8" s="25" t="inlineStr">
        <is>
          <t>M</t>
        </is>
      </c>
      <c r="D8" s="25" t="n">
        <v>27</v>
      </c>
      <c r="E8" s="25" t="n">
        <v>2</v>
      </c>
      <c r="F8" s="25" t="n">
        <v>0</v>
      </c>
      <c r="G8" s="25" t="n">
        <v>60</v>
      </c>
      <c r="H8" s="25" t="n">
        <v>74</v>
      </c>
      <c r="I8" s="25" t="n">
        <v>71</v>
      </c>
      <c r="J8" s="25" t="n">
        <v>69</v>
      </c>
      <c r="K8" s="30" t="n">
        <v>63</v>
      </c>
      <c r="L8" s="31" t="n">
        <v>1</v>
      </c>
      <c r="M8" s="28" t="inlineStr">
        <is>
          <t>← formula</t>
        </is>
      </c>
      <c r="N8" s="28" t="inlineStr">
        <is>
          <t>← formula</t>
        </is>
      </c>
      <c r="O8" s="28" t="inlineStr">
        <is>
          <t>← formula</t>
        </is>
      </c>
      <c r="P8" s="28" t="inlineStr">
        <is>
          <t>← formula</t>
        </is>
      </c>
      <c r="Q8" s="28" t="inlineStr">
        <is>
          <t>← formula</t>
        </is>
      </c>
      <c r="R8" s="28" t="inlineStr">
        <is>
          <t>← formula</t>
        </is>
      </c>
      <c r="S8" s="28" t="inlineStr">
        <is>
          <t>← formula</t>
        </is>
      </c>
      <c r="T8" s="28" t="inlineStr">
        <is>
          <t>← formula</t>
        </is>
      </c>
    </row>
    <row r="9" ht="17" customHeight="1">
      <c r="A9" s="29" t="inlineStr">
        <is>
          <t>ML004</t>
        </is>
      </c>
      <c r="B9" s="29" t="n">
        <v>16</v>
      </c>
      <c r="C9" s="29" t="inlineStr">
        <is>
          <t>F</t>
        </is>
      </c>
      <c r="D9" s="29" t="n">
        <v>5.1</v>
      </c>
      <c r="E9" s="29" t="n">
        <v>2</v>
      </c>
      <c r="F9" s="29" t="n">
        <v>0</v>
      </c>
      <c r="G9" s="29" t="n">
        <v>56</v>
      </c>
      <c r="H9" s="29" t="n">
        <v>23</v>
      </c>
      <c r="I9" s="29" t="n">
        <v>20</v>
      </c>
      <c r="J9" s="29" t="n">
        <v>20</v>
      </c>
      <c r="K9" s="26" t="n">
        <v>24</v>
      </c>
      <c r="L9" s="27" t="n">
        <v>0</v>
      </c>
      <c r="M9" s="28" t="inlineStr">
        <is>
          <t>← formula</t>
        </is>
      </c>
      <c r="N9" s="28" t="inlineStr">
        <is>
          <t>← formula</t>
        </is>
      </c>
      <c r="O9" s="28" t="inlineStr">
        <is>
          <t>← formula</t>
        </is>
      </c>
      <c r="P9" s="28" t="inlineStr">
        <is>
          <t>← formula</t>
        </is>
      </c>
      <c r="Q9" s="28" t="inlineStr">
        <is>
          <t>← formula</t>
        </is>
      </c>
      <c r="R9" s="28" t="inlineStr">
        <is>
          <t>← formula</t>
        </is>
      </c>
      <c r="S9" s="28" t="inlineStr">
        <is>
          <t>← formula</t>
        </is>
      </c>
      <c r="T9" s="28" t="inlineStr">
        <is>
          <t>← formula</t>
        </is>
      </c>
    </row>
    <row r="10" ht="17" customHeight="1">
      <c r="A10" s="25" t="inlineStr">
        <is>
          <t>ML005</t>
        </is>
      </c>
      <c r="B10" s="25" t="n">
        <v>19</v>
      </c>
      <c r="C10" s="25" t="inlineStr">
        <is>
          <t>M</t>
        </is>
      </c>
      <c r="D10" s="25" t="n">
        <v>4.6</v>
      </c>
      <c r="E10" s="25" t="n">
        <v>0</v>
      </c>
      <c r="F10" s="25" t="n">
        <v>1</v>
      </c>
      <c r="G10" s="25" t="n">
        <v>68</v>
      </c>
      <c r="H10" s="25" t="n">
        <v>23</v>
      </c>
      <c r="I10" s="25" t="n">
        <v>20</v>
      </c>
      <c r="J10" s="25" t="n">
        <v>20</v>
      </c>
      <c r="K10" s="26" t="n">
        <v>20</v>
      </c>
      <c r="L10" s="27" t="n">
        <v>0</v>
      </c>
      <c r="M10" s="28" t="inlineStr">
        <is>
          <t>← formula</t>
        </is>
      </c>
      <c r="N10" s="28" t="inlineStr">
        <is>
          <t>← formula</t>
        </is>
      </c>
      <c r="O10" s="28" t="inlineStr">
        <is>
          <t>← formula</t>
        </is>
      </c>
      <c r="P10" s="28" t="inlineStr">
        <is>
          <t>← formula</t>
        </is>
      </c>
      <c r="Q10" s="28" t="inlineStr">
        <is>
          <t>← formula</t>
        </is>
      </c>
      <c r="R10" s="28" t="inlineStr">
        <is>
          <t>← formula</t>
        </is>
      </c>
      <c r="S10" s="28" t="inlineStr">
        <is>
          <t>← formula</t>
        </is>
      </c>
      <c r="T10" s="28" t="inlineStr">
        <is>
          <t>← formula</t>
        </is>
      </c>
    </row>
    <row r="11" ht="17" customHeight="1">
      <c r="A11" s="29" t="inlineStr">
        <is>
          <t>ML006</t>
        </is>
      </c>
      <c r="B11" s="29" t="n">
        <v>16</v>
      </c>
      <c r="C11" s="29" t="inlineStr">
        <is>
          <t>F</t>
        </is>
      </c>
      <c r="D11" s="27" t="n"/>
      <c r="E11" s="29" t="n">
        <v>2</v>
      </c>
      <c r="F11" s="29" t="n">
        <v>0</v>
      </c>
      <c r="G11" s="29" t="n">
        <v>56</v>
      </c>
      <c r="H11" s="29" t="n">
        <v>66</v>
      </c>
      <c r="I11" s="29" t="n">
        <v>72</v>
      </c>
      <c r="J11" s="29" t="n">
        <v>69</v>
      </c>
      <c r="K11" s="30" t="n">
        <v>61</v>
      </c>
      <c r="L11" s="31" t="n">
        <v>1</v>
      </c>
      <c r="M11" s="28" t="inlineStr">
        <is>
          <t>← formula</t>
        </is>
      </c>
      <c r="N11" s="28" t="inlineStr">
        <is>
          <t>← formula</t>
        </is>
      </c>
      <c r="O11" s="28" t="inlineStr">
        <is>
          <t>← formula</t>
        </is>
      </c>
      <c r="P11" s="28" t="inlineStr">
        <is>
          <t>← formula</t>
        </is>
      </c>
      <c r="Q11" s="28" t="inlineStr">
        <is>
          <t>← formula</t>
        </is>
      </c>
      <c r="R11" s="28" t="inlineStr">
        <is>
          <t>← formula</t>
        </is>
      </c>
      <c r="S11" s="28" t="inlineStr">
        <is>
          <t>← formula</t>
        </is>
      </c>
      <c r="T11" s="28" t="inlineStr">
        <is>
          <t>← formula</t>
        </is>
      </c>
    </row>
    <row r="12" ht="17" customHeight="1">
      <c r="A12" s="25" t="inlineStr">
        <is>
          <t>ML007</t>
        </is>
      </c>
      <c r="B12" s="25" t="n">
        <v>17</v>
      </c>
      <c r="C12" s="25" t="inlineStr">
        <is>
          <t>M</t>
        </is>
      </c>
      <c r="D12" s="25" t="n">
        <v>24.1</v>
      </c>
      <c r="E12" s="25" t="n">
        <v>2</v>
      </c>
      <c r="F12" s="25" t="n">
        <v>0</v>
      </c>
      <c r="G12" s="25" t="n">
        <v>94</v>
      </c>
      <c r="H12" s="25" t="n">
        <v>56</v>
      </c>
      <c r="I12" s="25" t="n">
        <v>59</v>
      </c>
      <c r="J12" s="25" t="n">
        <v>61</v>
      </c>
      <c r="K12" s="30" t="n">
        <v>57</v>
      </c>
      <c r="L12" s="31" t="n">
        <v>1</v>
      </c>
      <c r="M12" s="28" t="inlineStr">
        <is>
          <t>← formula</t>
        </is>
      </c>
      <c r="N12" s="28" t="inlineStr">
        <is>
          <t>← formula</t>
        </is>
      </c>
      <c r="O12" s="28" t="inlineStr">
        <is>
          <t>← formula</t>
        </is>
      </c>
      <c r="P12" s="28" t="inlineStr">
        <is>
          <t>← formula</t>
        </is>
      </c>
      <c r="Q12" s="28" t="inlineStr">
        <is>
          <t>← formula</t>
        </is>
      </c>
      <c r="R12" s="28" t="inlineStr">
        <is>
          <t>← formula</t>
        </is>
      </c>
      <c r="S12" s="28" t="inlineStr">
        <is>
          <t>← formula</t>
        </is>
      </c>
      <c r="T12" s="28" t="inlineStr">
        <is>
          <t>← formula</t>
        </is>
      </c>
    </row>
    <row r="13" ht="17" customHeight="1">
      <c r="A13" s="29" t="inlineStr">
        <is>
          <t>ML008</t>
        </is>
      </c>
      <c r="B13" s="29" t="n">
        <v>18</v>
      </c>
      <c r="C13" s="29" t="inlineStr">
        <is>
          <t>F</t>
        </is>
      </c>
      <c r="D13" s="29" t="n">
        <v>34.7</v>
      </c>
      <c r="E13" s="29" t="n">
        <v>3</v>
      </c>
      <c r="F13" s="29" t="n">
        <v>1</v>
      </c>
      <c r="G13" s="29" t="n">
        <v>90</v>
      </c>
      <c r="H13" s="29" t="n">
        <v>85</v>
      </c>
      <c r="I13" s="29" t="n">
        <v>88</v>
      </c>
      <c r="J13" s="29" t="n">
        <v>79</v>
      </c>
      <c r="K13" s="32" t="n">
        <v>83</v>
      </c>
      <c r="L13" s="31" t="n">
        <v>1</v>
      </c>
      <c r="M13" s="28" t="inlineStr">
        <is>
          <t>← formula</t>
        </is>
      </c>
      <c r="N13" s="28" t="inlineStr">
        <is>
          <t>← formula</t>
        </is>
      </c>
      <c r="O13" s="28" t="inlineStr">
        <is>
          <t>← formula</t>
        </is>
      </c>
      <c r="P13" s="28" t="inlineStr">
        <is>
          <t>← formula</t>
        </is>
      </c>
      <c r="Q13" s="28" t="inlineStr">
        <is>
          <t>← formula</t>
        </is>
      </c>
      <c r="R13" s="28" t="inlineStr">
        <is>
          <t>← formula</t>
        </is>
      </c>
      <c r="S13" s="28" t="inlineStr">
        <is>
          <t>← formula</t>
        </is>
      </c>
      <c r="T13" s="28" t="inlineStr">
        <is>
          <t>← formula</t>
        </is>
      </c>
    </row>
    <row r="14" ht="17" customHeight="1">
      <c r="A14" s="25" t="inlineStr">
        <is>
          <t>ML009</t>
        </is>
      </c>
      <c r="B14" s="25" t="n">
        <v>15</v>
      </c>
      <c r="C14" s="25" t="inlineStr">
        <is>
          <t>M</t>
        </is>
      </c>
      <c r="D14" s="25" t="n">
        <v>10.8</v>
      </c>
      <c r="E14" s="25" t="n">
        <v>2</v>
      </c>
      <c r="F14" s="25" t="n">
        <v>1</v>
      </c>
      <c r="G14" s="25" t="n">
        <v>63</v>
      </c>
      <c r="H14" s="25" t="n">
        <v>31</v>
      </c>
      <c r="I14" s="25" t="n">
        <v>27</v>
      </c>
      <c r="J14" s="25" t="n">
        <v>36</v>
      </c>
      <c r="K14" s="26" t="n">
        <v>31</v>
      </c>
      <c r="L14" s="27" t="n">
        <v>0</v>
      </c>
      <c r="M14" s="28" t="inlineStr">
        <is>
          <t>← formula</t>
        </is>
      </c>
      <c r="N14" s="28" t="inlineStr">
        <is>
          <t>← formula</t>
        </is>
      </c>
      <c r="O14" s="28" t="inlineStr">
        <is>
          <t>← formula</t>
        </is>
      </c>
      <c r="P14" s="28" t="inlineStr">
        <is>
          <t>← formula</t>
        </is>
      </c>
      <c r="Q14" s="28" t="inlineStr">
        <is>
          <t>← formula</t>
        </is>
      </c>
      <c r="R14" s="28" t="inlineStr">
        <is>
          <t>← formula</t>
        </is>
      </c>
      <c r="S14" s="28" t="inlineStr">
        <is>
          <t>← formula</t>
        </is>
      </c>
      <c r="T14" s="28" t="inlineStr">
        <is>
          <t>← formula</t>
        </is>
      </c>
    </row>
    <row r="15" ht="17" customHeight="1">
      <c r="A15" s="29" t="inlineStr">
        <is>
          <t>ML010</t>
        </is>
      </c>
      <c r="B15" s="29" t="n">
        <v>18</v>
      </c>
      <c r="C15" s="29" t="inlineStr">
        <is>
          <t>F</t>
        </is>
      </c>
      <c r="D15" s="29" t="n">
        <v>6.6</v>
      </c>
      <c r="E15" s="29" t="n">
        <v>1</v>
      </c>
      <c r="F15" s="29" t="n">
        <v>1</v>
      </c>
      <c r="G15" s="29" t="n">
        <v>97</v>
      </c>
      <c r="H15" s="29" t="n">
        <v>20</v>
      </c>
      <c r="I15" s="29" t="n">
        <v>25</v>
      </c>
      <c r="J15" s="29" t="n">
        <v>24</v>
      </c>
      <c r="K15" s="26" t="n">
        <v>21</v>
      </c>
      <c r="L15" s="27" t="n">
        <v>0</v>
      </c>
      <c r="M15" s="28" t="inlineStr">
        <is>
          <t>← formula</t>
        </is>
      </c>
      <c r="N15" s="28" t="inlineStr">
        <is>
          <t>← formula</t>
        </is>
      </c>
      <c r="O15" s="28" t="inlineStr">
        <is>
          <t>← formula</t>
        </is>
      </c>
      <c r="P15" s="28" t="inlineStr">
        <is>
          <t>← formula</t>
        </is>
      </c>
      <c r="Q15" s="28" t="inlineStr">
        <is>
          <t>← formula</t>
        </is>
      </c>
      <c r="R15" s="28" t="inlineStr">
        <is>
          <t>← formula</t>
        </is>
      </c>
      <c r="S15" s="28" t="inlineStr">
        <is>
          <t>← formula</t>
        </is>
      </c>
      <c r="T15" s="28" t="inlineStr">
        <is>
          <t>← formula</t>
        </is>
      </c>
    </row>
    <row r="16" ht="17" customHeight="1">
      <c r="A16" s="25" t="inlineStr">
        <is>
          <t>ML011</t>
        </is>
      </c>
      <c r="B16" s="25" t="n">
        <v>16</v>
      </c>
      <c r="C16" s="25" t="inlineStr">
        <is>
          <t>M</t>
        </is>
      </c>
      <c r="D16" s="25" t="n">
        <v>18.3</v>
      </c>
      <c r="E16" s="25" t="n">
        <v>1</v>
      </c>
      <c r="F16" s="25" t="n">
        <v>2</v>
      </c>
      <c r="G16" s="25" t="n">
        <v>98</v>
      </c>
      <c r="H16" s="25" t="n">
        <v>24</v>
      </c>
      <c r="I16" s="25" t="n">
        <v>25</v>
      </c>
      <c r="J16" s="25" t="n">
        <v>26</v>
      </c>
      <c r="K16" s="26" t="n">
        <v>32</v>
      </c>
      <c r="L16" s="27" t="n">
        <v>0</v>
      </c>
      <c r="M16" s="28" t="inlineStr">
        <is>
          <t>← formula</t>
        </is>
      </c>
      <c r="N16" s="28" t="inlineStr">
        <is>
          <t>← formula</t>
        </is>
      </c>
      <c r="O16" s="28" t="inlineStr">
        <is>
          <t>← formula</t>
        </is>
      </c>
      <c r="P16" s="28" t="inlineStr">
        <is>
          <t>← formula</t>
        </is>
      </c>
      <c r="Q16" s="28" t="inlineStr">
        <is>
          <t>← formula</t>
        </is>
      </c>
      <c r="R16" s="28" t="inlineStr">
        <is>
          <t>← formula</t>
        </is>
      </c>
      <c r="S16" s="28" t="inlineStr">
        <is>
          <t>← formula</t>
        </is>
      </c>
      <c r="T16" s="28" t="inlineStr">
        <is>
          <t>← formula</t>
        </is>
      </c>
    </row>
    <row r="17" ht="17" customHeight="1">
      <c r="A17" s="29" t="inlineStr">
        <is>
          <t>ML012</t>
        </is>
      </c>
      <c r="B17" s="29" t="n">
        <v>19</v>
      </c>
      <c r="C17" s="29" t="inlineStr">
        <is>
          <t>F</t>
        </is>
      </c>
      <c r="D17" s="29" t="n">
        <v>14.6</v>
      </c>
      <c r="E17" s="29" t="n">
        <v>0</v>
      </c>
      <c r="F17" s="29" t="n">
        <v>1</v>
      </c>
      <c r="G17" s="29" t="n">
        <v>79</v>
      </c>
      <c r="H17" s="29" t="n">
        <v>36</v>
      </c>
      <c r="I17" s="29" t="n">
        <v>28</v>
      </c>
      <c r="J17" s="29" t="n">
        <v>31</v>
      </c>
      <c r="K17" s="26" t="n">
        <v>43</v>
      </c>
      <c r="L17" s="27" t="n">
        <v>0</v>
      </c>
      <c r="M17" s="28" t="inlineStr">
        <is>
          <t>← formula</t>
        </is>
      </c>
      <c r="N17" s="28" t="inlineStr">
        <is>
          <t>← formula</t>
        </is>
      </c>
      <c r="O17" s="28" t="inlineStr">
        <is>
          <t>← formula</t>
        </is>
      </c>
      <c r="P17" s="28" t="inlineStr">
        <is>
          <t>← formula</t>
        </is>
      </c>
      <c r="Q17" s="28" t="inlineStr">
        <is>
          <t>← formula</t>
        </is>
      </c>
      <c r="R17" s="28" t="inlineStr">
        <is>
          <t>← formula</t>
        </is>
      </c>
      <c r="S17" s="28" t="inlineStr">
        <is>
          <t>← formula</t>
        </is>
      </c>
      <c r="T17" s="28" t="inlineStr">
        <is>
          <t>← formula</t>
        </is>
      </c>
    </row>
    <row r="18" ht="17" customHeight="1">
      <c r="A18" s="25" t="inlineStr">
        <is>
          <t>ML013</t>
        </is>
      </c>
      <c r="B18" s="25" t="n">
        <v>17</v>
      </c>
      <c r="C18" s="25" t="inlineStr">
        <is>
          <t>M</t>
        </is>
      </c>
      <c r="D18" s="25" t="n">
        <v>11.7</v>
      </c>
      <c r="E18" s="25" t="n">
        <v>2</v>
      </c>
      <c r="F18" s="25" t="n">
        <v>0</v>
      </c>
      <c r="G18" s="27" t="n"/>
      <c r="H18" s="25" t="n">
        <v>20</v>
      </c>
      <c r="I18" s="25" t="n">
        <v>27</v>
      </c>
      <c r="J18" s="25" t="n">
        <v>35</v>
      </c>
      <c r="K18" s="26" t="n">
        <v>22</v>
      </c>
      <c r="L18" s="27" t="n">
        <v>0</v>
      </c>
      <c r="M18" s="28" t="inlineStr">
        <is>
          <t>← formula</t>
        </is>
      </c>
      <c r="N18" s="28" t="inlineStr">
        <is>
          <t>← formula</t>
        </is>
      </c>
      <c r="O18" s="28" t="inlineStr">
        <is>
          <t>← formula</t>
        </is>
      </c>
      <c r="P18" s="28" t="inlineStr">
        <is>
          <t>← formula</t>
        </is>
      </c>
      <c r="Q18" s="28" t="inlineStr">
        <is>
          <t>← formula</t>
        </is>
      </c>
      <c r="R18" s="28" t="inlineStr">
        <is>
          <t>← formula</t>
        </is>
      </c>
      <c r="S18" s="28" t="inlineStr">
        <is>
          <t>← formula</t>
        </is>
      </c>
      <c r="T18" s="28" t="inlineStr">
        <is>
          <t>← formula</t>
        </is>
      </c>
    </row>
    <row r="19" ht="17" customHeight="1">
      <c r="A19" s="29" t="inlineStr">
        <is>
          <t>ML014</t>
        </is>
      </c>
      <c r="B19" s="29" t="n">
        <v>19</v>
      </c>
      <c r="C19" s="29" t="inlineStr">
        <is>
          <t>F</t>
        </is>
      </c>
      <c r="D19" s="29" t="n">
        <v>11.8</v>
      </c>
      <c r="E19" s="29" t="n">
        <v>0</v>
      </c>
      <c r="F19" s="29" t="n">
        <v>2</v>
      </c>
      <c r="G19" s="29" t="n">
        <v>90</v>
      </c>
      <c r="H19" s="29" t="n">
        <v>27</v>
      </c>
      <c r="I19" s="29" t="n">
        <v>25</v>
      </c>
      <c r="J19" s="29" t="n">
        <v>32</v>
      </c>
      <c r="K19" s="26" t="n">
        <v>24</v>
      </c>
      <c r="L19" s="27" t="n">
        <v>0</v>
      </c>
      <c r="M19" s="28" t="inlineStr">
        <is>
          <t>← formula</t>
        </is>
      </c>
      <c r="N19" s="28" t="inlineStr">
        <is>
          <t>← formula</t>
        </is>
      </c>
      <c r="O19" s="28" t="inlineStr">
        <is>
          <t>← formula</t>
        </is>
      </c>
      <c r="P19" s="28" t="inlineStr">
        <is>
          <t>← formula</t>
        </is>
      </c>
      <c r="Q19" s="28" t="inlineStr">
        <is>
          <t>← formula</t>
        </is>
      </c>
      <c r="R19" s="28" t="inlineStr">
        <is>
          <t>← formula</t>
        </is>
      </c>
      <c r="S19" s="28" t="inlineStr">
        <is>
          <t>← formula</t>
        </is>
      </c>
      <c r="T19" s="28" t="inlineStr">
        <is>
          <t>← formula</t>
        </is>
      </c>
    </row>
    <row r="20" ht="17" customHeight="1">
      <c r="A20" s="25" t="inlineStr">
        <is>
          <t>ML015</t>
        </is>
      </c>
      <c r="B20" s="25" t="n">
        <v>19</v>
      </c>
      <c r="C20" s="25" t="inlineStr">
        <is>
          <t>M</t>
        </is>
      </c>
      <c r="D20" s="25" t="n">
        <v>21.8</v>
      </c>
      <c r="E20" s="25" t="n">
        <v>4</v>
      </c>
      <c r="F20" s="25" t="n">
        <v>0</v>
      </c>
      <c r="G20" s="25" t="n">
        <v>81</v>
      </c>
      <c r="H20" s="25" t="n">
        <v>30</v>
      </c>
      <c r="I20" s="25" t="n">
        <v>38</v>
      </c>
      <c r="J20" s="25" t="n">
        <v>36</v>
      </c>
      <c r="K20" s="26" t="n">
        <v>32</v>
      </c>
      <c r="L20" s="27" t="n">
        <v>0</v>
      </c>
      <c r="M20" s="28" t="inlineStr">
        <is>
          <t>← formula</t>
        </is>
      </c>
      <c r="N20" s="28" t="inlineStr">
        <is>
          <t>← formula</t>
        </is>
      </c>
      <c r="O20" s="28" t="inlineStr">
        <is>
          <t>← formula</t>
        </is>
      </c>
      <c r="P20" s="28" t="inlineStr">
        <is>
          <t>← formula</t>
        </is>
      </c>
      <c r="Q20" s="28" t="inlineStr">
        <is>
          <t>← formula</t>
        </is>
      </c>
      <c r="R20" s="28" t="inlineStr">
        <is>
          <t>← formula</t>
        </is>
      </c>
      <c r="S20" s="28" t="inlineStr">
        <is>
          <t>← formula</t>
        </is>
      </c>
      <c r="T20" s="28" t="inlineStr">
        <is>
          <t>← formula</t>
        </is>
      </c>
    </row>
    <row r="21" ht="17" customHeight="1">
      <c r="A21" s="29" t="inlineStr">
        <is>
          <t>ML016</t>
        </is>
      </c>
      <c r="B21" s="29" t="n">
        <v>15</v>
      </c>
      <c r="C21" s="29" t="inlineStr">
        <is>
          <t>F</t>
        </is>
      </c>
      <c r="D21" s="29" t="n">
        <v>33.2</v>
      </c>
      <c r="E21" s="29" t="n">
        <v>1</v>
      </c>
      <c r="F21" s="29" t="n">
        <v>2</v>
      </c>
      <c r="G21" s="29" t="n">
        <v>55</v>
      </c>
      <c r="H21" s="29" t="n">
        <v>91</v>
      </c>
      <c r="I21" s="29" t="n">
        <v>78</v>
      </c>
      <c r="J21" s="29" t="n">
        <v>80</v>
      </c>
      <c r="K21" s="32" t="n">
        <v>78</v>
      </c>
      <c r="L21" s="31" t="n">
        <v>1</v>
      </c>
      <c r="M21" s="28" t="inlineStr">
        <is>
          <t>← formula</t>
        </is>
      </c>
      <c r="N21" s="28" t="inlineStr">
        <is>
          <t>← formula</t>
        </is>
      </c>
      <c r="O21" s="28" t="inlineStr">
        <is>
          <t>← formula</t>
        </is>
      </c>
      <c r="P21" s="28" t="inlineStr">
        <is>
          <t>← formula</t>
        </is>
      </c>
      <c r="Q21" s="28" t="inlineStr">
        <is>
          <t>← formula</t>
        </is>
      </c>
      <c r="R21" s="28" t="inlineStr">
        <is>
          <t>← formula</t>
        </is>
      </c>
      <c r="S21" s="28" t="inlineStr">
        <is>
          <t>← formula</t>
        </is>
      </c>
      <c r="T21" s="28" t="inlineStr">
        <is>
          <t>← formula</t>
        </is>
      </c>
    </row>
    <row r="22" ht="17" customHeight="1">
      <c r="A22" s="25" t="inlineStr">
        <is>
          <t>ML017</t>
        </is>
      </c>
      <c r="B22" s="25" t="n">
        <v>18</v>
      </c>
      <c r="C22" s="25" t="inlineStr">
        <is>
          <t>M</t>
        </is>
      </c>
      <c r="D22" s="25" t="n">
        <v>10.7</v>
      </c>
      <c r="E22" s="25" t="n">
        <v>4</v>
      </c>
      <c r="F22" s="25" t="n">
        <v>0</v>
      </c>
      <c r="G22" s="25" t="n">
        <v>88</v>
      </c>
      <c r="H22" s="25" t="n">
        <v>22</v>
      </c>
      <c r="I22" s="25" t="n">
        <v>22</v>
      </c>
      <c r="J22" s="25" t="n">
        <v>25</v>
      </c>
      <c r="K22" s="26" t="n">
        <v>26</v>
      </c>
      <c r="L22" s="27" t="n">
        <v>0</v>
      </c>
      <c r="M22" s="28" t="inlineStr">
        <is>
          <t>← formula</t>
        </is>
      </c>
      <c r="N22" s="28" t="inlineStr">
        <is>
          <t>← formula</t>
        </is>
      </c>
      <c r="O22" s="28" t="inlineStr">
        <is>
          <t>← formula</t>
        </is>
      </c>
      <c r="P22" s="28" t="inlineStr">
        <is>
          <t>← formula</t>
        </is>
      </c>
      <c r="Q22" s="28" t="inlineStr">
        <is>
          <t>← formula</t>
        </is>
      </c>
      <c r="R22" s="28" t="inlineStr">
        <is>
          <t>← formula</t>
        </is>
      </c>
      <c r="S22" s="28" t="inlineStr">
        <is>
          <t>← formula</t>
        </is>
      </c>
      <c r="T22" s="28" t="inlineStr">
        <is>
          <t>← formula</t>
        </is>
      </c>
    </row>
    <row r="23" ht="17" customHeight="1">
      <c r="A23" s="29" t="inlineStr">
        <is>
          <t>ML018</t>
        </is>
      </c>
      <c r="B23" s="29" t="n">
        <v>17</v>
      </c>
      <c r="C23" s="29" t="inlineStr">
        <is>
          <t>F</t>
        </is>
      </c>
      <c r="D23" s="29" t="n">
        <v>16.9</v>
      </c>
      <c r="E23" s="29" t="n">
        <v>3</v>
      </c>
      <c r="F23" s="29" t="n">
        <v>2</v>
      </c>
      <c r="G23" s="29" t="n">
        <v>65</v>
      </c>
      <c r="H23" s="29" t="n">
        <v>26</v>
      </c>
      <c r="I23" s="29" t="n">
        <v>34</v>
      </c>
      <c r="J23" s="29" t="n">
        <v>24</v>
      </c>
      <c r="K23" s="26" t="n">
        <v>40</v>
      </c>
      <c r="L23" s="27" t="n">
        <v>0</v>
      </c>
      <c r="M23" s="28" t="inlineStr">
        <is>
          <t>← formula</t>
        </is>
      </c>
      <c r="N23" s="28" t="inlineStr">
        <is>
          <t>← formula</t>
        </is>
      </c>
      <c r="O23" s="28" t="inlineStr">
        <is>
          <t>← formula</t>
        </is>
      </c>
      <c r="P23" s="28" t="inlineStr">
        <is>
          <t>← formula</t>
        </is>
      </c>
      <c r="Q23" s="28" t="inlineStr">
        <is>
          <t>← formula</t>
        </is>
      </c>
      <c r="R23" s="28" t="inlineStr">
        <is>
          <t>← formula</t>
        </is>
      </c>
      <c r="S23" s="28" t="inlineStr">
        <is>
          <t>← formula</t>
        </is>
      </c>
      <c r="T23" s="28" t="inlineStr">
        <is>
          <t>← formula</t>
        </is>
      </c>
    </row>
    <row r="24" ht="17" customHeight="1">
      <c r="A24" s="25" t="inlineStr">
        <is>
          <t>ML019</t>
        </is>
      </c>
      <c r="B24" s="25" t="n">
        <v>19</v>
      </c>
      <c r="C24" s="25" t="inlineStr">
        <is>
          <t>M</t>
        </is>
      </c>
      <c r="D24" s="25" t="n">
        <v>9.300000000000001</v>
      </c>
      <c r="E24" s="25" t="n">
        <v>1</v>
      </c>
      <c r="F24" s="25" t="n">
        <v>2</v>
      </c>
      <c r="G24" s="27" t="n">
        <v>150</v>
      </c>
      <c r="H24" s="25" t="n">
        <v>23</v>
      </c>
      <c r="I24" s="25" t="n">
        <v>29</v>
      </c>
      <c r="J24" s="25" t="n">
        <v>24</v>
      </c>
      <c r="K24" s="26" t="n">
        <v>21</v>
      </c>
      <c r="L24" s="27" t="n">
        <v>0</v>
      </c>
      <c r="M24" s="28" t="inlineStr">
        <is>
          <t>← formula</t>
        </is>
      </c>
      <c r="N24" s="28" t="inlineStr">
        <is>
          <t>← formula</t>
        </is>
      </c>
      <c r="O24" s="28" t="inlineStr">
        <is>
          <t>← formula</t>
        </is>
      </c>
      <c r="P24" s="28" t="inlineStr">
        <is>
          <t>← formula</t>
        </is>
      </c>
      <c r="Q24" s="28" t="inlineStr">
        <is>
          <t>← formula</t>
        </is>
      </c>
      <c r="R24" s="28" t="inlineStr">
        <is>
          <t>← formula</t>
        </is>
      </c>
      <c r="S24" s="28" t="inlineStr">
        <is>
          <t>← formula</t>
        </is>
      </c>
      <c r="T24" s="28" t="inlineStr">
        <is>
          <t>← formula</t>
        </is>
      </c>
    </row>
    <row r="25" ht="17" customHeight="1">
      <c r="A25" s="29" t="inlineStr">
        <is>
          <t>ML020</t>
        </is>
      </c>
      <c r="B25" s="29" t="n">
        <v>17</v>
      </c>
      <c r="C25" s="29" t="inlineStr">
        <is>
          <t>F</t>
        </is>
      </c>
      <c r="D25" s="29" t="n">
        <v>9.9</v>
      </c>
      <c r="E25" s="29" t="n">
        <v>0</v>
      </c>
      <c r="F25" s="29" t="n">
        <v>2</v>
      </c>
      <c r="G25" s="29" t="n">
        <v>92</v>
      </c>
      <c r="H25" s="29" t="n">
        <v>22</v>
      </c>
      <c r="I25" s="29" t="n">
        <v>20</v>
      </c>
      <c r="J25" s="29" t="n">
        <v>31</v>
      </c>
      <c r="K25" s="26" t="n">
        <v>21</v>
      </c>
      <c r="L25" s="27" t="n">
        <v>0</v>
      </c>
      <c r="M25" s="28" t="inlineStr">
        <is>
          <t>← formula</t>
        </is>
      </c>
      <c r="N25" s="28" t="inlineStr">
        <is>
          <t>← formula</t>
        </is>
      </c>
      <c r="O25" s="28" t="inlineStr">
        <is>
          <t>← formula</t>
        </is>
      </c>
      <c r="P25" s="28" t="inlineStr">
        <is>
          <t>← formula</t>
        </is>
      </c>
      <c r="Q25" s="28" t="inlineStr">
        <is>
          <t>← formula</t>
        </is>
      </c>
      <c r="R25" s="28" t="inlineStr">
        <is>
          <t>← formula</t>
        </is>
      </c>
      <c r="S25" s="28" t="inlineStr">
        <is>
          <t>← formula</t>
        </is>
      </c>
      <c r="T25" s="28" t="inlineStr">
        <is>
          <t>← formula</t>
        </is>
      </c>
    </row>
    <row r="26" ht="17" customHeight="1">
      <c r="A26" s="25" t="inlineStr">
        <is>
          <t>ML021</t>
        </is>
      </c>
      <c r="B26" s="25" t="n">
        <v>18</v>
      </c>
      <c r="C26" s="25" t="inlineStr">
        <is>
          <t>M</t>
        </is>
      </c>
      <c r="D26" s="25" t="n">
        <v>5.1</v>
      </c>
      <c r="E26" s="25" t="n">
        <v>3</v>
      </c>
      <c r="F26" s="25" t="n">
        <v>0</v>
      </c>
      <c r="G26" s="25" t="n">
        <v>92</v>
      </c>
      <c r="H26" s="25" t="n">
        <v>23</v>
      </c>
      <c r="I26" s="25" t="n">
        <v>25</v>
      </c>
      <c r="J26" s="25" t="n">
        <v>25</v>
      </c>
      <c r="K26" s="26" t="n">
        <v>24</v>
      </c>
      <c r="L26" s="27" t="n">
        <v>0</v>
      </c>
      <c r="M26" s="28" t="inlineStr">
        <is>
          <t>← formula</t>
        </is>
      </c>
      <c r="N26" s="28" t="inlineStr">
        <is>
          <t>← formula</t>
        </is>
      </c>
      <c r="O26" s="28" t="inlineStr">
        <is>
          <t>← formula</t>
        </is>
      </c>
      <c r="P26" s="28" t="inlineStr">
        <is>
          <t>← formula</t>
        </is>
      </c>
      <c r="Q26" s="28" t="inlineStr">
        <is>
          <t>← formula</t>
        </is>
      </c>
      <c r="R26" s="28" t="inlineStr">
        <is>
          <t>← formula</t>
        </is>
      </c>
      <c r="S26" s="28" t="inlineStr">
        <is>
          <t>← formula</t>
        </is>
      </c>
      <c r="T26" s="28" t="inlineStr">
        <is>
          <t>← formula</t>
        </is>
      </c>
    </row>
    <row r="27" ht="17" customHeight="1">
      <c r="A27" s="29" t="inlineStr">
        <is>
          <t>ML022</t>
        </is>
      </c>
      <c r="B27" s="29" t="n">
        <v>15</v>
      </c>
      <c r="C27" s="29" t="inlineStr">
        <is>
          <t>F</t>
        </is>
      </c>
      <c r="D27" s="29" t="n">
        <v>15.3</v>
      </c>
      <c r="E27" s="29" t="n">
        <v>0</v>
      </c>
      <c r="F27" s="29" t="n">
        <v>0</v>
      </c>
      <c r="G27" s="29" t="n">
        <v>71</v>
      </c>
      <c r="H27" s="29" t="n">
        <v>23</v>
      </c>
      <c r="I27" s="29" t="n">
        <v>22</v>
      </c>
      <c r="J27" s="29" t="n">
        <v>22</v>
      </c>
      <c r="K27" s="26" t="n">
        <v>31</v>
      </c>
      <c r="L27" s="27" t="n">
        <v>0</v>
      </c>
      <c r="M27" s="28" t="inlineStr">
        <is>
          <t>← formula</t>
        </is>
      </c>
      <c r="N27" s="28" t="inlineStr">
        <is>
          <t>← formula</t>
        </is>
      </c>
      <c r="O27" s="28" t="inlineStr">
        <is>
          <t>← formula</t>
        </is>
      </c>
      <c r="P27" s="28" t="inlineStr">
        <is>
          <t>← formula</t>
        </is>
      </c>
      <c r="Q27" s="28" t="inlineStr">
        <is>
          <t>← formula</t>
        </is>
      </c>
      <c r="R27" s="28" t="inlineStr">
        <is>
          <t>← formula</t>
        </is>
      </c>
      <c r="S27" s="28" t="inlineStr">
        <is>
          <t>← formula</t>
        </is>
      </c>
      <c r="T27" s="28" t="inlineStr">
        <is>
          <t>← formula</t>
        </is>
      </c>
    </row>
    <row r="28" ht="17" customHeight="1">
      <c r="A28" s="25" t="inlineStr">
        <is>
          <t>ML023</t>
        </is>
      </c>
      <c r="B28" s="25" t="n">
        <v>18</v>
      </c>
      <c r="C28" s="27" t="inlineStr">
        <is>
          <t>X</t>
        </is>
      </c>
      <c r="D28" s="25" t="n">
        <v>8.1</v>
      </c>
      <c r="E28" s="25" t="n">
        <v>1</v>
      </c>
      <c r="F28" s="25" t="n">
        <v>1</v>
      </c>
      <c r="G28" s="25" t="n">
        <v>79</v>
      </c>
      <c r="H28" s="25" t="n">
        <v>20</v>
      </c>
      <c r="I28" s="25" t="n">
        <v>26</v>
      </c>
      <c r="J28" s="25" t="n">
        <v>20</v>
      </c>
      <c r="K28" s="26" t="n">
        <v>20</v>
      </c>
      <c r="L28" s="27" t="n">
        <v>0</v>
      </c>
      <c r="M28" s="28" t="inlineStr">
        <is>
          <t>← formula</t>
        </is>
      </c>
      <c r="N28" s="28" t="inlineStr">
        <is>
          <t>← formula</t>
        </is>
      </c>
      <c r="O28" s="28" t="inlineStr">
        <is>
          <t>← formula</t>
        </is>
      </c>
      <c r="P28" s="28" t="inlineStr">
        <is>
          <t>← formula</t>
        </is>
      </c>
      <c r="Q28" s="28" t="inlineStr">
        <is>
          <t>← formula</t>
        </is>
      </c>
      <c r="R28" s="28" t="inlineStr">
        <is>
          <t>← formula</t>
        </is>
      </c>
      <c r="S28" s="28" t="inlineStr">
        <is>
          <t>← formula</t>
        </is>
      </c>
      <c r="T28" s="28" t="inlineStr">
        <is>
          <t>← formula</t>
        </is>
      </c>
    </row>
    <row r="29" ht="17" customHeight="1">
      <c r="A29" s="29" t="inlineStr">
        <is>
          <t>ML024</t>
        </is>
      </c>
      <c r="B29" s="29" t="n">
        <v>19</v>
      </c>
      <c r="C29" s="29" t="inlineStr">
        <is>
          <t>F</t>
        </is>
      </c>
      <c r="D29" s="29" t="n">
        <v>32.6</v>
      </c>
      <c r="E29" s="29" t="n">
        <v>0</v>
      </c>
      <c r="F29" s="29" t="n">
        <v>0</v>
      </c>
      <c r="G29" s="29" t="n">
        <v>65</v>
      </c>
      <c r="H29" s="29" t="n">
        <v>69</v>
      </c>
      <c r="I29" s="29" t="n">
        <v>71</v>
      </c>
      <c r="J29" s="29" t="n">
        <v>71</v>
      </c>
      <c r="K29" s="30" t="n">
        <v>60</v>
      </c>
      <c r="L29" s="31" t="n">
        <v>1</v>
      </c>
      <c r="M29" s="28" t="inlineStr">
        <is>
          <t>← formula</t>
        </is>
      </c>
      <c r="N29" s="28" t="inlineStr">
        <is>
          <t>← formula</t>
        </is>
      </c>
      <c r="O29" s="28" t="inlineStr">
        <is>
          <t>← formula</t>
        </is>
      </c>
      <c r="P29" s="28" t="inlineStr">
        <is>
          <t>← formula</t>
        </is>
      </c>
      <c r="Q29" s="28" t="inlineStr">
        <is>
          <t>← formula</t>
        </is>
      </c>
      <c r="R29" s="28" t="inlineStr">
        <is>
          <t>← formula</t>
        </is>
      </c>
      <c r="S29" s="28" t="inlineStr">
        <is>
          <t>← formula</t>
        </is>
      </c>
      <c r="T29" s="28" t="inlineStr">
        <is>
          <t>← formula</t>
        </is>
      </c>
    </row>
    <row r="30" ht="17" customHeight="1">
      <c r="A30" s="25" t="inlineStr">
        <is>
          <t>ML025</t>
        </is>
      </c>
      <c r="B30" s="25" t="n">
        <v>18</v>
      </c>
      <c r="C30" s="25" t="inlineStr">
        <is>
          <t>M</t>
        </is>
      </c>
      <c r="D30" s="25" t="n">
        <v>14.5</v>
      </c>
      <c r="E30" s="25" t="n">
        <v>0</v>
      </c>
      <c r="F30" s="25" t="n">
        <v>0</v>
      </c>
      <c r="G30" s="25" t="n">
        <v>74</v>
      </c>
      <c r="H30" s="25" t="n">
        <v>33</v>
      </c>
      <c r="I30" s="25" t="n">
        <v>28</v>
      </c>
      <c r="J30" s="25" t="n">
        <v>32</v>
      </c>
      <c r="K30" s="26" t="n">
        <v>34</v>
      </c>
      <c r="L30" s="27" t="n">
        <v>0</v>
      </c>
      <c r="M30" s="28" t="inlineStr">
        <is>
          <t>← formula</t>
        </is>
      </c>
      <c r="N30" s="28" t="inlineStr">
        <is>
          <t>← formula</t>
        </is>
      </c>
      <c r="O30" s="28" t="inlineStr">
        <is>
          <t>← formula</t>
        </is>
      </c>
      <c r="P30" s="28" t="inlineStr">
        <is>
          <t>← formula</t>
        </is>
      </c>
      <c r="Q30" s="28" t="inlineStr">
        <is>
          <t>← formula</t>
        </is>
      </c>
      <c r="R30" s="28" t="inlineStr">
        <is>
          <t>← formula</t>
        </is>
      </c>
      <c r="S30" s="28" t="inlineStr">
        <is>
          <t>← formula</t>
        </is>
      </c>
      <c r="T30" s="28" t="inlineStr">
        <is>
          <t>← formula</t>
        </is>
      </c>
    </row>
    <row r="31" ht="17" customHeight="1">
      <c r="A31" s="29" t="inlineStr">
        <is>
          <t>ML026</t>
        </is>
      </c>
      <c r="B31" s="29" t="n">
        <v>18</v>
      </c>
      <c r="C31" s="29" t="inlineStr">
        <is>
          <t>F</t>
        </is>
      </c>
      <c r="D31" s="29" t="n">
        <v>11.8</v>
      </c>
      <c r="E31" s="29" t="n">
        <v>1</v>
      </c>
      <c r="F31" s="29" t="n">
        <v>0</v>
      </c>
      <c r="G31" s="29" t="n">
        <v>53</v>
      </c>
      <c r="H31" s="29" t="n">
        <v>24</v>
      </c>
      <c r="I31" s="29" t="n">
        <v>33</v>
      </c>
      <c r="J31" s="29" t="n">
        <v>24</v>
      </c>
      <c r="K31" s="26" t="n">
        <v>22</v>
      </c>
      <c r="L31" s="27" t="n">
        <v>0</v>
      </c>
      <c r="M31" s="28" t="inlineStr">
        <is>
          <t>← formula</t>
        </is>
      </c>
      <c r="N31" s="28" t="inlineStr">
        <is>
          <t>← formula</t>
        </is>
      </c>
      <c r="O31" s="28" t="inlineStr">
        <is>
          <t>← formula</t>
        </is>
      </c>
      <c r="P31" s="28" t="inlineStr">
        <is>
          <t>← formula</t>
        </is>
      </c>
      <c r="Q31" s="28" t="inlineStr">
        <is>
          <t>← formula</t>
        </is>
      </c>
      <c r="R31" s="28" t="inlineStr">
        <is>
          <t>← formula</t>
        </is>
      </c>
      <c r="S31" s="28" t="inlineStr">
        <is>
          <t>← formula</t>
        </is>
      </c>
      <c r="T31" s="28" t="inlineStr">
        <is>
          <t>← formula</t>
        </is>
      </c>
    </row>
    <row r="32" ht="17" customHeight="1">
      <c r="A32" s="25" t="inlineStr">
        <is>
          <t>ML027</t>
        </is>
      </c>
      <c r="B32" s="25" t="n">
        <v>19</v>
      </c>
      <c r="C32" s="25" t="inlineStr">
        <is>
          <t>M</t>
        </is>
      </c>
      <c r="D32" s="25" t="n">
        <v>32.3</v>
      </c>
      <c r="E32" s="25" t="n">
        <v>3</v>
      </c>
      <c r="F32" s="25" t="n">
        <v>2</v>
      </c>
      <c r="G32" s="25" t="n">
        <v>83</v>
      </c>
      <c r="H32" s="25" t="n">
        <v>57</v>
      </c>
      <c r="I32" s="25" t="n">
        <v>72</v>
      </c>
      <c r="J32" s="25" t="n">
        <v>58</v>
      </c>
      <c r="K32" s="30" t="n">
        <v>59</v>
      </c>
      <c r="L32" s="31" t="n">
        <v>1</v>
      </c>
      <c r="M32" s="28" t="inlineStr">
        <is>
          <t>← formula</t>
        </is>
      </c>
      <c r="N32" s="28" t="inlineStr">
        <is>
          <t>← formula</t>
        </is>
      </c>
      <c r="O32" s="28" t="inlineStr">
        <is>
          <t>← formula</t>
        </is>
      </c>
      <c r="P32" s="28" t="inlineStr">
        <is>
          <t>← formula</t>
        </is>
      </c>
      <c r="Q32" s="28" t="inlineStr">
        <is>
          <t>← formula</t>
        </is>
      </c>
      <c r="R32" s="28" t="inlineStr">
        <is>
          <t>← formula</t>
        </is>
      </c>
      <c r="S32" s="28" t="inlineStr">
        <is>
          <t>← formula</t>
        </is>
      </c>
      <c r="T32" s="28" t="inlineStr">
        <is>
          <t>← formula</t>
        </is>
      </c>
    </row>
    <row r="33" ht="17" customHeight="1">
      <c r="A33" s="29" t="inlineStr">
        <is>
          <t>ML028</t>
        </is>
      </c>
      <c r="B33" s="29" t="n">
        <v>15</v>
      </c>
      <c r="C33" s="29" t="inlineStr">
        <is>
          <t>F</t>
        </is>
      </c>
      <c r="D33" s="29" t="n">
        <v>24.3</v>
      </c>
      <c r="E33" s="29" t="n">
        <v>4</v>
      </c>
      <c r="F33" s="29" t="n">
        <v>0</v>
      </c>
      <c r="G33" s="29" t="n">
        <v>65</v>
      </c>
      <c r="H33" s="29" t="n">
        <v>48</v>
      </c>
      <c r="I33" s="29" t="n">
        <v>52</v>
      </c>
      <c r="J33" s="29" t="n">
        <v>46</v>
      </c>
      <c r="K33" s="30" t="n">
        <v>62</v>
      </c>
      <c r="L33" s="31" t="n">
        <v>1</v>
      </c>
      <c r="M33" s="28" t="inlineStr">
        <is>
          <t>← formula</t>
        </is>
      </c>
      <c r="N33" s="28" t="inlineStr">
        <is>
          <t>← formula</t>
        </is>
      </c>
      <c r="O33" s="28" t="inlineStr">
        <is>
          <t>← formula</t>
        </is>
      </c>
      <c r="P33" s="28" t="inlineStr">
        <is>
          <t>← formula</t>
        </is>
      </c>
      <c r="Q33" s="28" t="inlineStr">
        <is>
          <t>← formula</t>
        </is>
      </c>
      <c r="R33" s="28" t="inlineStr">
        <is>
          <t>← formula</t>
        </is>
      </c>
      <c r="S33" s="28" t="inlineStr">
        <is>
          <t>← formula</t>
        </is>
      </c>
      <c r="T33" s="28" t="inlineStr">
        <is>
          <t>← formula</t>
        </is>
      </c>
    </row>
    <row r="34" ht="17" customHeight="1">
      <c r="A34" s="25" t="inlineStr">
        <is>
          <t>ML029</t>
        </is>
      </c>
      <c r="B34" s="25" t="n">
        <v>15</v>
      </c>
      <c r="C34" s="25" t="inlineStr">
        <is>
          <t>M</t>
        </is>
      </c>
      <c r="D34" s="25" t="n">
        <v>21.3</v>
      </c>
      <c r="E34" s="25" t="n">
        <v>3</v>
      </c>
      <c r="F34" s="25" t="n">
        <v>2</v>
      </c>
      <c r="G34" s="25" t="n">
        <v>83</v>
      </c>
      <c r="H34" s="25" t="n">
        <v>44</v>
      </c>
      <c r="I34" s="25" t="n">
        <v>42</v>
      </c>
      <c r="J34" s="25" t="n">
        <v>46</v>
      </c>
      <c r="K34" s="26" t="n">
        <v>41</v>
      </c>
      <c r="L34" s="27" t="n">
        <v>0</v>
      </c>
      <c r="M34" s="28" t="inlineStr">
        <is>
          <t>← formula</t>
        </is>
      </c>
      <c r="N34" s="28" t="inlineStr">
        <is>
          <t>← formula</t>
        </is>
      </c>
      <c r="O34" s="28" t="inlineStr">
        <is>
          <t>← formula</t>
        </is>
      </c>
      <c r="P34" s="28" t="inlineStr">
        <is>
          <t>← formula</t>
        </is>
      </c>
      <c r="Q34" s="28" t="inlineStr">
        <is>
          <t>← formula</t>
        </is>
      </c>
      <c r="R34" s="28" t="inlineStr">
        <is>
          <t>← formula</t>
        </is>
      </c>
      <c r="S34" s="28" t="inlineStr">
        <is>
          <t>← formula</t>
        </is>
      </c>
      <c r="T34" s="28" t="inlineStr">
        <is>
          <t>← formula</t>
        </is>
      </c>
    </row>
    <row r="35" ht="17" customHeight="1">
      <c r="A35" s="29" t="inlineStr">
        <is>
          <t>ML030</t>
        </is>
      </c>
      <c r="B35" s="29" t="n">
        <v>17</v>
      </c>
      <c r="C35" s="29" t="inlineStr">
        <is>
          <t>F</t>
        </is>
      </c>
      <c r="D35" s="29" t="n">
        <v>24.2</v>
      </c>
      <c r="E35" s="29" t="n">
        <v>3</v>
      </c>
      <c r="F35" s="29" t="n">
        <v>0</v>
      </c>
      <c r="G35" s="29" t="n">
        <v>69</v>
      </c>
      <c r="H35" s="29" t="n">
        <v>57</v>
      </c>
      <c r="I35" s="29" t="n">
        <v>49</v>
      </c>
      <c r="J35" s="29" t="n">
        <v>47</v>
      </c>
      <c r="K35" s="30" t="n">
        <v>59</v>
      </c>
      <c r="L35" s="31" t="n">
        <v>1</v>
      </c>
      <c r="M35" s="28" t="inlineStr">
        <is>
          <t>← formula</t>
        </is>
      </c>
      <c r="N35" s="28" t="inlineStr">
        <is>
          <t>← formula</t>
        </is>
      </c>
      <c r="O35" s="28" t="inlineStr">
        <is>
          <t>← formula</t>
        </is>
      </c>
      <c r="P35" s="28" t="inlineStr">
        <is>
          <t>← formula</t>
        </is>
      </c>
      <c r="Q35" s="28" t="inlineStr">
        <is>
          <t>← formula</t>
        </is>
      </c>
      <c r="R35" s="28" t="inlineStr">
        <is>
          <t>← formula</t>
        </is>
      </c>
      <c r="S35" s="28" t="inlineStr">
        <is>
          <t>← formula</t>
        </is>
      </c>
      <c r="T35" s="28" t="inlineStr">
        <is>
          <t>← formula</t>
        </is>
      </c>
    </row>
    <row r="36" ht="17" customHeight="1">
      <c r="A36" s="25" t="inlineStr">
        <is>
          <t>ML031</t>
        </is>
      </c>
      <c r="B36" s="25" t="n">
        <v>19</v>
      </c>
      <c r="C36" s="25" t="inlineStr">
        <is>
          <t>M</t>
        </is>
      </c>
      <c r="D36" s="25" t="n">
        <v>4.4</v>
      </c>
      <c r="E36" s="25" t="n">
        <v>4</v>
      </c>
      <c r="F36" s="25" t="n">
        <v>0</v>
      </c>
      <c r="G36" s="25" t="n">
        <v>63</v>
      </c>
      <c r="H36" s="25" t="n">
        <v>20</v>
      </c>
      <c r="I36" s="25" t="n">
        <v>20</v>
      </c>
      <c r="J36" s="25" t="n">
        <v>23</v>
      </c>
      <c r="K36" s="26" t="n">
        <v>20</v>
      </c>
      <c r="L36" s="27" t="n">
        <v>0</v>
      </c>
      <c r="M36" s="28" t="inlineStr">
        <is>
          <t>← formula</t>
        </is>
      </c>
      <c r="N36" s="28" t="inlineStr">
        <is>
          <t>← formula</t>
        </is>
      </c>
      <c r="O36" s="28" t="inlineStr">
        <is>
          <t>← formula</t>
        </is>
      </c>
      <c r="P36" s="28" t="inlineStr">
        <is>
          <t>← formula</t>
        </is>
      </c>
      <c r="Q36" s="28" t="inlineStr">
        <is>
          <t>← formula</t>
        </is>
      </c>
      <c r="R36" s="28" t="inlineStr">
        <is>
          <t>← formula</t>
        </is>
      </c>
      <c r="S36" s="28" t="inlineStr">
        <is>
          <t>← formula</t>
        </is>
      </c>
      <c r="T36" s="28" t="inlineStr">
        <is>
          <t>← formula</t>
        </is>
      </c>
    </row>
    <row r="37" ht="17" customHeight="1">
      <c r="A37" s="29" t="inlineStr">
        <is>
          <t>ML032</t>
        </is>
      </c>
      <c r="B37" s="29" t="n">
        <v>16</v>
      </c>
      <c r="C37" s="29" t="inlineStr">
        <is>
          <t>F</t>
        </is>
      </c>
      <c r="D37" s="29" t="n">
        <v>7.2</v>
      </c>
      <c r="E37" s="29" t="n">
        <v>2</v>
      </c>
      <c r="F37" s="29" t="n">
        <v>1</v>
      </c>
      <c r="G37" s="29" t="n">
        <v>84</v>
      </c>
      <c r="H37" s="29" t="n">
        <v>26</v>
      </c>
      <c r="I37" s="29" t="n">
        <v>33</v>
      </c>
      <c r="J37" s="29" t="n">
        <v>20</v>
      </c>
      <c r="K37" s="26" t="n">
        <v>32</v>
      </c>
      <c r="L37" s="27" t="n">
        <v>0</v>
      </c>
      <c r="M37" s="28" t="inlineStr">
        <is>
          <t>← formula</t>
        </is>
      </c>
      <c r="N37" s="28" t="inlineStr">
        <is>
          <t>← formula</t>
        </is>
      </c>
      <c r="O37" s="28" t="inlineStr">
        <is>
          <t>← formula</t>
        </is>
      </c>
      <c r="P37" s="28" t="inlineStr">
        <is>
          <t>← formula</t>
        </is>
      </c>
      <c r="Q37" s="28" t="inlineStr">
        <is>
          <t>← formula</t>
        </is>
      </c>
      <c r="R37" s="28" t="inlineStr">
        <is>
          <t>← formula</t>
        </is>
      </c>
      <c r="S37" s="28" t="inlineStr">
        <is>
          <t>← formula</t>
        </is>
      </c>
      <c r="T37" s="28" t="inlineStr">
        <is>
          <t>← formula</t>
        </is>
      </c>
    </row>
    <row r="38" ht="17" customHeight="1">
      <c r="A38" s="25" t="inlineStr">
        <is>
          <t>ML033</t>
        </is>
      </c>
      <c r="B38" s="25" t="n">
        <v>17</v>
      </c>
      <c r="C38" s="25" t="inlineStr">
        <is>
          <t>M</t>
        </is>
      </c>
      <c r="D38" s="25" t="n">
        <v>10.7</v>
      </c>
      <c r="E38" s="25" t="n">
        <v>0</v>
      </c>
      <c r="F38" s="25" t="n">
        <v>0</v>
      </c>
      <c r="G38" s="25" t="n">
        <v>56</v>
      </c>
      <c r="H38" s="25" t="n">
        <v>30</v>
      </c>
      <c r="I38" s="25" t="n">
        <v>34</v>
      </c>
      <c r="J38" s="25" t="n">
        <v>35</v>
      </c>
      <c r="K38" s="26" t="n">
        <v>43</v>
      </c>
      <c r="L38" s="27" t="n">
        <v>0</v>
      </c>
      <c r="M38" s="28" t="inlineStr">
        <is>
          <t>← formula</t>
        </is>
      </c>
      <c r="N38" s="28" t="inlineStr">
        <is>
          <t>← formula</t>
        </is>
      </c>
      <c r="O38" s="28" t="inlineStr">
        <is>
          <t>← formula</t>
        </is>
      </c>
      <c r="P38" s="28" t="inlineStr">
        <is>
          <t>← formula</t>
        </is>
      </c>
      <c r="Q38" s="28" t="inlineStr">
        <is>
          <t>← formula</t>
        </is>
      </c>
      <c r="R38" s="28" t="inlineStr">
        <is>
          <t>← formula</t>
        </is>
      </c>
      <c r="S38" s="28" t="inlineStr">
        <is>
          <t>← formula</t>
        </is>
      </c>
      <c r="T38" s="28" t="inlineStr">
        <is>
          <t>← formula</t>
        </is>
      </c>
    </row>
    <row r="39" ht="17" customHeight="1">
      <c r="A39" s="29" t="inlineStr">
        <is>
          <t>ML034</t>
        </is>
      </c>
      <c r="B39" s="29" t="n">
        <v>16</v>
      </c>
      <c r="C39" s="29" t="inlineStr">
        <is>
          <t>F</t>
        </is>
      </c>
      <c r="D39" s="29" t="n">
        <v>24.7</v>
      </c>
      <c r="E39" s="29" t="n">
        <v>2</v>
      </c>
      <c r="F39" s="29" t="n">
        <v>0</v>
      </c>
      <c r="G39" s="29" t="n">
        <v>66</v>
      </c>
      <c r="H39" s="29" t="n">
        <v>65</v>
      </c>
      <c r="I39" s="29" t="n">
        <v>58</v>
      </c>
      <c r="J39" s="29" t="n">
        <v>51</v>
      </c>
      <c r="K39" s="30" t="n">
        <v>50</v>
      </c>
      <c r="L39" s="31" t="n">
        <v>1</v>
      </c>
      <c r="M39" s="28" t="inlineStr">
        <is>
          <t>← formula</t>
        </is>
      </c>
      <c r="N39" s="28" t="inlineStr">
        <is>
          <t>← formula</t>
        </is>
      </c>
      <c r="O39" s="28" t="inlineStr">
        <is>
          <t>← formula</t>
        </is>
      </c>
      <c r="P39" s="28" t="inlineStr">
        <is>
          <t>← formula</t>
        </is>
      </c>
      <c r="Q39" s="28" t="inlineStr">
        <is>
          <t>← formula</t>
        </is>
      </c>
      <c r="R39" s="28" t="inlineStr">
        <is>
          <t>← formula</t>
        </is>
      </c>
      <c r="S39" s="28" t="inlineStr">
        <is>
          <t>← formula</t>
        </is>
      </c>
      <c r="T39" s="28" t="inlineStr">
        <is>
          <t>← formula</t>
        </is>
      </c>
    </row>
    <row r="40" ht="17" customHeight="1">
      <c r="A40" s="25" t="inlineStr">
        <is>
          <t>ML035</t>
        </is>
      </c>
      <c r="B40" s="25" t="n">
        <v>18</v>
      </c>
      <c r="C40" s="25" t="inlineStr">
        <is>
          <t>M</t>
        </is>
      </c>
      <c r="D40" s="25" t="n">
        <v>2.1</v>
      </c>
      <c r="E40" s="25" t="n">
        <v>2</v>
      </c>
      <c r="F40" s="25" t="n">
        <v>0</v>
      </c>
      <c r="G40" s="25" t="n">
        <v>99</v>
      </c>
      <c r="H40" s="25" t="n">
        <v>20</v>
      </c>
      <c r="I40" s="25" t="n">
        <v>20</v>
      </c>
      <c r="J40" s="25" t="n">
        <v>26</v>
      </c>
      <c r="K40" s="26" t="n">
        <v>27</v>
      </c>
      <c r="L40" s="27" t="n">
        <v>0</v>
      </c>
      <c r="M40" s="28" t="inlineStr">
        <is>
          <t>← formula</t>
        </is>
      </c>
      <c r="N40" s="28" t="inlineStr">
        <is>
          <t>← formula</t>
        </is>
      </c>
      <c r="O40" s="28" t="inlineStr">
        <is>
          <t>← formula</t>
        </is>
      </c>
      <c r="P40" s="28" t="inlineStr">
        <is>
          <t>← formula</t>
        </is>
      </c>
      <c r="Q40" s="28" t="inlineStr">
        <is>
          <t>← formula</t>
        </is>
      </c>
      <c r="R40" s="28" t="inlineStr">
        <is>
          <t>← formula</t>
        </is>
      </c>
      <c r="S40" s="28" t="inlineStr">
        <is>
          <t>← formula</t>
        </is>
      </c>
      <c r="T40" s="28" t="inlineStr">
        <is>
          <t>← formula</t>
        </is>
      </c>
    </row>
    <row r="41" ht="17" customHeight="1">
      <c r="A41" s="29" t="inlineStr">
        <is>
          <t>ML036</t>
        </is>
      </c>
      <c r="B41" s="29" t="n">
        <v>18</v>
      </c>
      <c r="C41" s="29" t="inlineStr">
        <is>
          <t>F</t>
        </is>
      </c>
      <c r="D41" s="29" t="n">
        <v>5.7</v>
      </c>
      <c r="E41" s="29" t="n">
        <v>4</v>
      </c>
      <c r="F41" s="29" t="n">
        <v>0</v>
      </c>
      <c r="G41" s="29" t="n">
        <v>94</v>
      </c>
      <c r="H41" s="29" t="n">
        <v>20</v>
      </c>
      <c r="I41" s="29" t="n">
        <v>23</v>
      </c>
      <c r="J41" s="29" t="n">
        <v>20</v>
      </c>
      <c r="K41" s="26" t="n">
        <v>23</v>
      </c>
      <c r="L41" s="27" t="n">
        <v>0</v>
      </c>
      <c r="M41" s="28" t="inlineStr">
        <is>
          <t>← formula</t>
        </is>
      </c>
      <c r="N41" s="28" t="inlineStr">
        <is>
          <t>← formula</t>
        </is>
      </c>
      <c r="O41" s="28" t="inlineStr">
        <is>
          <t>← formula</t>
        </is>
      </c>
      <c r="P41" s="28" t="inlineStr">
        <is>
          <t>← formula</t>
        </is>
      </c>
      <c r="Q41" s="28" t="inlineStr">
        <is>
          <t>← formula</t>
        </is>
      </c>
      <c r="R41" s="28" t="inlineStr">
        <is>
          <t>← formula</t>
        </is>
      </c>
      <c r="S41" s="28" t="inlineStr">
        <is>
          <t>← formula</t>
        </is>
      </c>
      <c r="T41" s="28" t="inlineStr">
        <is>
          <t>← formula</t>
        </is>
      </c>
    </row>
    <row r="42" ht="17" customHeight="1">
      <c r="A42" s="25" t="inlineStr">
        <is>
          <t>ML037</t>
        </is>
      </c>
      <c r="B42" s="25" t="n">
        <v>16</v>
      </c>
      <c r="C42" s="25" t="inlineStr">
        <is>
          <t>M</t>
        </is>
      </c>
      <c r="D42" s="25" t="n">
        <v>14</v>
      </c>
      <c r="E42" s="25" t="n">
        <v>0</v>
      </c>
      <c r="F42" s="25" t="n">
        <v>1</v>
      </c>
      <c r="G42" s="25" t="n">
        <v>100</v>
      </c>
      <c r="H42" s="25" t="n">
        <v>23</v>
      </c>
      <c r="I42" s="25" t="n">
        <v>20</v>
      </c>
      <c r="J42" s="25" t="n">
        <v>20</v>
      </c>
      <c r="K42" s="26" t="n">
        <v>20</v>
      </c>
      <c r="L42" s="27" t="n">
        <v>0</v>
      </c>
      <c r="M42" s="28" t="inlineStr">
        <is>
          <t>← formula</t>
        </is>
      </c>
      <c r="N42" s="28" t="inlineStr">
        <is>
          <t>← formula</t>
        </is>
      </c>
      <c r="O42" s="28" t="inlineStr">
        <is>
          <t>← formula</t>
        </is>
      </c>
      <c r="P42" s="28" t="inlineStr">
        <is>
          <t>← formula</t>
        </is>
      </c>
      <c r="Q42" s="28" t="inlineStr">
        <is>
          <t>← formula</t>
        </is>
      </c>
      <c r="R42" s="28" t="inlineStr">
        <is>
          <t>← formula</t>
        </is>
      </c>
      <c r="S42" s="28" t="inlineStr">
        <is>
          <t>← formula</t>
        </is>
      </c>
      <c r="T42" s="28" t="inlineStr">
        <is>
          <t>← formula</t>
        </is>
      </c>
    </row>
    <row r="43" ht="17" customHeight="1">
      <c r="A43" s="29" t="inlineStr">
        <is>
          <t>ML038</t>
        </is>
      </c>
      <c r="B43" s="29" t="n">
        <v>17</v>
      </c>
      <c r="C43" s="29" t="inlineStr">
        <is>
          <t>F</t>
        </is>
      </c>
      <c r="D43" s="29" t="n">
        <v>34.1</v>
      </c>
      <c r="E43" s="29" t="n">
        <v>4</v>
      </c>
      <c r="F43" s="29" t="n">
        <v>1</v>
      </c>
      <c r="G43" s="29" t="n">
        <v>97</v>
      </c>
      <c r="H43" s="29" t="n">
        <v>66</v>
      </c>
      <c r="I43" s="29" t="n">
        <v>64</v>
      </c>
      <c r="J43" s="29" t="n">
        <v>64</v>
      </c>
      <c r="K43" s="30" t="n">
        <v>70</v>
      </c>
      <c r="L43" s="31" t="n">
        <v>1</v>
      </c>
      <c r="M43" s="28" t="inlineStr">
        <is>
          <t>← formula</t>
        </is>
      </c>
      <c r="N43" s="28" t="inlineStr">
        <is>
          <t>← formula</t>
        </is>
      </c>
      <c r="O43" s="28" t="inlineStr">
        <is>
          <t>← formula</t>
        </is>
      </c>
      <c r="P43" s="28" t="inlineStr">
        <is>
          <t>← formula</t>
        </is>
      </c>
      <c r="Q43" s="28" t="inlineStr">
        <is>
          <t>← formula</t>
        </is>
      </c>
      <c r="R43" s="28" t="inlineStr">
        <is>
          <t>← formula</t>
        </is>
      </c>
      <c r="S43" s="28" t="inlineStr">
        <is>
          <t>← formula</t>
        </is>
      </c>
      <c r="T43" s="28" t="inlineStr">
        <is>
          <t>← formula</t>
        </is>
      </c>
    </row>
    <row r="44" ht="17" customHeight="1">
      <c r="A44" s="25" t="inlineStr">
        <is>
          <t>ML039</t>
        </is>
      </c>
      <c r="B44" s="25" t="n">
        <v>15</v>
      </c>
      <c r="C44" s="25" t="inlineStr">
        <is>
          <t>M</t>
        </is>
      </c>
      <c r="D44" s="25" t="n">
        <v>32.5</v>
      </c>
      <c r="E44" s="25" t="n">
        <v>1</v>
      </c>
      <c r="F44" s="25" t="n">
        <v>2</v>
      </c>
      <c r="G44" s="25" t="n">
        <v>100</v>
      </c>
      <c r="H44" s="25" t="n">
        <v>71</v>
      </c>
      <c r="I44" s="25" t="n">
        <v>72</v>
      </c>
      <c r="J44" s="25" t="n">
        <v>69</v>
      </c>
      <c r="K44" s="30" t="n">
        <v>65</v>
      </c>
      <c r="L44" s="31" t="n">
        <v>1</v>
      </c>
      <c r="M44" s="28" t="inlineStr">
        <is>
          <t>← formula</t>
        </is>
      </c>
      <c r="N44" s="28" t="inlineStr">
        <is>
          <t>← formula</t>
        </is>
      </c>
      <c r="O44" s="28" t="inlineStr">
        <is>
          <t>← formula</t>
        </is>
      </c>
      <c r="P44" s="28" t="inlineStr">
        <is>
          <t>← formula</t>
        </is>
      </c>
      <c r="Q44" s="28" t="inlineStr">
        <is>
          <t>← formula</t>
        </is>
      </c>
      <c r="R44" s="28" t="inlineStr">
        <is>
          <t>← formula</t>
        </is>
      </c>
      <c r="S44" s="28" t="inlineStr">
        <is>
          <t>← formula</t>
        </is>
      </c>
      <c r="T44" s="28" t="inlineStr">
        <is>
          <t>← formula</t>
        </is>
      </c>
    </row>
    <row r="45" ht="17" customHeight="1">
      <c r="A45" s="29" t="inlineStr">
        <is>
          <t>ML040</t>
        </is>
      </c>
      <c r="B45" s="29" t="n">
        <v>18</v>
      </c>
      <c r="C45" s="29" t="inlineStr">
        <is>
          <t>F</t>
        </is>
      </c>
      <c r="D45" s="29" t="n">
        <v>9.300000000000001</v>
      </c>
      <c r="E45" s="29" t="n">
        <v>0</v>
      </c>
      <c r="F45" s="29" t="n">
        <v>1</v>
      </c>
      <c r="G45" s="29" t="n">
        <v>79</v>
      </c>
      <c r="H45" s="29" t="n">
        <v>21</v>
      </c>
      <c r="I45" s="29" t="n">
        <v>20</v>
      </c>
      <c r="J45" s="29" t="n">
        <v>20</v>
      </c>
      <c r="K45" s="26" t="n">
        <v>20</v>
      </c>
      <c r="L45" s="27" t="n">
        <v>0</v>
      </c>
      <c r="M45" s="28" t="inlineStr">
        <is>
          <t>← formula</t>
        </is>
      </c>
      <c r="N45" s="28" t="inlineStr">
        <is>
          <t>← formula</t>
        </is>
      </c>
      <c r="O45" s="28" t="inlineStr">
        <is>
          <t>← formula</t>
        </is>
      </c>
      <c r="P45" s="28" t="inlineStr">
        <is>
          <t>← formula</t>
        </is>
      </c>
      <c r="Q45" s="28" t="inlineStr">
        <is>
          <t>← formula</t>
        </is>
      </c>
      <c r="R45" s="28" t="inlineStr">
        <is>
          <t>← formula</t>
        </is>
      </c>
      <c r="S45" s="28" t="inlineStr">
        <is>
          <t>← formula</t>
        </is>
      </c>
      <c r="T45" s="28" t="inlineStr">
        <is>
          <t>← formula</t>
        </is>
      </c>
    </row>
    <row r="47" ht="8" customHeight="1"/>
    <row r="48" ht="22" customHeight="1">
      <c r="V48" s="33" t="inlineStr">
        <is>
          <t>📊  TASK 5 — DESCRIPTIVE STATISTICS  (fill in every yellow cell)</t>
        </is>
      </c>
    </row>
    <row r="49" ht="18" customHeight="1">
      <c r="V49" s="34" t="inlineStr">
        <is>
          <t>Statistic</t>
        </is>
      </c>
      <c r="W49" s="34" t="inlineStr">
        <is>
          <t>StudyHrs (D)</t>
        </is>
      </c>
      <c r="X49" s="34" t="inlineStr">
        <is>
          <t>AttendPct (G)</t>
        </is>
      </c>
      <c r="Y49" s="34" t="inlineStr">
        <is>
          <t>Quiz1 (H)</t>
        </is>
      </c>
      <c r="Z49" s="34" t="inlineStr">
        <is>
          <t>FinalExam (K)</t>
        </is>
      </c>
    </row>
    <row r="50" ht="18" customHeight="1">
      <c r="V50" s="35" t="inlineStr">
        <is>
          <t>Mean</t>
        </is>
      </c>
      <c r="W50" s="28" t="inlineStr">
        <is>
          <t>← write formula here</t>
        </is>
      </c>
      <c r="X50" s="28" t="inlineStr">
        <is>
          <t>← write formula here</t>
        </is>
      </c>
      <c r="Y50" s="28" t="inlineStr">
        <is>
          <t>← write formula here</t>
        </is>
      </c>
      <c r="Z50" s="28" t="inlineStr">
        <is>
          <t>← write formula here</t>
        </is>
      </c>
    </row>
    <row r="51" ht="18" customHeight="1">
      <c r="V51" s="35" t="inlineStr">
        <is>
          <t>Median</t>
        </is>
      </c>
      <c r="W51" s="28" t="inlineStr">
        <is>
          <t>← write formula here</t>
        </is>
      </c>
      <c r="X51" s="28" t="inlineStr">
        <is>
          <t>← write formula here</t>
        </is>
      </c>
      <c r="Y51" s="28" t="inlineStr">
        <is>
          <t>← write formula here</t>
        </is>
      </c>
      <c r="Z51" s="28" t="inlineStr">
        <is>
          <t>← write formula here</t>
        </is>
      </c>
    </row>
    <row r="52" ht="18" customHeight="1">
      <c r="V52" s="35" t="inlineStr">
        <is>
          <t>Std Dev</t>
        </is>
      </c>
      <c r="W52" s="28" t="inlineStr">
        <is>
          <t>← write formula here</t>
        </is>
      </c>
      <c r="X52" s="28" t="inlineStr">
        <is>
          <t>← write formula here</t>
        </is>
      </c>
      <c r="Y52" s="28" t="inlineStr">
        <is>
          <t>← write formula here</t>
        </is>
      </c>
      <c r="Z52" s="28" t="inlineStr">
        <is>
          <t>← write formula here</t>
        </is>
      </c>
    </row>
    <row r="53" ht="18" customHeight="1">
      <c r="V53" s="35" t="inlineStr">
        <is>
          <t>Variance</t>
        </is>
      </c>
      <c r="W53" s="28" t="inlineStr">
        <is>
          <t>← write formula here</t>
        </is>
      </c>
      <c r="X53" s="28" t="inlineStr">
        <is>
          <t>← write formula here</t>
        </is>
      </c>
      <c r="Y53" s="28" t="inlineStr">
        <is>
          <t>← write formula here</t>
        </is>
      </c>
      <c r="Z53" s="28" t="inlineStr">
        <is>
          <t>← write formula here</t>
        </is>
      </c>
    </row>
    <row r="54" ht="18" customHeight="1">
      <c r="V54" s="35" t="inlineStr">
        <is>
          <t>Min</t>
        </is>
      </c>
      <c r="W54" s="28" t="inlineStr">
        <is>
          <t>← write formula here</t>
        </is>
      </c>
      <c r="X54" s="28" t="inlineStr">
        <is>
          <t>← write formula here</t>
        </is>
      </c>
      <c r="Y54" s="28" t="inlineStr">
        <is>
          <t>← write formula here</t>
        </is>
      </c>
      <c r="Z54" s="28" t="inlineStr">
        <is>
          <t>← write formula here</t>
        </is>
      </c>
    </row>
    <row r="55" ht="18" customHeight="1">
      <c r="V55" s="35" t="inlineStr">
        <is>
          <t>Max</t>
        </is>
      </c>
      <c r="W55" s="28" t="inlineStr">
        <is>
          <t>← write formula here</t>
        </is>
      </c>
      <c r="X55" s="28" t="inlineStr">
        <is>
          <t>← write formula here</t>
        </is>
      </c>
      <c r="Y55" s="28" t="inlineStr">
        <is>
          <t>← write formula here</t>
        </is>
      </c>
      <c r="Z55" s="28" t="inlineStr">
        <is>
          <t>← write formula here</t>
        </is>
      </c>
    </row>
    <row r="56" ht="18" customHeight="1">
      <c r="V56" s="35" t="inlineStr">
        <is>
          <t>Skewness</t>
        </is>
      </c>
      <c r="W56" s="28" t="inlineStr">
        <is>
          <t>← write formula here</t>
        </is>
      </c>
      <c r="X56" s="28" t="inlineStr">
        <is>
          <t>← write formula here</t>
        </is>
      </c>
      <c r="Y56" s="28" t="inlineStr">
        <is>
          <t>← write formula here</t>
        </is>
      </c>
      <c r="Z56" s="28" t="inlineStr">
        <is>
          <t>← write formula here</t>
        </is>
      </c>
    </row>
    <row r="57" ht="18" customHeight="1">
      <c r="V57" s="35" t="inlineStr">
        <is>
          <t>Kurtosis</t>
        </is>
      </c>
      <c r="W57" s="28" t="inlineStr">
        <is>
          <t>← write formula here</t>
        </is>
      </c>
      <c r="X57" s="28" t="inlineStr">
        <is>
          <t>← write formula here</t>
        </is>
      </c>
      <c r="Y57" s="28" t="inlineStr">
        <is>
          <t>← write formula here</t>
        </is>
      </c>
      <c r="Z57" s="28" t="inlineStr">
        <is>
          <t>← write formula here</t>
        </is>
      </c>
    </row>
    <row r="58" ht="18" customHeight="1">
      <c r="V58" s="35" t="inlineStr">
        <is>
          <t>25th Pctile</t>
        </is>
      </c>
      <c r="W58" s="28" t="inlineStr">
        <is>
          <t>← write formula here</t>
        </is>
      </c>
      <c r="X58" s="28" t="inlineStr">
        <is>
          <t>← write formula here</t>
        </is>
      </c>
      <c r="Y58" s="28" t="inlineStr">
        <is>
          <t>← write formula here</t>
        </is>
      </c>
      <c r="Z58" s="28" t="inlineStr">
        <is>
          <t>← write formula here</t>
        </is>
      </c>
    </row>
    <row r="59" ht="18" customHeight="1">
      <c r="V59" s="35" t="inlineStr">
        <is>
          <t>75th Pctile</t>
        </is>
      </c>
      <c r="W59" s="28" t="inlineStr">
        <is>
          <t>← write formula here</t>
        </is>
      </c>
      <c r="X59" s="28" t="inlineStr">
        <is>
          <t>← write formula here</t>
        </is>
      </c>
      <c r="Y59" s="28" t="inlineStr">
        <is>
          <t>← write formula here</t>
        </is>
      </c>
      <c r="Z59" s="28" t="inlineStr">
        <is>
          <t>← write formula here</t>
        </is>
      </c>
    </row>
    <row r="60" ht="18" customHeight="1">
      <c r="V60" s="35" t="inlineStr">
        <is>
          <t>IQR</t>
        </is>
      </c>
      <c r="W60" s="28" t="inlineStr">
        <is>
          <t>← write formula here</t>
        </is>
      </c>
      <c r="X60" s="28" t="inlineStr">
        <is>
          <t>← write formula here</t>
        </is>
      </c>
      <c r="Y60" s="28" t="inlineStr">
        <is>
          <t>← write formula here</t>
        </is>
      </c>
      <c r="Z60" s="28" t="inlineStr">
        <is>
          <t>← write formula here</t>
        </is>
      </c>
    </row>
    <row r="63" ht="22" customHeight="1">
      <c r="V63" s="36" t="inlineStr">
        <is>
          <t>🔗  TASK 6 — PEARSON CORRELATION MATRIX  (use =CORREL() for each non-diagonal cell)</t>
        </is>
      </c>
    </row>
    <row r="64" ht="18" customHeight="1">
      <c r="V64" s="37" t="inlineStr">
        <is>
          <t>vs →</t>
        </is>
      </c>
      <c r="W64" s="37" t="inlineStr">
        <is>
          <t>StudyHrs</t>
        </is>
      </c>
      <c r="X64" s="37" t="inlineStr">
        <is>
          <t>AttendPct</t>
        </is>
      </c>
      <c r="Y64" s="37" t="inlineStr">
        <is>
          <t>Quiz1</t>
        </is>
      </c>
      <c r="Z64" s="37" t="inlineStr">
        <is>
          <t>Quiz2</t>
        </is>
      </c>
      <c r="AA64" s="37" t="inlineStr">
        <is>
          <t>FinalExam</t>
        </is>
      </c>
    </row>
    <row r="65" ht="18" customHeight="1">
      <c r="V65" s="38" t="inlineStr">
        <is>
          <t>StudyHrs</t>
        </is>
      </c>
      <c r="W65" s="27" t="n">
        <v>1</v>
      </c>
      <c r="X65" s="28">
        <f>CORREL()</f>
        <v/>
      </c>
      <c r="Y65" s="28">
        <f>CORREL()</f>
        <v/>
      </c>
      <c r="Z65" s="28">
        <f>CORREL()</f>
        <v/>
      </c>
      <c r="AA65" s="28">
        <f>CORREL()</f>
        <v/>
      </c>
    </row>
    <row r="66" ht="18" customHeight="1">
      <c r="V66" s="38" t="inlineStr">
        <is>
          <t>AttendPct</t>
        </is>
      </c>
      <c r="W66" s="28">
        <f>CORREL()</f>
        <v/>
      </c>
      <c r="X66" s="27" t="n">
        <v>1</v>
      </c>
      <c r="Y66" s="28">
        <f>CORREL()</f>
        <v/>
      </c>
      <c r="Z66" s="28">
        <f>CORREL()</f>
        <v/>
      </c>
      <c r="AA66" s="28">
        <f>CORREL()</f>
        <v/>
      </c>
    </row>
    <row r="67" ht="18" customHeight="1">
      <c r="V67" s="38" t="inlineStr">
        <is>
          <t>Quiz1</t>
        </is>
      </c>
      <c r="W67" s="28">
        <f>CORREL()</f>
        <v/>
      </c>
      <c r="X67" s="28">
        <f>CORREL()</f>
        <v/>
      </c>
      <c r="Y67" s="27" t="n">
        <v>1</v>
      </c>
      <c r="Z67" s="28">
        <f>CORREL()</f>
        <v/>
      </c>
      <c r="AA67" s="28">
        <f>CORREL()</f>
        <v/>
      </c>
    </row>
    <row r="68" ht="18" customHeight="1">
      <c r="V68" s="38" t="inlineStr">
        <is>
          <t>Quiz2</t>
        </is>
      </c>
      <c r="W68" s="28">
        <f>CORREL()</f>
        <v/>
      </c>
      <c r="X68" s="28">
        <f>CORREL()</f>
        <v/>
      </c>
      <c r="Y68" s="28">
        <f>CORREL()</f>
        <v/>
      </c>
      <c r="Z68" s="27" t="n">
        <v>1</v>
      </c>
      <c r="AA68" s="28">
        <f>CORREL()</f>
        <v/>
      </c>
    </row>
    <row r="69" ht="18" customHeight="1">
      <c r="V69" s="38" t="inlineStr">
        <is>
          <t>FinalExam</t>
        </is>
      </c>
      <c r="W69" s="28">
        <f>CORREL()</f>
        <v/>
      </c>
      <c r="X69" s="28">
        <f>CORREL()</f>
        <v/>
      </c>
      <c r="Y69" s="28">
        <f>CORREL()</f>
        <v/>
      </c>
      <c r="Z69" s="28">
        <f>CORREL()</f>
        <v/>
      </c>
      <c r="AA69" s="27" t="n">
        <v>1</v>
      </c>
    </row>
  </sheetData>
  <mergeCells count="4">
    <mergeCell ref="A1:T1"/>
    <mergeCell ref="V48:AA48"/>
    <mergeCell ref="V63:AA6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1" zoomScale="10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28" customHeight="1">
      <c r="A1" s="39" t="inlineStr">
        <is>
          <t>🎯  TASK 9 — Confusion Matrix &amp; ML Evaluation Metrics</t>
        </is>
      </c>
    </row>
    <row r="2" ht="18" customHeight="1">
      <c r="A2" s="40" t="inlineStr">
        <is>
          <t>A simple model predicted PASS / FAIL for 20 students.  Fill in TP, FP, TN, FN columns then calculate ALL 5 metrics.</t>
        </is>
      </c>
    </row>
    <row r="3" ht="8" customHeight="1"/>
    <row r="4" ht="22" customHeight="1">
      <c r="A4" s="18" t="inlineStr">
        <is>
          <t>Student</t>
        </is>
      </c>
      <c r="B4" s="18" t="inlineStr">
        <is>
          <t>Actual</t>
        </is>
      </c>
      <c r="C4" s="18" t="inlineStr">
        <is>
          <t>Predicted</t>
        </is>
      </c>
      <c r="D4" s="18" t="inlineStr">
        <is>
          <t>TP</t>
        </is>
      </c>
      <c r="E4" s="18" t="inlineStr">
        <is>
          <t>FP</t>
        </is>
      </c>
      <c r="F4" s="18" t="inlineStr">
        <is>
          <t>TN</t>
        </is>
      </c>
      <c r="G4" s="18" t="inlineStr">
        <is>
          <t>FN</t>
        </is>
      </c>
      <c r="H4" s="18" t="inlineStr">
        <is>
          <t>Correct?</t>
        </is>
      </c>
    </row>
    <row r="5" ht="18" customHeight="1">
      <c r="A5" s="41" t="inlineStr">
        <is>
          <t>Student 01</t>
        </is>
      </c>
      <c r="B5" s="42" t="n">
        <v>1</v>
      </c>
      <c r="C5" s="42" t="n">
        <v>1</v>
      </c>
      <c r="D5" s="43" t="inlineStr">
        <is>
          <t>← formula</t>
        </is>
      </c>
      <c r="E5" s="43" t="inlineStr">
        <is>
          <t>← formula</t>
        </is>
      </c>
      <c r="F5" s="43" t="inlineStr">
        <is>
          <t>← formula</t>
        </is>
      </c>
      <c r="G5" s="43" t="inlineStr">
        <is>
          <t>← formula</t>
        </is>
      </c>
      <c r="H5" s="44">
        <f>IF(B5=C5,"✓","✗")</f>
        <v/>
      </c>
    </row>
    <row r="6" ht="18" customHeight="1">
      <c r="A6" s="45" t="inlineStr">
        <is>
          <t>Student 02</t>
        </is>
      </c>
      <c r="B6" s="42" t="n">
        <v>1</v>
      </c>
      <c r="C6" s="42" t="n">
        <v>1</v>
      </c>
      <c r="D6" s="43" t="inlineStr">
        <is>
          <t>← formula</t>
        </is>
      </c>
      <c r="E6" s="43" t="inlineStr">
        <is>
          <t>← formula</t>
        </is>
      </c>
      <c r="F6" s="43" t="inlineStr">
        <is>
          <t>← formula</t>
        </is>
      </c>
      <c r="G6" s="43" t="inlineStr">
        <is>
          <t>← formula</t>
        </is>
      </c>
      <c r="H6" s="46">
        <f>IF(B6=C6,"✓","✗")</f>
        <v/>
      </c>
    </row>
    <row r="7" ht="18" customHeight="1">
      <c r="A7" s="41" t="inlineStr">
        <is>
          <t>Student 03</t>
        </is>
      </c>
      <c r="B7" s="42" t="n">
        <v>1</v>
      </c>
      <c r="C7" s="42" t="n">
        <v>1</v>
      </c>
      <c r="D7" s="43" t="inlineStr">
        <is>
          <t>← formula</t>
        </is>
      </c>
      <c r="E7" s="43" t="inlineStr">
        <is>
          <t>← formula</t>
        </is>
      </c>
      <c r="F7" s="43" t="inlineStr">
        <is>
          <t>← formula</t>
        </is>
      </c>
      <c r="G7" s="43" t="inlineStr">
        <is>
          <t>← formula</t>
        </is>
      </c>
      <c r="H7" s="44">
        <f>IF(B7=C7,"✓","✗")</f>
        <v/>
      </c>
    </row>
    <row r="8" ht="18" customHeight="1">
      <c r="A8" s="45" t="inlineStr">
        <is>
          <t>Student 04</t>
        </is>
      </c>
      <c r="B8" s="42" t="n">
        <v>1</v>
      </c>
      <c r="C8" s="42" t="n">
        <v>1</v>
      </c>
      <c r="D8" s="43" t="inlineStr">
        <is>
          <t>← formula</t>
        </is>
      </c>
      <c r="E8" s="43" t="inlineStr">
        <is>
          <t>← formula</t>
        </is>
      </c>
      <c r="F8" s="43" t="inlineStr">
        <is>
          <t>← formula</t>
        </is>
      </c>
      <c r="G8" s="43" t="inlineStr">
        <is>
          <t>← formula</t>
        </is>
      </c>
      <c r="H8" s="46">
        <f>IF(B8=C8,"✓","✗")</f>
        <v/>
      </c>
    </row>
    <row r="9" ht="18" customHeight="1">
      <c r="A9" s="41" t="inlineStr">
        <is>
          <t>Student 05</t>
        </is>
      </c>
      <c r="B9" s="42" t="n">
        <v>1</v>
      </c>
      <c r="C9" s="42" t="n">
        <v>1</v>
      </c>
      <c r="D9" s="43" t="inlineStr">
        <is>
          <t>← formula</t>
        </is>
      </c>
      <c r="E9" s="43" t="inlineStr">
        <is>
          <t>← formula</t>
        </is>
      </c>
      <c r="F9" s="43" t="inlineStr">
        <is>
          <t>← formula</t>
        </is>
      </c>
      <c r="G9" s="43" t="inlineStr">
        <is>
          <t>← formula</t>
        </is>
      </c>
      <c r="H9" s="44">
        <f>IF(B9=C9,"✓","✗")</f>
        <v/>
      </c>
    </row>
    <row r="10" ht="18" customHeight="1">
      <c r="A10" s="45" t="inlineStr">
        <is>
          <t>Student 06</t>
        </is>
      </c>
      <c r="B10" s="42" t="n">
        <v>1</v>
      </c>
      <c r="C10" s="47" t="n">
        <v>0</v>
      </c>
      <c r="D10" s="43" t="inlineStr">
        <is>
          <t>← formula</t>
        </is>
      </c>
      <c r="E10" s="43" t="inlineStr">
        <is>
          <t>← formula</t>
        </is>
      </c>
      <c r="F10" s="43" t="inlineStr">
        <is>
          <t>← formula</t>
        </is>
      </c>
      <c r="G10" s="43" t="inlineStr">
        <is>
          <t>← formula</t>
        </is>
      </c>
      <c r="H10" s="46">
        <f>IF(B10=C10,"✓","✗")</f>
        <v/>
      </c>
    </row>
    <row r="11" ht="18" customHeight="1">
      <c r="A11" s="41" t="inlineStr">
        <is>
          <t>Student 07</t>
        </is>
      </c>
      <c r="B11" s="42" t="n">
        <v>1</v>
      </c>
      <c r="C11" s="47" t="n">
        <v>0</v>
      </c>
      <c r="D11" s="43" t="inlineStr">
        <is>
          <t>← formula</t>
        </is>
      </c>
      <c r="E11" s="43" t="inlineStr">
        <is>
          <t>← formula</t>
        </is>
      </c>
      <c r="F11" s="43" t="inlineStr">
        <is>
          <t>← formula</t>
        </is>
      </c>
      <c r="G11" s="43" t="inlineStr">
        <is>
          <t>← formula</t>
        </is>
      </c>
      <c r="H11" s="44">
        <f>IF(B11=C11,"✓","✗")</f>
        <v/>
      </c>
    </row>
    <row r="12" ht="18" customHeight="1">
      <c r="A12" s="45" t="inlineStr">
        <is>
          <t>Student 08</t>
        </is>
      </c>
      <c r="B12" s="42" t="n">
        <v>1</v>
      </c>
      <c r="C12" s="42" t="n">
        <v>1</v>
      </c>
      <c r="D12" s="43" t="inlineStr">
        <is>
          <t>← formula</t>
        </is>
      </c>
      <c r="E12" s="43" t="inlineStr">
        <is>
          <t>← formula</t>
        </is>
      </c>
      <c r="F12" s="43" t="inlineStr">
        <is>
          <t>← formula</t>
        </is>
      </c>
      <c r="G12" s="43" t="inlineStr">
        <is>
          <t>← formula</t>
        </is>
      </c>
      <c r="H12" s="46">
        <f>IF(B12=C12,"✓","✗")</f>
        <v/>
      </c>
    </row>
    <row r="13" ht="18" customHeight="1">
      <c r="A13" s="41" t="inlineStr">
        <is>
          <t>Student 09</t>
        </is>
      </c>
      <c r="B13" s="42" t="n">
        <v>1</v>
      </c>
      <c r="C13" s="42" t="n">
        <v>1</v>
      </c>
      <c r="D13" s="43" t="inlineStr">
        <is>
          <t>← formula</t>
        </is>
      </c>
      <c r="E13" s="43" t="inlineStr">
        <is>
          <t>← formula</t>
        </is>
      </c>
      <c r="F13" s="43" t="inlineStr">
        <is>
          <t>← formula</t>
        </is>
      </c>
      <c r="G13" s="43" t="inlineStr">
        <is>
          <t>← formula</t>
        </is>
      </c>
      <c r="H13" s="44">
        <f>IF(B13=C13,"✓","✗")</f>
        <v/>
      </c>
    </row>
    <row r="14" ht="18" customHeight="1">
      <c r="A14" s="45" t="inlineStr">
        <is>
          <t>Student 10</t>
        </is>
      </c>
      <c r="B14" s="42" t="n">
        <v>1</v>
      </c>
      <c r="C14" s="42" t="n">
        <v>1</v>
      </c>
      <c r="D14" s="43" t="inlineStr">
        <is>
          <t>← formula</t>
        </is>
      </c>
      <c r="E14" s="43" t="inlineStr">
        <is>
          <t>← formula</t>
        </is>
      </c>
      <c r="F14" s="43" t="inlineStr">
        <is>
          <t>← formula</t>
        </is>
      </c>
      <c r="G14" s="43" t="inlineStr">
        <is>
          <t>← formula</t>
        </is>
      </c>
      <c r="H14" s="46">
        <f>IF(B14=C14,"✓","✗")</f>
        <v/>
      </c>
    </row>
    <row r="15" ht="18" customHeight="1">
      <c r="A15" s="41" t="inlineStr">
        <is>
          <t>Student 11</t>
        </is>
      </c>
      <c r="B15" s="47" t="n">
        <v>0</v>
      </c>
      <c r="C15" s="47" t="n">
        <v>0</v>
      </c>
      <c r="D15" s="43" t="inlineStr">
        <is>
          <t>← formula</t>
        </is>
      </c>
      <c r="E15" s="43" t="inlineStr">
        <is>
          <t>← formula</t>
        </is>
      </c>
      <c r="F15" s="43" t="inlineStr">
        <is>
          <t>← formula</t>
        </is>
      </c>
      <c r="G15" s="43" t="inlineStr">
        <is>
          <t>← formula</t>
        </is>
      </c>
      <c r="H15" s="44">
        <f>IF(B15=C15,"✓","✗")</f>
        <v/>
      </c>
    </row>
    <row r="16" ht="18" customHeight="1">
      <c r="A16" s="45" t="inlineStr">
        <is>
          <t>Student 12</t>
        </is>
      </c>
      <c r="B16" s="47" t="n">
        <v>0</v>
      </c>
      <c r="C16" s="47" t="n">
        <v>0</v>
      </c>
      <c r="D16" s="43" t="inlineStr">
        <is>
          <t>← formula</t>
        </is>
      </c>
      <c r="E16" s="43" t="inlineStr">
        <is>
          <t>← formula</t>
        </is>
      </c>
      <c r="F16" s="43" t="inlineStr">
        <is>
          <t>← formula</t>
        </is>
      </c>
      <c r="G16" s="43" t="inlineStr">
        <is>
          <t>← formula</t>
        </is>
      </c>
      <c r="H16" s="46">
        <f>IF(B16=C16,"✓","✗")</f>
        <v/>
      </c>
    </row>
    <row r="17" ht="18" customHeight="1">
      <c r="A17" s="41" t="inlineStr">
        <is>
          <t>Student 13</t>
        </is>
      </c>
      <c r="B17" s="47" t="n">
        <v>0</v>
      </c>
      <c r="C17" s="47" t="n">
        <v>0</v>
      </c>
      <c r="D17" s="43" t="inlineStr">
        <is>
          <t>← formula</t>
        </is>
      </c>
      <c r="E17" s="43" t="inlineStr">
        <is>
          <t>← formula</t>
        </is>
      </c>
      <c r="F17" s="43" t="inlineStr">
        <is>
          <t>← formula</t>
        </is>
      </c>
      <c r="G17" s="43" t="inlineStr">
        <is>
          <t>← formula</t>
        </is>
      </c>
      <c r="H17" s="44">
        <f>IF(B17=C17,"✓","✗")</f>
        <v/>
      </c>
    </row>
    <row r="18" ht="18" customHeight="1">
      <c r="A18" s="45" t="inlineStr">
        <is>
          <t>Student 14</t>
        </is>
      </c>
      <c r="B18" s="47" t="n">
        <v>0</v>
      </c>
      <c r="C18" s="47" t="n">
        <v>0</v>
      </c>
      <c r="D18" s="43" t="inlineStr">
        <is>
          <t>← formula</t>
        </is>
      </c>
      <c r="E18" s="43" t="inlineStr">
        <is>
          <t>← formula</t>
        </is>
      </c>
      <c r="F18" s="43" t="inlineStr">
        <is>
          <t>← formula</t>
        </is>
      </c>
      <c r="G18" s="43" t="inlineStr">
        <is>
          <t>← formula</t>
        </is>
      </c>
      <c r="H18" s="46">
        <f>IF(B18=C18,"✓","✗")</f>
        <v/>
      </c>
    </row>
    <row r="19" ht="18" customHeight="1">
      <c r="A19" s="41" t="inlineStr">
        <is>
          <t>Student 15</t>
        </is>
      </c>
      <c r="B19" s="47" t="n">
        <v>0</v>
      </c>
      <c r="C19" s="42" t="n">
        <v>1</v>
      </c>
      <c r="D19" s="43" t="inlineStr">
        <is>
          <t>← formula</t>
        </is>
      </c>
      <c r="E19" s="43" t="inlineStr">
        <is>
          <t>← formula</t>
        </is>
      </c>
      <c r="F19" s="43" t="inlineStr">
        <is>
          <t>← formula</t>
        </is>
      </c>
      <c r="G19" s="43" t="inlineStr">
        <is>
          <t>← formula</t>
        </is>
      </c>
      <c r="H19" s="44">
        <f>IF(B19=C19,"✓","✗")</f>
        <v/>
      </c>
    </row>
    <row r="20" ht="18" customHeight="1">
      <c r="A20" s="45" t="inlineStr">
        <is>
          <t>Student 16</t>
        </is>
      </c>
      <c r="B20" s="47" t="n">
        <v>0</v>
      </c>
      <c r="C20" s="47" t="n">
        <v>0</v>
      </c>
      <c r="D20" s="43" t="inlineStr">
        <is>
          <t>← formula</t>
        </is>
      </c>
      <c r="E20" s="43" t="inlineStr">
        <is>
          <t>← formula</t>
        </is>
      </c>
      <c r="F20" s="43" t="inlineStr">
        <is>
          <t>← formula</t>
        </is>
      </c>
      <c r="G20" s="43" t="inlineStr">
        <is>
          <t>← formula</t>
        </is>
      </c>
      <c r="H20" s="46">
        <f>IF(B20=C20,"✓","✗")</f>
        <v/>
      </c>
    </row>
    <row r="21" ht="18" customHeight="1">
      <c r="A21" s="41" t="inlineStr">
        <is>
          <t>Student 17</t>
        </is>
      </c>
      <c r="B21" s="47" t="n">
        <v>0</v>
      </c>
      <c r="C21" s="47" t="n">
        <v>0</v>
      </c>
      <c r="D21" s="43" t="inlineStr">
        <is>
          <t>← formula</t>
        </is>
      </c>
      <c r="E21" s="43" t="inlineStr">
        <is>
          <t>← formula</t>
        </is>
      </c>
      <c r="F21" s="43" t="inlineStr">
        <is>
          <t>← formula</t>
        </is>
      </c>
      <c r="G21" s="43" t="inlineStr">
        <is>
          <t>← formula</t>
        </is>
      </c>
      <c r="H21" s="44">
        <f>IF(B21=C21,"✓","✗")</f>
        <v/>
      </c>
    </row>
    <row r="22" ht="18" customHeight="1">
      <c r="A22" s="45" t="inlineStr">
        <is>
          <t>Student 18</t>
        </is>
      </c>
      <c r="B22" s="47" t="n">
        <v>0</v>
      </c>
      <c r="C22" s="42" t="n">
        <v>1</v>
      </c>
      <c r="D22" s="43" t="inlineStr">
        <is>
          <t>← formula</t>
        </is>
      </c>
      <c r="E22" s="43" t="inlineStr">
        <is>
          <t>← formula</t>
        </is>
      </c>
      <c r="F22" s="43" t="inlineStr">
        <is>
          <t>← formula</t>
        </is>
      </c>
      <c r="G22" s="43" t="inlineStr">
        <is>
          <t>← formula</t>
        </is>
      </c>
      <c r="H22" s="46">
        <f>IF(B22=C22,"✓","✗")</f>
        <v/>
      </c>
    </row>
    <row r="23" ht="18" customHeight="1">
      <c r="A23" s="41" t="inlineStr">
        <is>
          <t>Student 19</t>
        </is>
      </c>
      <c r="B23" s="47" t="n">
        <v>0</v>
      </c>
      <c r="C23" s="47" t="n">
        <v>0</v>
      </c>
      <c r="D23" s="43" t="inlineStr">
        <is>
          <t>← formula</t>
        </is>
      </c>
      <c r="E23" s="43" t="inlineStr">
        <is>
          <t>← formula</t>
        </is>
      </c>
      <c r="F23" s="43" t="inlineStr">
        <is>
          <t>← formula</t>
        </is>
      </c>
      <c r="G23" s="43" t="inlineStr">
        <is>
          <t>← formula</t>
        </is>
      </c>
      <c r="H23" s="44">
        <f>IF(B23=C23,"✓","✗")</f>
        <v/>
      </c>
    </row>
    <row r="24" ht="18" customHeight="1">
      <c r="A24" s="45" t="inlineStr">
        <is>
          <t>Student 20</t>
        </is>
      </c>
      <c r="B24" s="47" t="n">
        <v>0</v>
      </c>
      <c r="C24" s="47" t="n">
        <v>0</v>
      </c>
      <c r="D24" s="43" t="inlineStr">
        <is>
          <t>← formula</t>
        </is>
      </c>
      <c r="E24" s="43" t="inlineStr">
        <is>
          <t>← formula</t>
        </is>
      </c>
      <c r="F24" s="43" t="inlineStr">
        <is>
          <t>← formula</t>
        </is>
      </c>
      <c r="G24" s="43" t="inlineStr">
        <is>
          <t>← formula</t>
        </is>
      </c>
      <c r="H24" s="46">
        <f>IF(B24=C24,"✓","✗")</f>
        <v/>
      </c>
    </row>
    <row r="26" ht="8" customHeight="1"/>
    <row r="27" ht="24" customHeight="1">
      <c r="A27" s="4" t="inlineStr">
        <is>
          <t>📊  CONFUSION MATRIX DIAGRAM</t>
        </is>
      </c>
    </row>
    <row r="28" ht="24" customHeight="1">
      <c r="A28" s="14" t="inlineStr"/>
      <c r="B28" s="14" t="inlineStr">
        <is>
          <t>Predicted PASS ✓</t>
        </is>
      </c>
      <c r="C28" s="14" t="inlineStr">
        <is>
          <t>Predicted FAIL ✗</t>
        </is>
      </c>
    </row>
    <row r="29" ht="24" customHeight="1">
      <c r="A29" s="14" t="inlineStr">
        <is>
          <t>Actual PASS ✓</t>
        </is>
      </c>
      <c r="B29" s="48" t="inlineStr">
        <is>
          <t>TP (True Positive)</t>
        </is>
      </c>
      <c r="C29" s="49" t="inlineStr">
        <is>
          <t>FN (False Negative)</t>
        </is>
      </c>
    </row>
    <row r="30" ht="24" customHeight="1">
      <c r="A30" s="14" t="inlineStr">
        <is>
          <t>Actual FAIL ✗</t>
        </is>
      </c>
      <c r="B30" s="49" t="inlineStr">
        <is>
          <t>FP (False Positive)</t>
        </is>
      </c>
      <c r="C30" s="48" t="inlineStr">
        <is>
          <t>TN (True Negative)</t>
        </is>
      </c>
    </row>
    <row r="31" ht="8" customHeight="1"/>
    <row r="32" ht="22" customHeight="1">
      <c r="A32" s="50" t="inlineStr">
        <is>
          <t>📐  CALCULATE THESE METRICS — write each formula in column B</t>
        </is>
      </c>
    </row>
    <row r="33" ht="20" customHeight="1">
      <c r="A33" s="51" t="inlineStr">
        <is>
          <t>Total TP</t>
        </is>
      </c>
      <c r="B33" s="43" t="inlineStr">
        <is>
          <t>← write formula here</t>
        </is>
      </c>
      <c r="C33" s="52" t="inlineStr">
        <is>
          <t>Count all True Positives   |   hint: =SUM(D5:D24)</t>
        </is>
      </c>
    </row>
    <row r="34" ht="20" customHeight="1">
      <c r="A34" s="51" t="inlineStr">
        <is>
          <t>Total FP</t>
        </is>
      </c>
      <c r="B34" s="43" t="inlineStr">
        <is>
          <t>← write formula here</t>
        </is>
      </c>
      <c r="C34" s="52" t="inlineStr">
        <is>
          <t>Count all False Positives   |   hint: =SUM(E5:E24)</t>
        </is>
      </c>
    </row>
    <row r="35" ht="20" customHeight="1">
      <c r="A35" s="51" t="inlineStr">
        <is>
          <t>Total TN</t>
        </is>
      </c>
      <c r="B35" s="43" t="inlineStr">
        <is>
          <t>← write formula here</t>
        </is>
      </c>
      <c r="C35" s="52" t="inlineStr">
        <is>
          <t>Count all True Negatives   |   hint: =SUM(F5:F24)</t>
        </is>
      </c>
    </row>
    <row r="36" ht="20" customHeight="1">
      <c r="A36" s="51" t="inlineStr">
        <is>
          <t>Total FN</t>
        </is>
      </c>
      <c r="B36" s="43" t="inlineStr">
        <is>
          <t>← write formula here</t>
        </is>
      </c>
      <c r="C36" s="52" t="inlineStr">
        <is>
          <t>Count all False Negatives   |   hint: =SUM(G5:G24)</t>
        </is>
      </c>
    </row>
    <row r="37" ht="20" customHeight="1">
      <c r="A37" s="51" t="inlineStr">
        <is>
          <t>Accuracy</t>
        </is>
      </c>
      <c r="B37" s="43" t="inlineStr">
        <is>
          <t>← write formula here</t>
        </is>
      </c>
      <c r="C37" s="52" t="inlineStr">
        <is>
          <t>Overall % correct predictions   |   hint: =(TP+TN)/(TP+FP+TN+FN)</t>
        </is>
      </c>
    </row>
    <row r="38" ht="20" customHeight="1">
      <c r="A38" s="51" t="inlineStr">
        <is>
          <t>Precision</t>
        </is>
      </c>
      <c r="B38" s="43" t="inlineStr">
        <is>
          <t>← write formula here</t>
        </is>
      </c>
      <c r="C38" s="52" t="inlineStr">
        <is>
          <t>Of predicted PASS — how many really passed?   |   hint: =TP/(TP+FP)</t>
        </is>
      </c>
    </row>
    <row r="39" ht="20" customHeight="1">
      <c r="A39" s="51" t="inlineStr">
        <is>
          <t>Recall</t>
        </is>
      </c>
      <c r="B39" s="43" t="inlineStr">
        <is>
          <t>← write formula here</t>
        </is>
      </c>
      <c r="C39" s="52" t="inlineStr">
        <is>
          <t>Of actual PASS — how many did we catch?   |   hint: =TP/(TP+FN)</t>
        </is>
      </c>
    </row>
    <row r="40" ht="20" customHeight="1">
      <c r="A40" s="51" t="inlineStr">
        <is>
          <t>F1 Score</t>
        </is>
      </c>
      <c r="B40" s="43" t="inlineStr">
        <is>
          <t>← write formula here</t>
        </is>
      </c>
      <c r="C40" s="52" t="inlineStr">
        <is>
          <t>Harmonic mean of Precision &amp; Recall   |   hint: =2*(Precision*Recall)/(P+R)</t>
        </is>
      </c>
    </row>
    <row r="41" ht="20" customHeight="1">
      <c r="A41" s="51" t="inlineStr">
        <is>
          <t>Specificity</t>
        </is>
      </c>
      <c r="B41" s="43" t="inlineStr">
        <is>
          <t>← write formula here</t>
        </is>
      </c>
      <c r="C41" s="52" t="inlineStr">
        <is>
          <t>Of actual FAIL — how many correctly identified?   |   hint: =TN/(TN+FP)</t>
        </is>
      </c>
    </row>
  </sheetData>
  <mergeCells count="13">
    <mergeCell ref="C33:H33"/>
    <mergeCell ref="C38:H38"/>
    <mergeCell ref="C41:H41"/>
    <mergeCell ref="C36:H36"/>
    <mergeCell ref="A2:H2"/>
    <mergeCell ref="C37:H37"/>
    <mergeCell ref="C40:H40"/>
    <mergeCell ref="C39:H39"/>
    <mergeCell ref="C35:H35"/>
    <mergeCell ref="A1:H1"/>
    <mergeCell ref="A32:H32"/>
    <mergeCell ref="A27:H27"/>
    <mergeCell ref="C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3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6" customWidth="1" min="4" max="4"/>
    <col width="22" customWidth="1" min="5" max="5"/>
    <col width="18" customWidth="1" min="6" max="6"/>
    <col width="14" customWidth="1" min="7" max="7"/>
    <col width="14" customWidth="1" min="8" max="8"/>
    <col width="10" customWidth="1" min="9" max="9"/>
  </cols>
  <sheetData>
    <row r="1" ht="30" customHeight="1">
      <c r="A1" s="53" t="inlineStr">
        <is>
          <t>📋  TASK GUIDE — All 10 ML Formula Challenges</t>
        </is>
      </c>
    </row>
    <row r="2" ht="18" customHeight="1">
      <c r="A2" s="54" t="inlineStr">
        <is>
          <t>Type every formula yourself in the formula bar — do NOT copy/paste.  Understanding each formula deeply = real ML knowledge.</t>
        </is>
      </c>
    </row>
    <row r="3" ht="8" customHeight="1"/>
    <row r="4" ht="26" customHeight="1">
      <c r="A4" s="55" t="inlineStr">
        <is>
          <t xml:space="preserve">  TASK 1  —  Data Quality Check — Missing Values &amp; Wrong Types</t>
        </is>
      </c>
    </row>
    <row r="5" ht="48" customHeight="1">
      <c r="A5" s="56" t="inlineStr">
        <is>
          <t>WHAT &amp; WHY:  In real ML, dirty data silently breaks models. Before any feature engineering you must check: (1) Are there missing values? (2) Are values the right type? (3) Are there impossible values like AttendPct = 150?  This task mirrors df.isnull().sum() and df.dtypes in pandas.</t>
        </is>
      </c>
    </row>
    <row r="6" ht="22" customHeight="1">
      <c r="A6" s="57" t="inlineStr">
        <is>
          <t>Formula</t>
        </is>
      </c>
      <c r="B6" s="58">
        <f>COUNTBLANK(D6:D45)</f>
        <v/>
      </c>
      <c r="E6" s="59" t="inlineStr">
        <is>
          <t>count of blanks</t>
        </is>
      </c>
      <c r="G6" s="60" t="inlineStr">
        <is>
          <t>Counts missing StudyHrs — df.isnull().sum()</t>
        </is>
      </c>
    </row>
    <row r="7" ht="22" customHeight="1">
      <c r="A7" s="57" t="inlineStr">
        <is>
          <t>Formula</t>
        </is>
      </c>
      <c r="B7" s="58">
        <f>ISNUMBER(D6)</f>
        <v/>
      </c>
      <c r="E7" s="59" t="inlineStr">
        <is>
          <t>TRUE / FALSE</t>
        </is>
      </c>
      <c r="G7" s="60" t="inlineStr">
        <is>
          <t>Checks if cell is a number</t>
        </is>
      </c>
    </row>
    <row r="8" ht="22" customHeight="1">
      <c r="A8" s="57" t="inlineStr">
        <is>
          <t>Formula</t>
        </is>
      </c>
      <c r="B8" s="58">
        <f>IF(G6&gt;100,"IMPOSSIBLE",IF(ISBLANK(G6),"MISSING","OK"))</f>
        <v/>
      </c>
      <c r="E8" s="59" t="inlineStr">
        <is>
          <t>flag text</t>
        </is>
      </c>
      <c r="G8" s="60" t="inlineStr">
        <is>
          <t>Data quality flag for AttendPct range</t>
        </is>
      </c>
    </row>
    <row r="9" ht="22" customHeight="1">
      <c r="A9" s="57" t="inlineStr">
        <is>
          <t>Formula</t>
        </is>
      </c>
      <c r="B9" s="58">
        <f>IFERROR(D6/D6,"ERROR")</f>
        <v/>
      </c>
      <c r="E9" s="59" t="inlineStr">
        <is>
          <t>1 or ERROR</t>
        </is>
      </c>
      <c r="G9" s="60" t="inlineStr">
        <is>
          <t>Catches any divide-by-zero / corrupt values</t>
        </is>
      </c>
    </row>
    <row r="10" ht="38" customHeight="1">
      <c r="A10" s="61" t="inlineStr">
        <is>
          <t>Step 1</t>
        </is>
      </c>
      <c r="B10" s="62" t="inlineStr">
        <is>
          <t>In a blank area, type:  =COUNTBLANK(D6:D45)  →  How many missing StudyHrs?  ______</t>
        </is>
      </c>
    </row>
    <row r="11" ht="38" customHeight="1">
      <c r="A11" s="61" t="inlineStr">
        <is>
          <t>Step 2</t>
        </is>
      </c>
      <c r="B11" s="62" t="inlineStr">
        <is>
          <t>Type:  =COUNTBLANK(G6:G45)  →  How many missing AttendPct?  ______</t>
        </is>
      </c>
    </row>
    <row r="12" ht="38" customHeight="1">
      <c r="A12" s="61" t="inlineStr">
        <is>
          <t>Step 3</t>
        </is>
      </c>
      <c r="B12" s="62" t="inlineStr">
        <is>
          <t>In a new column next to the data, type:  =IF(G6&gt;100,"⚠️ IMPOSSIBLE",IF(ISBLANK(G6),"MISSING","OK"))  then copy down.</t>
        </is>
      </c>
    </row>
    <row r="13" ht="38" customHeight="1">
      <c r="A13" s="61" t="inlineStr">
        <is>
          <t>Step 4</t>
        </is>
      </c>
      <c r="B13" s="62" t="inlineStr">
        <is>
          <t>Count impossible values:  =COUNTIF(your_flag_range,"⚠️ IMPOSSIBLE")  →  Result: ______</t>
        </is>
      </c>
    </row>
    <row r="14" ht="38" customHeight="1">
      <c r="A14" s="63" t="inlineStr">
        <is>
          <t>💡 ML CONNECTION:  COUNTBLANK = df.isnull().sum() in pandas.  Missing values in feature columns cause sklearn to throw ValueError during model.fit(). Always check this FIRST in any real ML pipeline.</t>
        </is>
      </c>
    </row>
    <row r="15" ht="8" customHeight="1"/>
    <row r="16" ht="26" customHeight="1">
      <c r="A16" s="64" t="inlineStr">
        <is>
          <t xml:space="preserve">  TASK 2  —  Feature Engineering — Create 4 New Features</t>
        </is>
      </c>
    </row>
    <row r="17" ht="48" customHeight="1">
      <c r="A17" s="65" t="inlineStr">
        <is>
          <t>WHAT &amp; WHY:  Feature engineering creates new meaningful columns from existing ones. It is often the single most powerful step in improving ML accuracy. You will create FamilySize, IsAlone, AgeGroup, and EffortScore — inspired by real Kaggle Titanic feature engineering.</t>
        </is>
      </c>
    </row>
    <row r="18" ht="22" customHeight="1">
      <c r="A18" s="66" t="inlineStr">
        <is>
          <t>Formula</t>
        </is>
      </c>
      <c r="B18" s="58">
        <f>E6+F6+1</f>
        <v/>
      </c>
      <c r="E18" s="59" t="inlineStr">
        <is>
          <t>family size int</t>
        </is>
      </c>
      <c r="G18" s="60" t="inlineStr">
        <is>
          <t>SibCount + ParchCount + 1 (self) = total family</t>
        </is>
      </c>
    </row>
    <row r="19" ht="22" customHeight="1">
      <c r="A19" s="66" t="inlineStr">
        <is>
          <t>Formula</t>
        </is>
      </c>
      <c r="B19" s="58">
        <f>IF(E6+F6=0,1,0)</f>
        <v/>
      </c>
      <c r="E19" s="59" t="inlineStr">
        <is>
          <t>1 or 0 binary</t>
        </is>
      </c>
      <c r="G19" s="60" t="inlineStr">
        <is>
          <t>IsAlone: 1 if no siblings and no parents</t>
        </is>
      </c>
    </row>
    <row r="20" ht="22" customHeight="1">
      <c r="A20" s="66" t="inlineStr">
        <is>
          <t>Formula</t>
        </is>
      </c>
      <c r="B20" s="58">
        <f>IF(B6&lt;17,"Teen",IF(B6&lt;19,"Young Adult","Adult"))</f>
        <v/>
      </c>
      <c r="E20" s="59" t="inlineStr">
        <is>
          <t>text category</t>
        </is>
      </c>
      <c r="G20" s="60" t="inlineStr">
        <is>
          <t>Age band feature — ordinal encoding next step</t>
        </is>
      </c>
    </row>
    <row r="21" ht="22" customHeight="1">
      <c r="A21" s="66" t="inlineStr">
        <is>
          <t>Formula</t>
        </is>
      </c>
      <c r="B21" s="58">
        <f>D6*G6/100</f>
        <v/>
      </c>
      <c r="E21" s="59" t="inlineStr">
        <is>
          <t>effort score float</t>
        </is>
      </c>
      <c r="G21" s="60" t="inlineStr">
        <is>
          <t>StudyHrs × AttendPct — combined effort measure</t>
        </is>
      </c>
    </row>
    <row r="22" ht="22" customHeight="1">
      <c r="A22" s="66" t="inlineStr">
        <is>
          <t>Formula</t>
        </is>
      </c>
      <c r="B22" s="58">
        <f>IF(AND(D6&gt;20,G6&gt;80),"High Effort","Normal")</f>
        <v/>
      </c>
      <c r="E22" s="59" t="inlineStr">
        <is>
          <t>engagement label</t>
        </is>
      </c>
      <c r="G22" s="60" t="inlineStr">
        <is>
          <t>AND combines two conditions — both must be true</t>
        </is>
      </c>
    </row>
    <row r="23" ht="38" customHeight="1">
      <c r="A23" s="67" t="inlineStr">
        <is>
          <t>Step 1</t>
        </is>
      </c>
      <c r="B23" s="62" t="inlineStr">
        <is>
          <t>Go to 🗃️ RAW_DATA sheet. Click cell M6 (FamilySize column).</t>
        </is>
      </c>
    </row>
    <row r="24" ht="38" customHeight="1">
      <c r="A24" s="67" t="inlineStr">
        <is>
          <t>Step 2</t>
        </is>
      </c>
      <c r="B24" s="62" t="inlineStr">
        <is>
          <t>Type:  =E6+F6+1  then press Enter. Copy M6 down to M45.</t>
        </is>
      </c>
    </row>
    <row r="25" ht="38" customHeight="1">
      <c r="A25" s="67" t="inlineStr">
        <is>
          <t>Step 3</t>
        </is>
      </c>
      <c r="B25" s="62" t="inlineStr">
        <is>
          <t>Click N6 (IsAlone). Type:  =IF(E6+F6=0,1,0)  Copy to N45.</t>
        </is>
      </c>
    </row>
    <row r="26" ht="38" customHeight="1">
      <c r="A26" s="67" t="inlineStr">
        <is>
          <t>Step 4</t>
        </is>
      </c>
      <c r="B26" s="62" t="inlineStr">
        <is>
          <t>Click O6 (AgeGroup). Type:  =IF(B6&lt;17,"Teen",IF(B6&lt;19,"Young Adult","Adult"))  Copy to O45.</t>
        </is>
      </c>
    </row>
    <row r="27" ht="38" customHeight="1">
      <c r="A27" s="67" t="inlineStr">
        <is>
          <t>Step 5</t>
        </is>
      </c>
      <c r="B27" s="62" t="inlineStr">
        <is>
          <t>Click P6 (EffortScore). Type:  =D6*G6/100  Copy to P45.</t>
        </is>
      </c>
    </row>
    <row r="28" ht="38" customHeight="1">
      <c r="A28" s="67" t="inlineStr">
        <is>
          <t>Step 6</t>
        </is>
      </c>
      <c r="B28" s="62" t="inlineStr">
        <is>
          <t>VERIFY: For ML001 — if SibCount=2 and ParchCount=1, FamilySize must equal 4.</t>
        </is>
      </c>
    </row>
    <row r="29" ht="38" customHeight="1">
      <c r="A29" s="63" t="inlineStr">
        <is>
          <t>💡 ML CONNECTION:  These formulas replicate pandas feature engineering: df['FamilySize'] = df['SibSp'] + df['Parch'] + 1  |  df['IsAlone'] = (df['FamilySize']==1).astype(int)  |  df['EffortScore'] = df['StudyHrs'] * df['AttendPct'] / 100</t>
        </is>
      </c>
    </row>
    <row r="30" ht="8" customHeight="1"/>
    <row r="31" ht="26" customHeight="1">
      <c r="A31" s="68" t="inlineStr">
        <is>
          <t xml:space="preserve">  TASK 3  —  Z-Score Normalisation — Standard Scaling (mean=0, std=1)</t>
        </is>
      </c>
    </row>
    <row r="32" ht="48" customHeight="1">
      <c r="A32" s="69" t="inlineStr">
        <is>
          <t>WHAT &amp; WHY:  Z-score scaling transforms a feature so mean=0 and std=1. Without scaling, large-magnitude features (like income) dominate distance-based models. Required for: SVM, KNN, Neural Networks, Logistic Regression.</t>
        </is>
      </c>
    </row>
    <row r="33" ht="22" customHeight="1">
      <c r="A33" s="70" t="inlineStr">
        <is>
          <t>Formula</t>
        </is>
      </c>
      <c r="B33" s="58">
        <f>(D6 - AVERAGE($D$6:$D$45)) / STDEV.S($D$6:$D$45)</f>
        <v/>
      </c>
      <c r="E33" s="59" t="inlineStr">
        <is>
          <t>Z-score value</t>
        </is>
      </c>
      <c r="G33" s="60" t="inlineStr">
        <is>
          <t>$ LOCKS range so it does not shift when copied down rows</t>
        </is>
      </c>
    </row>
    <row r="34" ht="38" customHeight="1">
      <c r="A34" s="71" t="inlineStr">
        <is>
          <t>Step 1</t>
        </is>
      </c>
      <c r="B34" s="62" t="inlineStr">
        <is>
          <t>Click cell Q6 (StudyHrs_Z column).</t>
        </is>
      </c>
    </row>
    <row r="35" ht="38" customHeight="1">
      <c r="A35" s="71" t="inlineStr">
        <is>
          <t>Step 2</t>
        </is>
      </c>
      <c r="B35" s="62" t="inlineStr">
        <is>
          <t>Type EXACTLY:  =(D6-AVERAGE($D$6:$D$45))/STDEV.S($D$6:$D$45)</t>
        </is>
      </c>
    </row>
    <row r="36" ht="38" customHeight="1">
      <c r="A36" s="71" t="inlineStr">
        <is>
          <t>Step 3</t>
        </is>
      </c>
      <c r="B36" s="62" t="inlineStr">
        <is>
          <t>Press Enter. A value near 0 (positive or negative) appears. Copy Q6 down to Q45.</t>
        </is>
      </c>
    </row>
    <row r="37" ht="38" customHeight="1">
      <c r="A37" s="71" t="inlineStr">
        <is>
          <t>Step 4</t>
        </is>
      </c>
      <c r="B37" s="62" t="inlineStr">
        <is>
          <t>VERIFY mean:  =AVERAGE(Q6:Q45)  →  must equal 0 (or 0.000000001 — effectively zero).</t>
        </is>
      </c>
    </row>
    <row r="38" ht="38" customHeight="1">
      <c r="A38" s="71" t="inlineStr">
        <is>
          <t>Step 5</t>
        </is>
      </c>
      <c r="B38" s="62" t="inlineStr">
        <is>
          <t>VERIFY std:   =STDEV.S(Q6:Q45)  →  must equal exactly 1.0.</t>
        </is>
      </c>
    </row>
    <row r="39" ht="38" customHeight="1">
      <c r="A39" s="71" t="inlineStr">
        <is>
          <t>Step 6</t>
        </is>
      </c>
      <c r="B39" s="62" t="inlineStr">
        <is>
          <t>If either check fails — you have a $ sign missing. Check the formula bar carefully.</t>
        </is>
      </c>
    </row>
    <row r="40" ht="38" customHeight="1">
      <c r="A40" s="63" t="inlineStr">
        <is>
          <t>💡 ML CONNECTION:  This formula = sklearn StandardScaler().fit_transform(X).  A Z-score of +2.0 means this student studies 2 standard deviations ABOVE average.  A Z-score of -1.5 means 1.5 standard deviations below average.</t>
        </is>
      </c>
    </row>
    <row r="41" ht="8" customHeight="1"/>
    <row r="42" ht="26" customHeight="1">
      <c r="A42" s="72" t="inlineStr">
        <is>
          <t xml:space="preserve">  TASK 4  —  Min-Max Normalisation — Scale All Values to [0, 1]</t>
        </is>
      </c>
    </row>
    <row r="43" ht="48" customHeight="1">
      <c r="A43" s="73" t="inlineStr">
        <is>
          <t>WHAT &amp; WHY:  Min-Max scaling maps every value to the range [0, 1]. Value 0 = minimum in dataset.  Value 1 = maximum.  Required for: Neural Networks, image pixel normalisation (0–255 → 0–1).</t>
        </is>
      </c>
    </row>
    <row r="44" ht="22" customHeight="1">
      <c r="A44" s="74" t="inlineStr">
        <is>
          <t>Formula</t>
        </is>
      </c>
      <c r="B44" s="58">
        <f>(K6 - MIN($K$6:$K$45)) / (MAX($K$6:$K$45) - MIN($K$6:$K$45))</f>
        <v/>
      </c>
      <c r="E44" s="59" t="inlineStr">
        <is>
          <t>0.0 to 1.0</t>
        </is>
      </c>
      <c r="G44" s="60" t="inlineStr">
        <is>
          <t>K = FinalExam column.  $ locks the min/max range.</t>
        </is>
      </c>
    </row>
    <row r="45" ht="38" customHeight="1">
      <c r="A45" s="22" t="inlineStr">
        <is>
          <t>Step 1</t>
        </is>
      </c>
      <c r="B45" s="62" t="inlineStr">
        <is>
          <t>Click cell R6 (Exam_MinMax column).</t>
        </is>
      </c>
    </row>
    <row r="46" ht="38" customHeight="1">
      <c r="A46" s="22" t="inlineStr">
        <is>
          <t>Step 2</t>
        </is>
      </c>
      <c r="B46" s="62" t="inlineStr">
        <is>
          <t>Type:  =(K6-MIN($K$6:$K$45))/(MAX($K$6:$K$45)-MIN($K$6:$K$45))</t>
        </is>
      </c>
    </row>
    <row r="47" ht="38" customHeight="1">
      <c r="A47" s="22" t="inlineStr">
        <is>
          <t>Step 3</t>
        </is>
      </c>
      <c r="B47" s="62" t="inlineStr">
        <is>
          <t>Copy R6 down to R45.</t>
        </is>
      </c>
    </row>
    <row r="48" ht="38" customHeight="1">
      <c r="A48" s="22" t="inlineStr">
        <is>
          <t>Step 4</t>
        </is>
      </c>
      <c r="B48" s="62" t="inlineStr">
        <is>
          <t>VERIFY:  =MIN(R6:R45)  must equal 0.  =MAX(R6:R45)  must equal 1.</t>
        </is>
      </c>
    </row>
    <row r="49" ht="38" customHeight="1">
      <c r="A49" s="22" t="inlineStr">
        <is>
          <t>Step 5</t>
        </is>
      </c>
      <c r="B49" s="62" t="inlineStr">
        <is>
          <t>CHALLENGE: Apply Min-Max to StudyHrs (col D) in a spare column. Write the formula.</t>
        </is>
      </c>
    </row>
    <row r="50" ht="38" customHeight="1">
      <c r="A50" s="63" t="inlineStr">
        <is>
          <t>💡 ML CONNECTION:  This = sklearn MinMaxScaler().fit_transform(X).  Unlike Z-score, Min-Max GUARANTEES values stay in [0,1].  But it is sensitive to outliers — one extreme value compresses all others.</t>
        </is>
      </c>
    </row>
    <row r="51" ht="8" customHeight="1"/>
    <row r="52" ht="26" customHeight="1">
      <c r="A52" s="75" t="inlineStr">
        <is>
          <t xml:space="preserve">  TASK 5  —  Descriptive Statistics — Full Feature Profile</t>
        </is>
      </c>
    </row>
    <row r="53" ht="48" customHeight="1">
      <c r="A53" s="76" t="inlineStr">
        <is>
          <t>WHAT &amp; WHY:  Scroll right to the STATISTICS block (col V onwards on RAW_DATA). Fill ALL 11 stats for all 4 features = 44 formula cells. This is the Excel equivalent of df.describe() — the first EDA step in every ML project.</t>
        </is>
      </c>
    </row>
    <row r="54" ht="22" customHeight="1">
      <c r="A54" s="77" t="inlineStr">
        <is>
          <t>Formula</t>
        </is>
      </c>
      <c r="B54" s="58">
        <f>AVERAGE(D6:D45)</f>
        <v/>
      </c>
      <c r="E54" s="59" t="inlineStr">
        <is>
          <t>mean value</t>
        </is>
      </c>
      <c r="G54" s="60" t="inlineStr">
        <is>
          <t>Mean — central tendency</t>
        </is>
      </c>
    </row>
    <row r="55" ht="22" customHeight="1">
      <c r="A55" s="77" t="inlineStr">
        <is>
          <t>Formula</t>
        </is>
      </c>
      <c r="B55" s="58">
        <f>STDEV.S(D6:D45)</f>
        <v/>
      </c>
      <c r="E55" s="59" t="inlineStr">
        <is>
          <t>std deviation</t>
        </is>
      </c>
      <c r="G55" s="60" t="inlineStr">
        <is>
          <t>STDEV.S = sample (n-1 denominator). Use for datasets.</t>
        </is>
      </c>
    </row>
    <row r="56" ht="22" customHeight="1">
      <c r="A56" s="77" t="inlineStr">
        <is>
          <t>Formula</t>
        </is>
      </c>
      <c r="B56" s="58">
        <f>VAR.S(D6:D45)</f>
        <v/>
      </c>
      <c r="E56" s="59" t="inlineStr">
        <is>
          <t>variance</t>
        </is>
      </c>
      <c r="G56" s="60" t="inlineStr">
        <is>
          <t>Variance = Std Dev squared</t>
        </is>
      </c>
    </row>
    <row r="57" ht="22" customHeight="1">
      <c r="A57" s="77" t="inlineStr">
        <is>
          <t>Formula</t>
        </is>
      </c>
      <c r="B57" s="58">
        <f>SKEW(D6:D45)</f>
        <v/>
      </c>
      <c r="E57" s="59" t="inlineStr">
        <is>
          <t>skewness</t>
        </is>
      </c>
      <c r="G57" s="60" t="inlineStr">
        <is>
          <t>&gt;0 = right-skewed,  &lt;0 = left-skewed,  0 = symmetric</t>
        </is>
      </c>
    </row>
    <row r="58" ht="22" customHeight="1">
      <c r="A58" s="77" t="inlineStr">
        <is>
          <t>Formula</t>
        </is>
      </c>
      <c r="B58" s="58">
        <f>KURT(D6:D45)</f>
        <v/>
      </c>
      <c r="E58" s="59" t="inlineStr">
        <is>
          <t>kurtosis</t>
        </is>
      </c>
      <c r="G58" s="60" t="inlineStr">
        <is>
          <t>&gt;3 = heavy tails (outliers likely)</t>
        </is>
      </c>
    </row>
    <row r="59" ht="22" customHeight="1">
      <c r="A59" s="77" t="inlineStr">
        <is>
          <t>Formula</t>
        </is>
      </c>
      <c r="B59" s="58">
        <f>PERCENTILE.INC(D6:D45,0.25)</f>
        <v/>
      </c>
      <c r="E59" s="59" t="inlineStr">
        <is>
          <t>Q1</t>
        </is>
      </c>
      <c r="G59" s="60" t="inlineStr">
        <is>
          <t>25th percentile — lower quartile</t>
        </is>
      </c>
    </row>
    <row r="60" ht="22" customHeight="1">
      <c r="A60" s="77" t="inlineStr">
        <is>
          <t>Formula</t>
        </is>
      </c>
      <c r="B60" s="58">
        <f>PERCENTILE.INC(D6:D45,0.75)-PERCENTILE.INC(D6:D45,0.25)</f>
        <v/>
      </c>
      <c r="E60" s="59" t="inlineStr">
        <is>
          <t>IQR</t>
        </is>
      </c>
      <c r="G60" s="60" t="inlineStr">
        <is>
          <t>Q3 minus Q1 = interquartile range</t>
        </is>
      </c>
    </row>
    <row r="61" ht="38" customHeight="1">
      <c r="A61" s="34" t="inlineStr">
        <is>
          <t>Step 1</t>
        </is>
      </c>
      <c r="B61" s="62" t="inlineStr">
        <is>
          <t>Scroll right on RAW_DATA — find the STATISTICS block starting at column V.</t>
        </is>
      </c>
    </row>
    <row r="62" ht="38" customHeight="1">
      <c r="A62" s="34" t="inlineStr">
        <is>
          <t>Step 2</t>
        </is>
      </c>
      <c r="B62" s="62" t="inlineStr">
        <is>
          <t>Fill all 44 cells (11 rows × 4 feature columns). Use absolute references $D$6:$D$45.</t>
        </is>
      </c>
    </row>
    <row r="63" ht="38" customHeight="1">
      <c r="A63" s="34" t="inlineStr">
        <is>
          <t>Step 3</t>
        </is>
      </c>
      <c r="B63" s="62" t="inlineStr">
        <is>
          <t>After completing: Is StudyHrs right-skewed (skewness &gt; 0) or left-skewed?  ______</t>
        </is>
      </c>
    </row>
    <row r="64" ht="38" customHeight="1">
      <c r="A64" s="34" t="inlineStr">
        <is>
          <t>Step 4</t>
        </is>
      </c>
      <c r="B64" s="62" t="inlineStr">
        <is>
          <t>Is FinalExam approximately normally distributed (skewness near 0)?  ______</t>
        </is>
      </c>
    </row>
    <row r="65" ht="8" customHeight="1"/>
    <row r="66" ht="26" customHeight="1">
      <c r="A66" s="78" t="inlineStr">
        <is>
          <t xml:space="preserve">  TASK 6  —  Pearson Correlation Matrix — Feature Relationships</t>
        </is>
      </c>
    </row>
    <row r="67" ht="48" customHeight="1">
      <c r="A67" s="79" t="inlineStr">
        <is>
          <t>WHAT &amp; WHY:  CORREL measures the LINEAR relationship between two features.  +1 = perfect positive correlation.  -1 = perfect negative.  0 = no linear relationship.  Features with |correlation| &gt; 0.8 indicate multicollinearity — a problem for linear models.</t>
        </is>
      </c>
    </row>
    <row r="68" ht="22" customHeight="1">
      <c r="A68" s="37" t="inlineStr">
        <is>
          <t>Formula</t>
        </is>
      </c>
      <c r="B68" s="58">
        <f>CORREL($D$6:$D$45, $G$6:$G$45)</f>
        <v/>
      </c>
      <c r="E68" s="59" t="inlineStr">
        <is>
          <t>value from -1 to +1</t>
        </is>
      </c>
      <c r="G68" s="60" t="inlineStr">
        <is>
          <t>Correlation between StudyHrs and AttendPct — always use $ to lock ranges</t>
        </is>
      </c>
    </row>
    <row r="69" ht="38" customHeight="1">
      <c r="A69" s="80" t="inlineStr">
        <is>
          <t>Step 1</t>
        </is>
      </c>
      <c r="B69" s="62" t="inlineStr">
        <is>
          <t>Find the CORRELATION MATRIX block on the RAW_DATA sheet (scroll right).</t>
        </is>
      </c>
    </row>
    <row r="70" ht="38" customHeight="1">
      <c r="A70" s="80" t="inlineStr">
        <is>
          <t>Step 2</t>
        </is>
      </c>
      <c r="B70" s="62" t="inlineStr">
        <is>
          <t>Fill in all 20 non-diagonal cells using =CORREL(col1_range, col2_range).</t>
        </is>
      </c>
    </row>
    <row r="71" ht="38" customHeight="1">
      <c r="A71" s="80" t="inlineStr">
        <is>
          <t>Step 3</t>
        </is>
      </c>
      <c r="B71" s="62" t="inlineStr">
        <is>
          <t>Which two features have the HIGHEST positive correlation?  ______________________</t>
        </is>
      </c>
    </row>
    <row r="72" ht="38" customHeight="1">
      <c r="A72" s="80" t="inlineStr">
        <is>
          <t>Step 4</t>
        </is>
      </c>
      <c r="B72" s="62" t="inlineStr">
        <is>
          <t>Which feature correlates most strongly with FinalExam (the target)?  ______</t>
        </is>
      </c>
    </row>
    <row r="73" ht="38" customHeight="1">
      <c r="A73" s="80" t="inlineStr">
        <is>
          <t>Step 5</t>
        </is>
      </c>
      <c r="B73" s="62" t="inlineStr">
        <is>
          <t>Is any correlation above 0.80?  (That = multicollinearity risk)  ______</t>
        </is>
      </c>
    </row>
    <row r="74" ht="38" customHeight="1">
      <c r="A74" s="63" t="inlineStr">
        <is>
          <t>💡 ML CONNECTION:  =CORREL() = pandas df.corr().  High correlation between two INPUT features = multicollinearity.  High correlation between INPUT and TARGET = useful feature.  Low correlation with target = weak feature (consider dropping).</t>
        </is>
      </c>
    </row>
    <row r="75" ht="8" customHeight="1"/>
    <row r="76" ht="26" customHeight="1">
      <c r="A76" s="75" t="inlineStr">
        <is>
          <t xml:space="preserve">  TASK 7  —  Class Distribution — Measure Class Imbalance</t>
        </is>
      </c>
    </row>
    <row r="77" ht="48" customHeight="1">
      <c r="A77" s="76" t="inlineStr">
        <is>
          <t>WHAT &amp; WHY:  Class imbalance = one class has far more samples than another.  If 90% of students PASS and only 10% FAIL, a model that always predicts PASS gets 90% accuracy while being completely useless for identifying failing students.</t>
        </is>
      </c>
    </row>
    <row r="78" ht="22" customHeight="1">
      <c r="A78" s="77" t="inlineStr">
        <is>
          <t>Formula</t>
        </is>
      </c>
      <c r="B78" s="58">
        <f>COUNTIF(L6:L45,1)</f>
        <v/>
      </c>
      <c r="E78" s="59" t="inlineStr">
        <is>
          <t>count of 1s (PASS)</t>
        </is>
      </c>
      <c r="G78" s="60" t="inlineStr">
        <is>
          <t>How many students passed?</t>
        </is>
      </c>
    </row>
    <row r="79" ht="22" customHeight="1">
      <c r="A79" s="77" t="inlineStr">
        <is>
          <t>Formula</t>
        </is>
      </c>
      <c r="B79" s="58">
        <f>COUNTIF(L6:L45,0)</f>
        <v/>
      </c>
      <c r="E79" s="59" t="inlineStr">
        <is>
          <t>count of 0s (FAIL)</t>
        </is>
      </c>
      <c r="G79" s="60" t="inlineStr">
        <is>
          <t>How many failed?</t>
        </is>
      </c>
    </row>
    <row r="80" ht="22" customHeight="1">
      <c r="A80" s="77" t="inlineStr">
        <is>
          <t>Formula</t>
        </is>
      </c>
      <c r="B80" s="58">
        <f>COUNTIF(L6:L45,1)/COUNTA(L6:L45)</f>
        <v/>
      </c>
      <c r="E80" s="59" t="inlineStr">
        <is>
          <t>0.0 to 1.0 decimal</t>
        </is>
      </c>
      <c r="G80" s="60" t="inlineStr">
        <is>
          <t>Pass rate — format cell as %</t>
        </is>
      </c>
    </row>
    <row r="81" ht="22" customHeight="1">
      <c r="A81" s="77" t="inlineStr">
        <is>
          <t>Formula</t>
        </is>
      </c>
      <c r="B81" s="58">
        <f>COUNTIFS(C6:C45,"F",L6:L45,1)</f>
        <v/>
      </c>
      <c r="E81" s="59" t="inlineStr">
        <is>
          <t>female pass count</t>
        </is>
      </c>
      <c r="G81" s="60" t="inlineStr">
        <is>
          <t>COUNTIFS = multiple conditions simultaneously</t>
        </is>
      </c>
    </row>
    <row r="82" ht="22" customHeight="1">
      <c r="A82" s="77" t="inlineStr">
        <is>
          <t>Formula</t>
        </is>
      </c>
      <c r="B82" s="58">
        <f>COUNTIFS(C6:C45,"M",L6:L45,0)</f>
        <v/>
      </c>
      <c r="E82" s="59" t="inlineStr">
        <is>
          <t>male fail count</t>
        </is>
      </c>
      <c r="G82" s="60" t="inlineStr">
        <is>
          <t>Count males who failed</t>
        </is>
      </c>
    </row>
    <row r="83" ht="38" customHeight="1">
      <c r="A83" s="34" t="inlineStr">
        <is>
          <t>Step 1</t>
        </is>
      </c>
      <c r="B83" s="62" t="inlineStr">
        <is>
          <t>In a spare area, build: Row1 = "Result | Count | % of Total"</t>
        </is>
      </c>
    </row>
    <row r="84" ht="38" customHeight="1">
      <c r="A84" s="34" t="inlineStr">
        <is>
          <t>Step 2</t>
        </is>
      </c>
      <c r="B84" s="62" t="inlineStr">
        <is>
          <t>Row2 = "Pass (1) | =COUNTIF(L6:L45,1) | =above/40"</t>
        </is>
      </c>
    </row>
    <row r="85" ht="38" customHeight="1">
      <c r="A85" s="34" t="inlineStr">
        <is>
          <t>Step 3</t>
        </is>
      </c>
      <c r="B85" s="62" t="inlineStr">
        <is>
          <t>Row3 = "Fail (0) | =COUNTIF(L6:L45,0) | =above/40"</t>
        </is>
      </c>
    </row>
    <row r="86" ht="38" customHeight="1">
      <c r="A86" s="34" t="inlineStr">
        <is>
          <t>Step 4</t>
        </is>
      </c>
      <c r="B86" s="62" t="inlineStr">
        <is>
          <t>Is the dataset balanced (near 50/50)?  ______  What is the imbalance ratio?  ______</t>
        </is>
      </c>
    </row>
    <row r="87" ht="38" customHeight="1">
      <c r="A87" s="34" t="inlineStr">
        <is>
          <t>Step 5</t>
        </is>
      </c>
      <c r="B87" s="62" t="inlineStr">
        <is>
          <t>CHALLENGE: =COUNTIFS(C6:C45,"F",L6:L45,1) — Do females have a higher pass rate than males?</t>
        </is>
      </c>
    </row>
    <row r="88" ht="8" customHeight="1"/>
    <row r="89" ht="26" customHeight="1">
      <c r="A89" s="81" t="inlineStr">
        <is>
          <t xml:space="preserve">  TASK 8  —  Outlier Detection — IQR Method</t>
        </is>
      </c>
    </row>
    <row r="90" ht="48" customHeight="1">
      <c r="A90" s="82" t="inlineStr">
        <is>
          <t>WHAT &amp; WHY:  Outliers distort linear models and k-means clustering.  IQR method:  Lower boundary = Q1 − 1.5×IQR    Upper boundary = Q3 + 1.5×IQR.  Any value outside these is a potential outlier.</t>
        </is>
      </c>
    </row>
    <row r="91" ht="22" customHeight="1">
      <c r="A91" s="83" t="inlineStr">
        <is>
          <t>Formula</t>
        </is>
      </c>
      <c r="B91" s="58">
        <f>PERCENTILE.INC(D6:D45,0.25)</f>
        <v/>
      </c>
      <c r="E91" s="59" t="inlineStr">
        <is>
          <t>Q1</t>
        </is>
      </c>
      <c r="G91" s="60" t="inlineStr">
        <is>
          <t>25th percentile</t>
        </is>
      </c>
    </row>
    <row r="92" ht="22" customHeight="1">
      <c r="A92" s="83" t="inlineStr">
        <is>
          <t>Formula</t>
        </is>
      </c>
      <c r="B92" s="58">
        <f>PERCENTILE.INC(D6:D45,0.75)</f>
        <v/>
      </c>
      <c r="E92" s="59" t="inlineStr">
        <is>
          <t>Q3</t>
        </is>
      </c>
      <c r="G92" s="60" t="inlineStr">
        <is>
          <t>75th percentile</t>
        </is>
      </c>
    </row>
    <row r="93" ht="22" customHeight="1">
      <c r="A93" s="83" t="inlineStr">
        <is>
          <t>Formula</t>
        </is>
      </c>
      <c r="B93" s="58">
        <f>Q3 - Q1</f>
        <v/>
      </c>
      <c r="E93" s="59" t="inlineStr">
        <is>
          <t>IQR</t>
        </is>
      </c>
      <c r="G93" s="60" t="inlineStr">
        <is>
          <t>Interquartile Range</t>
        </is>
      </c>
    </row>
    <row r="94" ht="22" customHeight="1">
      <c r="A94" s="83" t="inlineStr">
        <is>
          <t>Formula</t>
        </is>
      </c>
      <c r="B94" s="58">
        <f>Q1 - 1.5*(Q3-Q1)</f>
        <v/>
      </c>
      <c r="E94" s="59" t="inlineStr">
        <is>
          <t>lower boundary</t>
        </is>
      </c>
      <c r="G94" s="60" t="inlineStr">
        <is>
          <t>Below this = outlier</t>
        </is>
      </c>
    </row>
    <row r="95" ht="22" customHeight="1">
      <c r="A95" s="83" t="inlineStr">
        <is>
          <t>Formula</t>
        </is>
      </c>
      <c r="B95" s="58">
        <f>Q3 + 1.5*(Q3-Q1)</f>
        <v/>
      </c>
      <c r="E95" s="59" t="inlineStr">
        <is>
          <t>upper boundary</t>
        </is>
      </c>
      <c r="G95" s="60" t="inlineStr">
        <is>
          <t>Above this = outlier</t>
        </is>
      </c>
    </row>
    <row r="96" ht="22" customHeight="1">
      <c r="A96" s="83" t="inlineStr">
        <is>
          <t>Formula</t>
        </is>
      </c>
      <c r="B96" s="58">
        <f>IF(OR(D6&lt;lower_cell, D6&gt;upper_cell),"OUTLIER","OK")</f>
        <v/>
      </c>
      <c r="E96" s="59" t="inlineStr">
        <is>
          <t>flag</t>
        </is>
      </c>
      <c r="G96" s="60" t="inlineStr">
        <is>
          <t>Flag each student as OUTLIER or OK</t>
        </is>
      </c>
    </row>
    <row r="97" ht="38" customHeight="1">
      <c r="A97" s="84" t="inlineStr">
        <is>
          <t>Step 1</t>
        </is>
      </c>
      <c r="B97" s="62" t="inlineStr">
        <is>
          <t>In a spare area, calculate Q1, Q3, IQR for StudyHrs using PERCENTILE.INC.</t>
        </is>
      </c>
    </row>
    <row r="98" ht="38" customHeight="1">
      <c r="A98" s="84" t="inlineStr">
        <is>
          <t>Step 2</t>
        </is>
      </c>
      <c r="B98" s="62" t="inlineStr">
        <is>
          <t>Calculate Lower Boundary:  =Q1_cell - 1.5*(Q3_cell - Q1_cell)</t>
        </is>
      </c>
    </row>
    <row r="99" ht="38" customHeight="1">
      <c r="A99" s="84" t="inlineStr">
        <is>
          <t>Step 3</t>
        </is>
      </c>
      <c r="B99" s="62" t="inlineStr">
        <is>
          <t>Calculate Upper Boundary:  =Q3_cell + 1.5*(Q3_cell - Q1_cell)</t>
        </is>
      </c>
    </row>
    <row r="100" ht="38" customHeight="1">
      <c r="A100" s="84" t="inlineStr">
        <is>
          <t>Step 4</t>
        </is>
      </c>
      <c r="B100" s="62" t="inlineStr">
        <is>
          <t>In a new column:  =IF(OR(D6&lt;lower_cell,D6&gt;upper_cell),"OUTLIER","OK")  — copy down.</t>
        </is>
      </c>
    </row>
    <row r="101" ht="38" customHeight="1">
      <c r="A101" s="84" t="inlineStr">
        <is>
          <t>Step 5</t>
        </is>
      </c>
      <c r="B101" s="62" t="inlineStr">
        <is>
          <t>Count outliers:  =COUNTIF(flag_range,"OUTLIER")  →  How many StudyHrs outliers?  ______</t>
        </is>
      </c>
    </row>
    <row r="102" ht="38" customHeight="1">
      <c r="A102" s="84" t="inlineStr">
        <is>
          <t>Step 6</t>
        </is>
      </c>
      <c r="B102" s="62" t="inlineStr">
        <is>
          <t>Repeat for FinalExam (col K). More or fewer outliers in exam scores?  ______</t>
        </is>
      </c>
    </row>
    <row r="103" ht="8" customHeight="1"/>
    <row r="104" ht="26" customHeight="1">
      <c r="A104" s="85" t="inlineStr">
        <is>
          <t xml:space="preserve">  TASK 9  —  Confusion Matrix — Build 5 ML Evaluation Metrics</t>
        </is>
      </c>
    </row>
    <row r="105" ht="48" customHeight="1">
      <c r="A105" s="56" t="inlineStr">
        <is>
          <t>WHAT &amp; WHY:  Go to 🎯 CONFUSION_MATRIX sheet.  A model predicted PASS/FAIL for 20 students.  Calculate TP, FP, TN, FN per row, then compute Accuracy, Precision, Recall, F1, Specificity.</t>
        </is>
      </c>
    </row>
    <row r="106" ht="22" customHeight="1">
      <c r="A106" s="86" t="inlineStr">
        <is>
          <t>Formula</t>
        </is>
      </c>
      <c r="B106" s="58">
        <f>IF(AND(B5=1,C5=1),1,0)</f>
        <v/>
      </c>
      <c r="E106" s="59" t="inlineStr">
        <is>
          <t>1 or 0</t>
        </is>
      </c>
      <c r="G106" s="60" t="inlineStr">
        <is>
          <t>TP: Actual=1 AND Predicted=1</t>
        </is>
      </c>
    </row>
    <row r="107" ht="22" customHeight="1">
      <c r="A107" s="86" t="inlineStr">
        <is>
          <t>Formula</t>
        </is>
      </c>
      <c r="B107" s="58">
        <f>IF(AND(B5=0,C5=1),1,0)</f>
        <v/>
      </c>
      <c r="E107" s="59" t="inlineStr">
        <is>
          <t>1 or 0</t>
        </is>
      </c>
      <c r="G107" s="60" t="inlineStr">
        <is>
          <t>FP: Actual=0 AND Predicted=1 (false alarm!)</t>
        </is>
      </c>
    </row>
    <row r="108" ht="22" customHeight="1">
      <c r="A108" s="86" t="inlineStr">
        <is>
          <t>Formula</t>
        </is>
      </c>
      <c r="B108" s="58">
        <f>IF(AND(B5=0,C5=0),1,0)</f>
        <v/>
      </c>
      <c r="E108" s="59" t="inlineStr">
        <is>
          <t>1 or 0</t>
        </is>
      </c>
      <c r="G108" s="60" t="inlineStr">
        <is>
          <t>TN: Actual=0 AND Predicted=0 (correct negative)</t>
        </is>
      </c>
    </row>
    <row r="109" ht="22" customHeight="1">
      <c r="A109" s="86" t="inlineStr">
        <is>
          <t>Formula</t>
        </is>
      </c>
      <c r="B109" s="58">
        <f>IF(AND(B5=1,C5=0),1,0)</f>
        <v/>
      </c>
      <c r="E109" s="59" t="inlineStr">
        <is>
          <t>1 or 0</t>
        </is>
      </c>
      <c r="G109" s="60" t="inlineStr">
        <is>
          <t>FN: Actual=1 AND Predicted=0 (missed positive!)</t>
        </is>
      </c>
    </row>
    <row r="110" ht="22" customHeight="1">
      <c r="A110" s="86" t="inlineStr">
        <is>
          <t>Formula</t>
        </is>
      </c>
      <c r="B110" s="58">
        <f>(TP+TN)/(TP+FP+TN+FN)</f>
        <v/>
      </c>
      <c r="E110" s="59" t="inlineStr">
        <is>
          <t>0–1</t>
        </is>
      </c>
      <c r="G110" s="60" t="inlineStr">
        <is>
          <t>Accuracy — overall correct rate</t>
        </is>
      </c>
    </row>
    <row r="111" ht="22" customHeight="1">
      <c r="A111" s="86" t="inlineStr">
        <is>
          <t>Formula</t>
        </is>
      </c>
      <c r="B111" s="58">
        <f>TP/(TP+FP)</f>
        <v/>
      </c>
      <c r="E111" s="59" t="inlineStr">
        <is>
          <t>0–1</t>
        </is>
      </c>
      <c r="G111" s="60" t="inlineStr">
        <is>
          <t>Precision — quality of positive predictions</t>
        </is>
      </c>
    </row>
    <row r="112" ht="22" customHeight="1">
      <c r="A112" s="86" t="inlineStr">
        <is>
          <t>Formula</t>
        </is>
      </c>
      <c r="B112" s="58">
        <f>TP/(TP+FN)</f>
        <v/>
      </c>
      <c r="E112" s="59" t="inlineStr">
        <is>
          <t>0–1</t>
        </is>
      </c>
      <c r="G112" s="60" t="inlineStr">
        <is>
          <t>Recall — coverage of actual positives</t>
        </is>
      </c>
    </row>
    <row r="113" ht="22" customHeight="1">
      <c r="A113" s="86" t="inlineStr">
        <is>
          <t>Formula</t>
        </is>
      </c>
      <c r="B113" s="58">
        <f>2*(P*R)/(P+R)</f>
        <v/>
      </c>
      <c r="E113" s="59" t="inlineStr">
        <is>
          <t>0–1</t>
        </is>
      </c>
      <c r="G113" s="60" t="inlineStr">
        <is>
          <t>F1 — balance of Precision and Recall</t>
        </is>
      </c>
    </row>
    <row r="114" ht="38" customHeight="1">
      <c r="A114" s="7" t="inlineStr">
        <is>
          <t>Step 1</t>
        </is>
      </c>
      <c r="B114" s="62" t="inlineStr">
        <is>
          <t>Open 🎯 CONFUSION_MATRIX sheet. Row 5 = Student 01.</t>
        </is>
      </c>
    </row>
    <row r="115" ht="38" customHeight="1">
      <c r="A115" s="7" t="inlineStr">
        <is>
          <t>Step 2</t>
        </is>
      </c>
      <c r="B115" s="62" t="inlineStr">
        <is>
          <t>In D5: =IF(AND(B5=1,C5=1),1,0)   E5: =IF(AND(B5=0,C5=1),1,0)</t>
        </is>
      </c>
    </row>
    <row r="116" ht="38" customHeight="1">
      <c r="A116" s="7" t="inlineStr">
        <is>
          <t>Step 3</t>
        </is>
      </c>
      <c r="B116" s="62" t="inlineStr">
        <is>
          <t>In F5: =IF(AND(B5=0,C5=0),1,0)   G5: =IF(AND(B5=1,C5=0),1,0)</t>
        </is>
      </c>
    </row>
    <row r="117" ht="38" customHeight="1">
      <c r="A117" s="7" t="inlineStr">
        <is>
          <t>Step 4</t>
        </is>
      </c>
      <c r="B117" s="62" t="inlineStr">
        <is>
          <t>Copy all 4 columns (D:G) down to row 24 (all 20 students).</t>
        </is>
      </c>
    </row>
    <row r="118" ht="38" customHeight="1">
      <c r="A118" s="7" t="inlineStr">
        <is>
          <t>Step 5</t>
        </is>
      </c>
      <c r="B118" s="62" t="inlineStr">
        <is>
          <t>Sum each column for total TP, FP, TN, FN in the METRICS area.</t>
        </is>
      </c>
    </row>
    <row r="119" ht="38" customHeight="1">
      <c r="A119" s="7" t="inlineStr">
        <is>
          <t>Step 6</t>
        </is>
      </c>
      <c r="B119" s="62" t="inlineStr">
        <is>
          <t>Calculate Accuracy, Precision, Recall, F1, Specificity using formulas above.</t>
        </is>
      </c>
    </row>
    <row r="120" ht="38" customHeight="1">
      <c r="A120" s="7" t="inlineStr">
        <is>
          <t>Step 7</t>
        </is>
      </c>
      <c r="B120" s="62" t="inlineStr">
        <is>
          <t>Results:  Accuracy=______  Precision=______  Recall=______  F1=______</t>
        </is>
      </c>
    </row>
    <row r="121" ht="8" customHeight="1"/>
    <row r="122" ht="26" customHeight="1">
      <c r="A122" s="72" t="inlineStr">
        <is>
          <t xml:space="preserve">  TASK 10  —  RANK &amp; Quartile Binning — Feature Transformations</t>
        </is>
      </c>
    </row>
    <row r="123" ht="48" customHeight="1">
      <c r="A123" s="73" t="inlineStr">
        <is>
          <t>WHAT &amp; WHY:  RANK.EQ assigns a rank to each observation.  Quartile binning divides data into equal-frequency groups (Q1/Q2/Q3/Q4).  Both are used to reduce outlier impact and create ordinal features for tree-based models.</t>
        </is>
      </c>
    </row>
    <row r="124" ht="22" customHeight="1">
      <c r="A124" s="74" t="inlineStr">
        <is>
          <t>Formula</t>
        </is>
      </c>
      <c r="B124" s="58">
        <f>RANK.EQ(K6,$K$6:$K$45,0)</f>
        <v/>
      </c>
      <c r="E124" s="59" t="inlineStr">
        <is>
          <t>rank 1 = highest</t>
        </is>
      </c>
      <c r="G124" s="60" t="inlineStr">
        <is>
          <t>Descending rank — 1=best exam score</t>
        </is>
      </c>
    </row>
    <row r="125" ht="22" customHeight="1">
      <c r="A125" s="74" t="inlineStr">
        <is>
          <t>Formula</t>
        </is>
      </c>
      <c r="B125" s="58">
        <f>RANK.EQ(K6,$K$6:$K$45,1)</f>
        <v/>
      </c>
      <c r="E125" s="59" t="inlineStr">
        <is>
          <t>rank 1 = lowest</t>
        </is>
      </c>
      <c r="G125" s="60" t="inlineStr">
        <is>
          <t>Ascending rank — 1=worst exam score</t>
        </is>
      </c>
    </row>
    <row r="126" ht="22" customHeight="1">
      <c r="A126" s="74" t="inlineStr">
        <is>
          <t>Formula</t>
        </is>
      </c>
      <c r="B126" s="58">
        <f>IF(K6&gt;=PERCENTILE.INC($K$6:$K$45,0.75),"Q4 Top",IF(K6&gt;=PERCENTILE.INC($K$6:$K$45,0.5),"Q3",IF(K6&gt;=PERCENTILE.INC($K$6:$K$45,0.25),"Q2","Q1 Bottom")))</f>
        <v/>
      </c>
      <c r="E126" s="59" t="inlineStr">
        <is>
          <t>Q1/Q2/Q3/Q4</t>
        </is>
      </c>
      <c r="G126" s="60" t="inlineStr">
        <is>
          <t>Quartile bin label — Q4 = top 25% scorers</t>
        </is>
      </c>
    </row>
    <row r="127" ht="38" customHeight="1">
      <c r="A127" s="22" t="inlineStr">
        <is>
          <t>Step 1</t>
        </is>
      </c>
      <c r="B127" s="62" t="inlineStr">
        <is>
          <t>Click cell S6 (StudyBin column) on RAW_DATA sheet.</t>
        </is>
      </c>
    </row>
    <row r="128" ht="38" customHeight="1">
      <c r="A128" s="22" t="inlineStr">
        <is>
          <t>Step 2</t>
        </is>
      </c>
      <c r="B128" s="62" t="inlineStr">
        <is>
          <t>Type the full nested IF quartile formula:  =IF(K6&gt;=PERCENTILE.INC($K$6:$K$45,0.75),"Q4 Top",IF(K6&gt;=PERCENTILE.INC($K$6:$K$45,0.5),"Q3",IF(K6&gt;=PERCENTILE.INC($K$6:$K$45,0.25),"Q2","Q1 Bottom")))</t>
        </is>
      </c>
    </row>
    <row r="129" ht="38" customHeight="1">
      <c r="A129" s="22" t="inlineStr">
        <is>
          <t>Step 3</t>
        </is>
      </c>
      <c r="B129" s="62" t="inlineStr">
        <is>
          <t>Copy S6 down to S45.</t>
        </is>
      </c>
    </row>
    <row r="130" ht="38" customHeight="1">
      <c r="A130" s="22" t="inlineStr">
        <is>
          <t>Step 4</t>
        </is>
      </c>
      <c r="B130" s="62" t="inlineStr">
        <is>
          <t>Count each bin:  =COUNTIF(S6:S45,"Q4 Top")  should be close to 10 (25% of 40).</t>
        </is>
      </c>
    </row>
    <row r="131" ht="38" customHeight="1">
      <c r="A131" s="22" t="inlineStr">
        <is>
          <t>Step 5</t>
        </is>
      </c>
      <c r="B131" s="62" t="inlineStr">
        <is>
          <t>In a spare column add RANK.EQ for FinalExam — rank all 40 students by score.</t>
        </is>
      </c>
    </row>
    <row r="132" ht="38" customHeight="1">
      <c r="A132" s="22" t="inlineStr">
        <is>
          <t>Step 6</t>
        </is>
      </c>
      <c r="B132" s="62" t="inlineStr">
        <is>
          <t>CHALLENGE: Create a Top25%/Bottom25% binary feature using RANK + IF.</t>
        </is>
      </c>
    </row>
    <row r="133" ht="38" customHeight="1">
      <c r="A133" s="63" t="inlineStr">
        <is>
          <t>💡 ML CONNECTION:  Quartile binning = pd.qcut(df['FinalExam'], q=4, labels=['Q1','Q2','Q3','Q4'])  RANK.EQ = scipy.stats.rankdata().  Binning reduces outlier impact and turns continuous features into categorical ones for tree models.</t>
        </is>
      </c>
    </row>
  </sheetData>
  <mergeCells count="205">
    <mergeCell ref="G125:I125"/>
    <mergeCell ref="A90:I90"/>
    <mergeCell ref="B60:D60"/>
    <mergeCell ref="B62:I62"/>
    <mergeCell ref="G112:I112"/>
    <mergeCell ref="B57:D57"/>
    <mergeCell ref="E111:F111"/>
    <mergeCell ref="B72:I72"/>
    <mergeCell ref="B44:D44"/>
    <mergeCell ref="E8:F8"/>
    <mergeCell ref="E79:F79"/>
    <mergeCell ref="B70:I70"/>
    <mergeCell ref="G95:I95"/>
    <mergeCell ref="A2:I2"/>
    <mergeCell ref="B48:I48"/>
    <mergeCell ref="B108:D108"/>
    <mergeCell ref="A42:I42"/>
    <mergeCell ref="G79:I79"/>
    <mergeCell ref="A17:I17"/>
    <mergeCell ref="B120:I120"/>
    <mergeCell ref="B92:D92"/>
    <mergeCell ref="B98:I98"/>
    <mergeCell ref="A53:I53"/>
    <mergeCell ref="B6:D6"/>
    <mergeCell ref="B20:D20"/>
    <mergeCell ref="B73:I73"/>
    <mergeCell ref="B80:D80"/>
    <mergeCell ref="B94:D94"/>
    <mergeCell ref="B10:I10"/>
    <mergeCell ref="G9:I9"/>
    <mergeCell ref="B54:D54"/>
    <mergeCell ref="B125:D125"/>
    <mergeCell ref="E113:F113"/>
    <mergeCell ref="E91:F91"/>
    <mergeCell ref="B83:I83"/>
    <mergeCell ref="G107:I107"/>
    <mergeCell ref="B56:D56"/>
    <mergeCell ref="B96:D96"/>
    <mergeCell ref="B36:I36"/>
    <mergeCell ref="E22:F22"/>
    <mergeCell ref="E93:F93"/>
    <mergeCell ref="B45:I45"/>
    <mergeCell ref="B85:I85"/>
    <mergeCell ref="B111:D111"/>
    <mergeCell ref="B100:I100"/>
    <mergeCell ref="G6:I6"/>
    <mergeCell ref="E55:F55"/>
    <mergeCell ref="B107:D107"/>
    <mergeCell ref="B47:I47"/>
    <mergeCell ref="B8:D8"/>
    <mergeCell ref="A89:I89"/>
    <mergeCell ref="B115:I115"/>
    <mergeCell ref="G78:I78"/>
    <mergeCell ref="B82:D82"/>
    <mergeCell ref="A74:I74"/>
    <mergeCell ref="B46:I46"/>
    <mergeCell ref="G92:I92"/>
    <mergeCell ref="B102:I102"/>
    <mergeCell ref="A105:I105"/>
    <mergeCell ref="G124:I124"/>
    <mergeCell ref="B12:I12"/>
    <mergeCell ref="B19:D19"/>
    <mergeCell ref="B86:I86"/>
    <mergeCell ref="B39:I39"/>
    <mergeCell ref="G80:I80"/>
    <mergeCell ref="A76:I76"/>
    <mergeCell ref="B9:D9"/>
    <mergeCell ref="G55:I55"/>
    <mergeCell ref="B68:D68"/>
    <mergeCell ref="B23:I23"/>
    <mergeCell ref="A52:I52"/>
    <mergeCell ref="B13:I13"/>
    <mergeCell ref="G54:I54"/>
    <mergeCell ref="B124:D124"/>
    <mergeCell ref="B110:D110"/>
    <mergeCell ref="B87:I87"/>
    <mergeCell ref="G106:I106"/>
    <mergeCell ref="G81:I81"/>
    <mergeCell ref="G56:I56"/>
    <mergeCell ref="A77:I77"/>
    <mergeCell ref="G96:I96"/>
    <mergeCell ref="B126:D126"/>
    <mergeCell ref="B109:D109"/>
    <mergeCell ref="E110:F110"/>
    <mergeCell ref="B49:I49"/>
    <mergeCell ref="E124:F124"/>
    <mergeCell ref="B128:I128"/>
    <mergeCell ref="B59:D59"/>
    <mergeCell ref="B64:I64"/>
    <mergeCell ref="A1:I1"/>
    <mergeCell ref="G8:I8"/>
    <mergeCell ref="B21:D21"/>
    <mergeCell ref="B114:I114"/>
    <mergeCell ref="B63:I63"/>
    <mergeCell ref="E18:F18"/>
    <mergeCell ref="E58:F58"/>
    <mergeCell ref="B35:I35"/>
    <mergeCell ref="G82:I82"/>
    <mergeCell ref="G19:I19"/>
    <mergeCell ref="B25:I25"/>
    <mergeCell ref="E68:F68"/>
    <mergeCell ref="A133:I133"/>
    <mergeCell ref="G93:I93"/>
    <mergeCell ref="B78:D78"/>
    <mergeCell ref="B27:I27"/>
    <mergeCell ref="G68:I68"/>
    <mergeCell ref="E92:F92"/>
    <mergeCell ref="E44:F44"/>
    <mergeCell ref="G108:I108"/>
    <mergeCell ref="A104:I104"/>
    <mergeCell ref="G58:I58"/>
    <mergeCell ref="E20:F20"/>
    <mergeCell ref="E107:F107"/>
    <mergeCell ref="B130:I130"/>
    <mergeCell ref="A5:I5"/>
    <mergeCell ref="B11:I11"/>
    <mergeCell ref="A32:I32"/>
    <mergeCell ref="B117:I117"/>
    <mergeCell ref="A14:I14"/>
    <mergeCell ref="E94:F94"/>
    <mergeCell ref="G110:I110"/>
    <mergeCell ref="G20:I20"/>
    <mergeCell ref="G113:I113"/>
    <mergeCell ref="B61:I61"/>
    <mergeCell ref="E78:F78"/>
    <mergeCell ref="A4:I4"/>
    <mergeCell ref="B101:I101"/>
    <mergeCell ref="B132:I132"/>
    <mergeCell ref="G94:I94"/>
    <mergeCell ref="G109:I109"/>
    <mergeCell ref="B119:I119"/>
    <mergeCell ref="E59:F59"/>
    <mergeCell ref="A43:I43"/>
    <mergeCell ref="E6:F6"/>
    <mergeCell ref="B116:I116"/>
    <mergeCell ref="G44:I44"/>
    <mergeCell ref="E108:F108"/>
    <mergeCell ref="G22:I22"/>
    <mergeCell ref="B69:I69"/>
    <mergeCell ref="B38:I38"/>
    <mergeCell ref="E80:F80"/>
    <mergeCell ref="E95:F95"/>
    <mergeCell ref="A40:I40"/>
    <mergeCell ref="A67:I67"/>
    <mergeCell ref="G111:I111"/>
    <mergeCell ref="B113:D113"/>
    <mergeCell ref="B91:D91"/>
    <mergeCell ref="G21:I21"/>
    <mergeCell ref="B118:I118"/>
    <mergeCell ref="B127:I127"/>
    <mergeCell ref="E57:F57"/>
    <mergeCell ref="E54:F54"/>
    <mergeCell ref="E125:F125"/>
    <mergeCell ref="E7:F7"/>
    <mergeCell ref="B22:D22"/>
    <mergeCell ref="B24:I24"/>
    <mergeCell ref="B93:D93"/>
    <mergeCell ref="E81:F81"/>
    <mergeCell ref="E112:F112"/>
    <mergeCell ref="A123:I123"/>
    <mergeCell ref="G7:I7"/>
    <mergeCell ref="E56:F56"/>
    <mergeCell ref="E96:F96"/>
    <mergeCell ref="A16:I16"/>
    <mergeCell ref="B26:I26"/>
    <mergeCell ref="B97:I97"/>
    <mergeCell ref="B129:I129"/>
    <mergeCell ref="G57:I57"/>
    <mergeCell ref="E106:F106"/>
    <mergeCell ref="E33:F33"/>
    <mergeCell ref="A66:I66"/>
    <mergeCell ref="G18:I18"/>
    <mergeCell ref="A50:I50"/>
    <mergeCell ref="B71:I71"/>
    <mergeCell ref="E126:F126"/>
    <mergeCell ref="B131:I131"/>
    <mergeCell ref="G33:I33"/>
    <mergeCell ref="E82:F82"/>
    <mergeCell ref="B112:D112"/>
    <mergeCell ref="E19:F19"/>
    <mergeCell ref="A122:I122"/>
    <mergeCell ref="E60:F60"/>
    <mergeCell ref="E9:F9"/>
    <mergeCell ref="B55:D55"/>
    <mergeCell ref="G91:I91"/>
    <mergeCell ref="B95:D95"/>
    <mergeCell ref="A29:I29"/>
    <mergeCell ref="B33:D33"/>
    <mergeCell ref="G60:I60"/>
    <mergeCell ref="B79:D79"/>
    <mergeCell ref="B34:I34"/>
    <mergeCell ref="B28:I28"/>
    <mergeCell ref="B99:I99"/>
    <mergeCell ref="A31:I31"/>
    <mergeCell ref="B37:I37"/>
    <mergeCell ref="B106:D106"/>
    <mergeCell ref="B7:D7"/>
    <mergeCell ref="G59:I59"/>
    <mergeCell ref="B84:I84"/>
    <mergeCell ref="B81:D81"/>
    <mergeCell ref="G126:I126"/>
    <mergeCell ref="B18:D18"/>
    <mergeCell ref="B58:D58"/>
    <mergeCell ref="E109:F109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zoomScale="10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6" customWidth="1" min="3" max="3"/>
    <col width="30" customWidth="1" min="4" max="4"/>
    <col width="14" customWidth="1" min="5" max="5"/>
    <col width="12" customWidth="1" min="6" max="6"/>
  </cols>
  <sheetData>
    <row r="1" ht="28" customHeight="1">
      <c r="A1" s="39" t="inlineStr">
        <is>
          <t>📖  ML Formula Reference Card — Keep This Open While Working</t>
        </is>
      </c>
    </row>
    <row r="3" ht="20" customHeight="1">
      <c r="A3" s="7" t="inlineStr">
        <is>
          <t>Formula</t>
        </is>
      </c>
      <c r="B3" s="7" t="inlineStr">
        <is>
          <t>Syntax</t>
        </is>
      </c>
      <c r="C3" s="7" t="inlineStr">
        <is>
          <t>pandas / sklearn Equivalent</t>
        </is>
      </c>
      <c r="D3" s="7" t="inlineStr">
        <is>
          <t>ML Use Case</t>
        </is>
      </c>
      <c r="E3" s="7" t="inlineStr">
        <is>
          <t>Category</t>
        </is>
      </c>
      <c r="F3" s="7" t="inlineStr">
        <is>
          <t>Difficulty</t>
        </is>
      </c>
    </row>
    <row r="4" ht="20" customHeight="1">
      <c r="A4" s="87" t="inlineStr">
        <is>
          <t>COUNTBLANK</t>
        </is>
      </c>
      <c r="B4" s="88">
        <f>COUNTBLANK(range)</f>
        <v/>
      </c>
      <c r="C4" s="89" t="inlineStr">
        <is>
          <t>df.isnull().sum()</t>
        </is>
      </c>
      <c r="D4" s="90" t="inlineStr">
        <is>
          <t>Find missing values</t>
        </is>
      </c>
      <c r="E4" s="91" t="inlineStr">
        <is>
          <t>Data Quality</t>
        </is>
      </c>
      <c r="F4" s="91" t="inlineStr">
        <is>
          <t>⭐</t>
        </is>
      </c>
    </row>
    <row r="5" ht="20" customHeight="1">
      <c r="A5" s="87" t="inlineStr">
        <is>
          <t>ISNUMBER</t>
        </is>
      </c>
      <c r="B5" s="88">
        <f>ISNUMBER(cell)</f>
        <v/>
      </c>
      <c r="C5" s="89" t="inlineStr">
        <is>
          <t>pd.api.types.is_numeric_dtype</t>
        </is>
      </c>
      <c r="D5" s="90" t="inlineStr">
        <is>
          <t>Check data type</t>
        </is>
      </c>
      <c r="E5" s="91" t="inlineStr">
        <is>
          <t>Data Quality</t>
        </is>
      </c>
      <c r="F5" s="91" t="inlineStr">
        <is>
          <t>⭐</t>
        </is>
      </c>
    </row>
    <row r="6" ht="20" customHeight="1">
      <c r="A6" s="87" t="inlineStr">
        <is>
          <t>IFERROR</t>
        </is>
      </c>
      <c r="B6" s="88">
        <f>IFERROR(formula, fallback)</f>
        <v/>
      </c>
      <c r="C6" s="89" t="inlineStr">
        <is>
          <t>try / except</t>
        </is>
      </c>
      <c r="D6" s="90" t="inlineStr">
        <is>
          <t>Handle formula errors</t>
        </is>
      </c>
      <c r="E6" s="91" t="inlineStr">
        <is>
          <t>Data Quality</t>
        </is>
      </c>
      <c r="F6" s="91" t="inlineStr">
        <is>
          <t>⭐</t>
        </is>
      </c>
    </row>
    <row r="7" ht="20" customHeight="1">
      <c r="A7" s="59" t="inlineStr">
        <is>
          <t>Z-Score</t>
        </is>
      </c>
      <c r="B7" s="92">
        <f>(X-AVERAGE($r))/STDEV.S($r)</f>
        <v/>
      </c>
      <c r="C7" s="93" t="inlineStr">
        <is>
          <t>StandardScaler</t>
        </is>
      </c>
      <c r="D7" s="94" t="inlineStr">
        <is>
          <t>Standardise to mean=0,std=1</t>
        </is>
      </c>
      <c r="E7" s="95" t="inlineStr">
        <is>
          <t>Normalisation</t>
        </is>
      </c>
      <c r="F7" s="95" t="inlineStr">
        <is>
          <t>⭐⭐</t>
        </is>
      </c>
    </row>
    <row r="8" ht="20" customHeight="1">
      <c r="A8" s="59" t="inlineStr">
        <is>
          <t>Min-Max</t>
        </is>
      </c>
      <c r="B8" s="92">
        <f>(X-MIN($r))/(MAX($r)-MIN($r))</f>
        <v/>
      </c>
      <c r="C8" s="93" t="inlineStr">
        <is>
          <t>MinMaxScaler</t>
        </is>
      </c>
      <c r="D8" s="94" t="inlineStr">
        <is>
          <t>Scale to [0,1]</t>
        </is>
      </c>
      <c r="E8" s="95" t="inlineStr">
        <is>
          <t>Normalisation</t>
        </is>
      </c>
      <c r="F8" s="95" t="inlineStr">
        <is>
          <t>⭐⭐</t>
        </is>
      </c>
    </row>
    <row r="9" ht="20" customHeight="1">
      <c r="A9" s="96" t="inlineStr">
        <is>
          <t>STDEV.S</t>
        </is>
      </c>
      <c r="B9" s="97">
        <f>STDEV.S(range)</f>
        <v/>
      </c>
      <c r="C9" s="98" t="inlineStr">
        <is>
          <t>df.std()</t>
        </is>
      </c>
      <c r="D9" s="99" t="inlineStr">
        <is>
          <t>Sample standard deviation</t>
        </is>
      </c>
      <c r="E9" s="100" t="inlineStr">
        <is>
          <t>Statistics</t>
        </is>
      </c>
      <c r="F9" s="100" t="inlineStr">
        <is>
          <t>⭐</t>
        </is>
      </c>
    </row>
    <row r="10" ht="20" customHeight="1">
      <c r="A10" s="96" t="inlineStr">
        <is>
          <t>VAR.S</t>
        </is>
      </c>
      <c r="B10" s="97">
        <f>VAR.S(range)</f>
        <v/>
      </c>
      <c r="C10" s="98" t="inlineStr">
        <is>
          <t>df.var()</t>
        </is>
      </c>
      <c r="D10" s="99" t="inlineStr">
        <is>
          <t>Sample variance</t>
        </is>
      </c>
      <c r="E10" s="100" t="inlineStr">
        <is>
          <t>Statistics</t>
        </is>
      </c>
      <c r="F10" s="100" t="inlineStr">
        <is>
          <t>⭐</t>
        </is>
      </c>
    </row>
    <row r="11" ht="20" customHeight="1">
      <c r="A11" s="96" t="inlineStr">
        <is>
          <t>SKEW</t>
        </is>
      </c>
      <c r="B11" s="97">
        <f>SKEW(range)</f>
        <v/>
      </c>
      <c r="C11" s="98" t="inlineStr">
        <is>
          <t>df.skew()</t>
        </is>
      </c>
      <c r="D11" s="99" t="inlineStr">
        <is>
          <t>Distribution skewness</t>
        </is>
      </c>
      <c r="E11" s="100" t="inlineStr">
        <is>
          <t>Statistics</t>
        </is>
      </c>
      <c r="F11" s="100" t="inlineStr">
        <is>
          <t>⭐⭐</t>
        </is>
      </c>
    </row>
    <row r="12" ht="20" customHeight="1">
      <c r="A12" s="96" t="inlineStr">
        <is>
          <t>KURT</t>
        </is>
      </c>
      <c r="B12" s="97">
        <f>KURT(range)</f>
        <v/>
      </c>
      <c r="C12" s="98" t="inlineStr">
        <is>
          <t>df.kurtosis()</t>
        </is>
      </c>
      <c r="D12" s="99" t="inlineStr">
        <is>
          <t>Distribution kurtosis</t>
        </is>
      </c>
      <c r="E12" s="100" t="inlineStr">
        <is>
          <t>Statistics</t>
        </is>
      </c>
      <c r="F12" s="100" t="inlineStr">
        <is>
          <t>⭐⭐</t>
        </is>
      </c>
    </row>
    <row r="13" ht="20" customHeight="1">
      <c r="A13" s="96" t="inlineStr">
        <is>
          <t>PERCENTILE</t>
        </is>
      </c>
      <c r="B13" s="97">
        <f>PERCENTILE.INC(range, 0.25)</f>
        <v/>
      </c>
      <c r="C13" s="98" t="inlineStr">
        <is>
          <t>df.quantile(0.25)</t>
        </is>
      </c>
      <c r="D13" s="99" t="inlineStr">
        <is>
          <t>Q1, Q3, any percentile</t>
        </is>
      </c>
      <c r="E13" s="100" t="inlineStr">
        <is>
          <t>Statistics</t>
        </is>
      </c>
      <c r="F13" s="100" t="inlineStr">
        <is>
          <t>⭐</t>
        </is>
      </c>
    </row>
    <row r="14" ht="20" customHeight="1">
      <c r="A14" s="101" t="inlineStr">
        <is>
          <t>CORREL</t>
        </is>
      </c>
      <c r="B14" s="102">
        <f>CORREL(range1, range2)</f>
        <v/>
      </c>
      <c r="C14" s="103" t="inlineStr">
        <is>
          <t>df.corr()</t>
        </is>
      </c>
      <c r="D14" s="104" t="inlineStr">
        <is>
          <t>Pearson correlation</t>
        </is>
      </c>
      <c r="E14" s="105" t="inlineStr">
        <is>
          <t>Correlation</t>
        </is>
      </c>
      <c r="F14" s="105" t="inlineStr">
        <is>
          <t>⭐⭐</t>
        </is>
      </c>
    </row>
    <row r="15" ht="20" customHeight="1">
      <c r="A15" s="106" t="inlineStr">
        <is>
          <t>COUNTIF</t>
        </is>
      </c>
      <c r="B15" s="107">
        <f>COUNTIF(range, criteria)</f>
        <v/>
      </c>
      <c r="C15" s="108" t="inlineStr">
        <is>
          <t>df.value_counts()</t>
        </is>
      </c>
      <c r="D15" s="109" t="inlineStr">
        <is>
          <t>Count by category</t>
        </is>
      </c>
      <c r="E15" s="110" t="inlineStr">
        <is>
          <t>Distribution</t>
        </is>
      </c>
      <c r="F15" s="110" t="inlineStr">
        <is>
          <t>⭐</t>
        </is>
      </c>
    </row>
    <row r="16" ht="20" customHeight="1">
      <c r="A16" s="106" t="inlineStr">
        <is>
          <t>COUNTIFS</t>
        </is>
      </c>
      <c r="B16" s="107">
        <f>COUNTIFS(r1,c1,r2,c2)</f>
        <v/>
      </c>
      <c r="C16" s="108" t="inlineStr">
        <is>
          <t>df[mask].value_counts()</t>
        </is>
      </c>
      <c r="D16" s="109" t="inlineStr">
        <is>
          <t>Multi-condition count</t>
        </is>
      </c>
      <c r="E16" s="110" t="inlineStr">
        <is>
          <t>Distribution</t>
        </is>
      </c>
      <c r="F16" s="110" t="inlineStr">
        <is>
          <t>⭐⭐</t>
        </is>
      </c>
    </row>
    <row r="17" ht="20" customHeight="1">
      <c r="A17" s="111" t="inlineStr">
        <is>
          <t>IQR Outlier</t>
        </is>
      </c>
      <c r="B17" s="112">
        <f>IF(OR(x&lt;Q1-1.5*IQR, x&gt;Q3+1.5*IQR),...)</f>
        <v/>
      </c>
      <c r="C17" s="113" t="inlineStr">
        <is>
          <t>IsolationForest / IQR method</t>
        </is>
      </c>
      <c r="D17" s="114" t="inlineStr">
        <is>
          <t>Flag outliers</t>
        </is>
      </c>
      <c r="E17" s="115" t="inlineStr">
        <is>
          <t>Outliers</t>
        </is>
      </c>
      <c r="F17" s="115" t="inlineStr">
        <is>
          <t>⭐⭐⭐</t>
        </is>
      </c>
    </row>
    <row r="18" ht="20" customHeight="1">
      <c r="A18" s="116" t="inlineStr">
        <is>
          <t>TP Formula</t>
        </is>
      </c>
      <c r="B18" s="117">
        <f>IF(AND(actual=1, pred=1),1,0)</f>
        <v/>
      </c>
      <c r="C18" s="118" t="inlineStr">
        <is>
          <t>confusion_matrix[1,1]</t>
        </is>
      </c>
      <c r="D18" s="119" t="inlineStr">
        <is>
          <t>True Positive count</t>
        </is>
      </c>
      <c r="E18" s="120" t="inlineStr">
        <is>
          <t>Evaluation</t>
        </is>
      </c>
      <c r="F18" s="120" t="inlineStr">
        <is>
          <t>⭐⭐</t>
        </is>
      </c>
    </row>
    <row r="19" ht="20" customHeight="1">
      <c r="A19" s="116" t="inlineStr">
        <is>
          <t>Accuracy</t>
        </is>
      </c>
      <c r="B19" s="117">
        <f>(TP+TN)/(TP+FP+TN+FN)</f>
        <v/>
      </c>
      <c r="C19" s="118" t="inlineStr">
        <is>
          <t>accuracy_score()</t>
        </is>
      </c>
      <c r="D19" s="119" t="inlineStr">
        <is>
          <t>Overall correct %</t>
        </is>
      </c>
      <c r="E19" s="120" t="inlineStr">
        <is>
          <t>Evaluation</t>
        </is>
      </c>
      <c r="F19" s="120" t="inlineStr">
        <is>
          <t>⭐⭐</t>
        </is>
      </c>
    </row>
    <row r="20" ht="20" customHeight="1">
      <c r="A20" s="116" t="inlineStr">
        <is>
          <t>Precision</t>
        </is>
      </c>
      <c r="B20" s="117">
        <f>TP/(TP+FP)</f>
        <v/>
      </c>
      <c r="C20" s="118" t="inlineStr">
        <is>
          <t>precision_score()</t>
        </is>
      </c>
      <c r="D20" s="119" t="inlineStr">
        <is>
          <t>Quality of + predictions</t>
        </is>
      </c>
      <c r="E20" s="120" t="inlineStr">
        <is>
          <t>Evaluation</t>
        </is>
      </c>
      <c r="F20" s="120" t="inlineStr">
        <is>
          <t>⭐⭐</t>
        </is>
      </c>
    </row>
    <row r="21" ht="20" customHeight="1">
      <c r="A21" s="116" t="inlineStr">
        <is>
          <t>Recall</t>
        </is>
      </c>
      <c r="B21" s="117">
        <f>TP/(TP+FN)</f>
        <v/>
      </c>
      <c r="C21" s="118" t="inlineStr">
        <is>
          <t>recall_score()</t>
        </is>
      </c>
      <c r="D21" s="119" t="inlineStr">
        <is>
          <t>Coverage of true +</t>
        </is>
      </c>
      <c r="E21" s="120" t="inlineStr">
        <is>
          <t>Evaluation</t>
        </is>
      </c>
      <c r="F21" s="120" t="inlineStr">
        <is>
          <t>⭐⭐</t>
        </is>
      </c>
    </row>
    <row r="22" ht="20" customHeight="1">
      <c r="A22" s="116" t="inlineStr">
        <is>
          <t>F1 Score</t>
        </is>
      </c>
      <c r="B22" s="117">
        <f>2*(P*R)/(P+R)</f>
        <v/>
      </c>
      <c r="C22" s="118" t="inlineStr">
        <is>
          <t>f1_score()</t>
        </is>
      </c>
      <c r="D22" s="119" t="inlineStr">
        <is>
          <t>Harmonic mean P &amp; R</t>
        </is>
      </c>
      <c r="E22" s="120" t="inlineStr">
        <is>
          <t>Evaluation</t>
        </is>
      </c>
      <c r="F22" s="120" t="inlineStr">
        <is>
          <t>⭐⭐⭐</t>
        </is>
      </c>
    </row>
    <row r="23" ht="20" customHeight="1">
      <c r="A23" s="121" t="inlineStr">
        <is>
          <t>RANK.EQ</t>
        </is>
      </c>
      <c r="B23" s="122">
        <f>RANK.EQ(val, range, 0)</f>
        <v/>
      </c>
      <c r="C23" s="123" t="inlineStr">
        <is>
          <t>scipy.stats.rankdata()</t>
        </is>
      </c>
      <c r="D23" s="124" t="inlineStr">
        <is>
          <t>Rank observations</t>
        </is>
      </c>
      <c r="E23" s="125" t="inlineStr">
        <is>
          <t>Feature Eng</t>
        </is>
      </c>
      <c r="F23" s="125" t="inlineStr">
        <is>
          <t>⭐⭐</t>
        </is>
      </c>
    </row>
    <row r="24" ht="20" customHeight="1">
      <c r="A24" s="121" t="inlineStr">
        <is>
          <t>Quartile Bin</t>
        </is>
      </c>
      <c r="B24" s="122">
        <f>IF(x&gt;=Q3,"Q4",IF(x&gt;=median,"Q3",...))</f>
        <v/>
      </c>
      <c r="C24" s="123" t="inlineStr">
        <is>
          <t>pd.qcut(df, q=4)</t>
        </is>
      </c>
      <c r="D24" s="124" t="inlineStr">
        <is>
          <t>Quartile feature bins</t>
        </is>
      </c>
      <c r="E24" s="125" t="inlineStr">
        <is>
          <t>Feature Eng</t>
        </is>
      </c>
      <c r="F24" s="125" t="inlineStr">
        <is>
          <t>⭐⭐⭐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2" customWidth="1" min="3" max="3"/>
    <col width="12" customWidth="1" min="4" max="4"/>
    <col width="10" customWidth="1" min="5" max="5"/>
  </cols>
  <sheetData>
    <row r="1" ht="28" customHeight="1">
      <c r="A1" s="39" t="inlineStr">
        <is>
          <t>✔️  MY PROGRESS CHECKLIST — Type ✓ in the last column as you finish each item</t>
        </is>
      </c>
    </row>
    <row r="2" ht="18" customHeight="1">
      <c r="A2" s="54" t="inlineStr">
        <is>
          <t>Aim for all 28 ticked!  Each ✓ = one more ML skill you genuinely understand.</t>
        </is>
      </c>
    </row>
    <row r="3" ht="8" customHeight="1"/>
    <row r="4" ht="22" customHeight="1">
      <c r="A4" s="18" t="inlineStr">
        <is>
          <t>Task</t>
        </is>
      </c>
      <c r="B4" s="18" t="inlineStr">
        <is>
          <t>Feature</t>
        </is>
      </c>
      <c r="C4" s="18" t="inlineStr">
        <is>
          <t>What You Did</t>
        </is>
      </c>
      <c r="D4" s="18" t="inlineStr">
        <is>
          <t>Difficulty</t>
        </is>
      </c>
      <c r="E4" s="18" t="inlineStr">
        <is>
          <t>Done ✓</t>
        </is>
      </c>
    </row>
    <row r="5" ht="26" customHeight="1">
      <c r="A5" s="61" t="inlineStr">
        <is>
          <t>TASK 1</t>
        </is>
      </c>
      <c r="B5" s="126" t="inlineStr">
        <is>
          <t>COUNTBLANK</t>
        </is>
      </c>
      <c r="C5" s="62" t="inlineStr">
        <is>
          <t>Found count of missing StudyHrs and AttendPct values</t>
        </is>
      </c>
      <c r="D5" s="127" t="inlineStr">
        <is>
          <t>⭐</t>
        </is>
      </c>
      <c r="E5" s="128" t="inlineStr"/>
    </row>
    <row r="6" ht="26" customHeight="1">
      <c r="A6" s="61" t="inlineStr">
        <is>
          <t>TASK 1</t>
        </is>
      </c>
      <c r="B6" s="126" t="inlineStr">
        <is>
          <t>Data Flag</t>
        </is>
      </c>
      <c r="C6" s="129" t="inlineStr">
        <is>
          <t>Built data quality flag column: IMPOSSIBLE / MISSING / OK</t>
        </is>
      </c>
      <c r="D6" s="130" t="inlineStr">
        <is>
          <t>⭐⭐</t>
        </is>
      </c>
      <c r="E6" s="128" t="inlineStr"/>
    </row>
    <row r="7" ht="26" customHeight="1">
      <c r="A7" s="61" t="inlineStr">
        <is>
          <t>TASK 1</t>
        </is>
      </c>
      <c r="B7" s="126" t="inlineStr">
        <is>
          <t>ML Insight</t>
        </is>
      </c>
      <c r="C7" s="62" t="inlineStr">
        <is>
          <t>Understood why missing values break sklearn model.fit()</t>
        </is>
      </c>
      <c r="D7" s="127" t="inlineStr">
        <is>
          <t>⭐</t>
        </is>
      </c>
      <c r="E7" s="128" t="inlineStr"/>
    </row>
    <row r="8" ht="26" customHeight="1">
      <c r="A8" s="67" t="inlineStr">
        <is>
          <t>TASK 2</t>
        </is>
      </c>
      <c r="B8" s="131" t="inlineStr">
        <is>
          <t>FamilySize</t>
        </is>
      </c>
      <c r="C8" s="129">
        <f>E6+F6+1 filled for all 40 rows (M column)</f>
        <v/>
      </c>
      <c r="D8" s="130" t="inlineStr">
        <is>
          <t>⭐</t>
        </is>
      </c>
      <c r="E8" s="128" t="inlineStr"/>
    </row>
    <row r="9" ht="26" customHeight="1">
      <c r="A9" s="67" t="inlineStr">
        <is>
          <t>TASK 2</t>
        </is>
      </c>
      <c r="B9" s="131" t="inlineStr">
        <is>
          <t>IsAlone</t>
        </is>
      </c>
      <c r="C9" s="62">
        <f>IF(E6+F6=0,1,0) binary feature created (N column)</f>
        <v/>
      </c>
      <c r="D9" s="127" t="inlineStr">
        <is>
          <t>⭐</t>
        </is>
      </c>
      <c r="E9" s="128" t="inlineStr"/>
    </row>
    <row r="10" ht="26" customHeight="1">
      <c r="A10" s="67" t="inlineStr">
        <is>
          <t>TASK 2</t>
        </is>
      </c>
      <c r="B10" s="131" t="inlineStr">
        <is>
          <t>AgeGroup</t>
        </is>
      </c>
      <c r="C10" s="129" t="inlineStr">
        <is>
          <t>Nested IF age band feature created (O column)</t>
        </is>
      </c>
      <c r="D10" s="130" t="inlineStr">
        <is>
          <t>⭐⭐</t>
        </is>
      </c>
      <c r="E10" s="128" t="inlineStr"/>
    </row>
    <row r="11" ht="26" customHeight="1">
      <c r="A11" s="67" t="inlineStr">
        <is>
          <t>TASK 2</t>
        </is>
      </c>
      <c r="B11" s="131" t="inlineStr">
        <is>
          <t>EffortScore</t>
        </is>
      </c>
      <c r="C11" s="62">
        <f>D6*G6/100 interaction feature created (P column)</f>
        <v/>
      </c>
      <c r="D11" s="127" t="inlineStr">
        <is>
          <t>⭐⭐</t>
        </is>
      </c>
      <c r="E11" s="128" t="inlineStr"/>
    </row>
    <row r="12" ht="26" customHeight="1">
      <c r="A12" s="71" t="inlineStr">
        <is>
          <t>TASK 3</t>
        </is>
      </c>
      <c r="B12" s="132" t="inlineStr">
        <is>
          <t>Z-Score</t>
        </is>
      </c>
      <c r="C12" s="129" t="inlineStr">
        <is>
          <t>Formula filled for all 40 rows (Q column)</t>
        </is>
      </c>
      <c r="D12" s="130" t="inlineStr">
        <is>
          <t>⭐⭐</t>
        </is>
      </c>
      <c r="E12" s="128" t="inlineStr"/>
    </row>
    <row r="13" ht="26" customHeight="1">
      <c r="A13" s="71" t="inlineStr">
        <is>
          <t>TASK 3</t>
        </is>
      </c>
      <c r="B13" s="132" t="inlineStr">
        <is>
          <t>Verify Z Mean</t>
        </is>
      </c>
      <c r="C13" s="62">
        <f>AVERAGE(Q6:Q45) ≈ 0 confirmed</f>
        <v/>
      </c>
      <c r="D13" s="127" t="inlineStr">
        <is>
          <t>⭐⭐</t>
        </is>
      </c>
      <c r="E13" s="128" t="inlineStr"/>
    </row>
    <row r="14" ht="26" customHeight="1">
      <c r="A14" s="71" t="inlineStr">
        <is>
          <t>TASK 3</t>
        </is>
      </c>
      <c r="B14" s="132" t="inlineStr">
        <is>
          <t>Verify Z Std</t>
        </is>
      </c>
      <c r="C14" s="129">
        <f>STDEV.S(Q6:Q45) = 1.0 confirmed</f>
        <v/>
      </c>
      <c r="D14" s="130" t="inlineStr">
        <is>
          <t>⭐⭐⭐</t>
        </is>
      </c>
      <c r="E14" s="128" t="inlineStr"/>
    </row>
    <row r="15" ht="26" customHeight="1">
      <c r="A15" s="22" t="inlineStr">
        <is>
          <t>TASK 4</t>
        </is>
      </c>
      <c r="B15" s="133" t="inlineStr">
        <is>
          <t>Min-Max</t>
        </is>
      </c>
      <c r="C15" s="62" t="inlineStr">
        <is>
          <t>Formula filled for all 40 rows (R column)</t>
        </is>
      </c>
      <c r="D15" s="127" t="inlineStr">
        <is>
          <t>⭐⭐</t>
        </is>
      </c>
      <c r="E15" s="128" t="inlineStr"/>
    </row>
    <row r="16" ht="26" customHeight="1">
      <c r="A16" s="22" t="inlineStr">
        <is>
          <t>TASK 4</t>
        </is>
      </c>
      <c r="B16" s="133" t="inlineStr">
        <is>
          <t>Verify Min=0</t>
        </is>
      </c>
      <c r="C16" s="129">
        <f>MIN(R6:R45) = 0 confirmed</f>
        <v/>
      </c>
      <c r="D16" s="130" t="inlineStr">
        <is>
          <t>⭐⭐</t>
        </is>
      </c>
      <c r="E16" s="128" t="inlineStr"/>
    </row>
    <row r="17" ht="26" customHeight="1">
      <c r="A17" s="22" t="inlineStr">
        <is>
          <t>TASK 4</t>
        </is>
      </c>
      <c r="B17" s="133" t="inlineStr">
        <is>
          <t>Verify Max=1</t>
        </is>
      </c>
      <c r="C17" s="62">
        <f>MAX(R6:R45) = 1 confirmed</f>
        <v/>
      </c>
      <c r="D17" s="127" t="inlineStr">
        <is>
          <t>⭐⭐</t>
        </is>
      </c>
      <c r="E17" s="128" t="inlineStr"/>
    </row>
    <row r="18" ht="26" customHeight="1">
      <c r="A18" s="34" t="inlineStr">
        <is>
          <t>TASK 5</t>
        </is>
      </c>
      <c r="B18" s="35" t="inlineStr">
        <is>
          <t>Stats Block</t>
        </is>
      </c>
      <c r="C18" s="129" t="inlineStr">
        <is>
          <t>All 44 stat cells filled (11 rows × 4 features)</t>
        </is>
      </c>
      <c r="D18" s="130" t="inlineStr">
        <is>
          <t>⭐⭐</t>
        </is>
      </c>
      <c r="E18" s="128" t="inlineStr"/>
    </row>
    <row r="19" ht="26" customHeight="1">
      <c r="A19" s="34" t="inlineStr">
        <is>
          <t>TASK 5</t>
        </is>
      </c>
      <c r="B19" s="35" t="inlineStr">
        <is>
          <t>Skewness Q</t>
        </is>
      </c>
      <c r="C19" s="62" t="inlineStr">
        <is>
          <t>Identified if StudyHrs is right-skewed or left-skewed</t>
        </is>
      </c>
      <c r="D19" s="127" t="inlineStr">
        <is>
          <t>⭐⭐</t>
        </is>
      </c>
      <c r="E19" s="128" t="inlineStr"/>
    </row>
    <row r="20" ht="26" customHeight="1">
      <c r="A20" s="80" t="inlineStr">
        <is>
          <t>TASK 6</t>
        </is>
      </c>
      <c r="B20" s="134" t="inlineStr">
        <is>
          <t>Corr Matrix</t>
        </is>
      </c>
      <c r="C20" s="129" t="inlineStr">
        <is>
          <t>5×5 correlation matrix completed (20 non-diagonal cells)</t>
        </is>
      </c>
      <c r="D20" s="130" t="inlineStr">
        <is>
          <t>⭐⭐⭐</t>
        </is>
      </c>
      <c r="E20" s="128" t="inlineStr"/>
    </row>
    <row r="21" ht="26" customHeight="1">
      <c r="A21" s="80" t="inlineStr">
        <is>
          <t>TASK 6</t>
        </is>
      </c>
      <c r="B21" s="134" t="inlineStr">
        <is>
          <t>Top Corr</t>
        </is>
      </c>
      <c r="C21" s="62" t="inlineStr">
        <is>
          <t>Identified feature with highest correlation to FinalExam</t>
        </is>
      </c>
      <c r="D21" s="127" t="inlineStr">
        <is>
          <t>⭐⭐</t>
        </is>
      </c>
      <c r="E21" s="128" t="inlineStr"/>
    </row>
    <row r="22" ht="26" customHeight="1">
      <c r="A22" s="34" t="inlineStr">
        <is>
          <t>TASK 7</t>
        </is>
      </c>
      <c r="B22" s="135" t="inlineStr">
        <is>
          <t>COUNTIF</t>
        </is>
      </c>
      <c r="C22" s="129" t="inlineStr">
        <is>
          <t>Pass/Fail class distribution table built</t>
        </is>
      </c>
      <c r="D22" s="130" t="inlineStr">
        <is>
          <t>⭐</t>
        </is>
      </c>
      <c r="E22" s="128" t="inlineStr"/>
    </row>
    <row r="23" ht="26" customHeight="1">
      <c r="A23" s="34" t="inlineStr">
        <is>
          <t>TASK 7</t>
        </is>
      </c>
      <c r="B23" s="135" t="inlineStr">
        <is>
          <t>COUNTIFS</t>
        </is>
      </c>
      <c r="C23" s="62" t="inlineStr">
        <is>
          <t>Male vs Female pass rates calculated</t>
        </is>
      </c>
      <c r="D23" s="127" t="inlineStr">
        <is>
          <t>⭐⭐</t>
        </is>
      </c>
      <c r="E23" s="128" t="inlineStr"/>
    </row>
    <row r="24" ht="26" customHeight="1">
      <c r="A24" s="34" t="inlineStr">
        <is>
          <t>TASK 7</t>
        </is>
      </c>
      <c r="B24" s="135" t="inlineStr">
        <is>
          <t>Imbalance</t>
        </is>
      </c>
      <c r="C24" s="129" t="inlineStr">
        <is>
          <t>Determined if dataset is balanced or imbalanced</t>
        </is>
      </c>
      <c r="D24" s="130" t="inlineStr">
        <is>
          <t>⭐⭐</t>
        </is>
      </c>
      <c r="E24" s="128" t="inlineStr"/>
    </row>
    <row r="25" ht="26" customHeight="1">
      <c r="A25" s="84" t="inlineStr">
        <is>
          <t>TASK 8</t>
        </is>
      </c>
      <c r="B25" s="136" t="inlineStr">
        <is>
          <t>IQR Values</t>
        </is>
      </c>
      <c r="C25" s="62" t="inlineStr">
        <is>
          <t>Q1, Q3, IQR calculated for StudyHrs</t>
        </is>
      </c>
      <c r="D25" s="127" t="inlineStr">
        <is>
          <t>⭐⭐</t>
        </is>
      </c>
      <c r="E25" s="128" t="inlineStr"/>
    </row>
    <row r="26" ht="26" customHeight="1">
      <c r="A26" s="84" t="inlineStr">
        <is>
          <t>TASK 8</t>
        </is>
      </c>
      <c r="B26" s="136" t="inlineStr">
        <is>
          <t>Boundaries</t>
        </is>
      </c>
      <c r="C26" s="129" t="inlineStr">
        <is>
          <t>Lower and Upper outlier boundaries calculated</t>
        </is>
      </c>
      <c r="D26" s="130" t="inlineStr">
        <is>
          <t>⭐⭐</t>
        </is>
      </c>
      <c r="E26" s="128" t="inlineStr"/>
    </row>
    <row r="27" ht="26" customHeight="1">
      <c r="A27" s="84" t="inlineStr">
        <is>
          <t>TASK 8</t>
        </is>
      </c>
      <c r="B27" s="136" t="inlineStr">
        <is>
          <t>Flag Column</t>
        </is>
      </c>
      <c r="C27" s="62" t="inlineStr">
        <is>
          <t>Outlier flag column built with OR formula</t>
        </is>
      </c>
      <c r="D27" s="127" t="inlineStr">
        <is>
          <t>⭐⭐⭐</t>
        </is>
      </c>
      <c r="E27" s="128" t="inlineStr"/>
    </row>
    <row r="28" ht="26" customHeight="1">
      <c r="A28" s="7" t="inlineStr">
        <is>
          <t>TASK 9</t>
        </is>
      </c>
      <c r="B28" s="137" t="inlineStr">
        <is>
          <t>TP/FP/TN/FN</t>
        </is>
      </c>
      <c r="C28" s="129" t="inlineStr">
        <is>
          <t>All 4 columns filled for 20 students (CONFUSION_MATRIX sheet)</t>
        </is>
      </c>
      <c r="D28" s="130" t="inlineStr">
        <is>
          <t>⭐⭐</t>
        </is>
      </c>
      <c r="E28" s="128" t="inlineStr"/>
    </row>
    <row r="29" ht="26" customHeight="1">
      <c r="A29" s="7" t="inlineStr">
        <is>
          <t>TASK 9</t>
        </is>
      </c>
      <c r="B29" s="137" t="inlineStr">
        <is>
          <t>Accuracy</t>
        </is>
      </c>
      <c r="C29" s="62" t="inlineStr">
        <is>
          <t>Accuracy metric formula calculated</t>
        </is>
      </c>
      <c r="D29" s="127" t="inlineStr">
        <is>
          <t>⭐⭐</t>
        </is>
      </c>
      <c r="E29" s="128" t="inlineStr"/>
    </row>
    <row r="30" ht="26" customHeight="1">
      <c r="A30" s="7" t="inlineStr">
        <is>
          <t>TASK 9</t>
        </is>
      </c>
      <c r="B30" s="137" t="inlineStr">
        <is>
          <t>P/R/F1</t>
        </is>
      </c>
      <c r="C30" s="129" t="inlineStr">
        <is>
          <t>Precision, Recall, F1 Score all calculated</t>
        </is>
      </c>
      <c r="D30" s="130" t="inlineStr">
        <is>
          <t>⭐⭐⭐</t>
        </is>
      </c>
      <c r="E30" s="128" t="inlineStr"/>
    </row>
    <row r="31" ht="26" customHeight="1">
      <c r="A31" s="22" t="inlineStr">
        <is>
          <t>TASK 10</t>
        </is>
      </c>
      <c r="B31" s="133" t="inlineStr">
        <is>
          <t>RANK.EQ</t>
        </is>
      </c>
      <c r="C31" s="62" t="inlineStr">
        <is>
          <t>FinalExam rank column built</t>
        </is>
      </c>
      <c r="D31" s="127" t="inlineStr">
        <is>
          <t>⭐⭐</t>
        </is>
      </c>
      <c r="E31" s="128" t="inlineStr"/>
    </row>
    <row r="32" ht="26" customHeight="1">
      <c r="A32" s="22" t="inlineStr">
        <is>
          <t>TASK 10</t>
        </is>
      </c>
      <c r="B32" s="133" t="inlineStr">
        <is>
          <t>Quartile Bin</t>
        </is>
      </c>
      <c r="C32" s="129" t="inlineStr">
        <is>
          <t>Q1 Bottom / Q2 / Q3 / Q4 Top bin column completed (S column)</t>
        </is>
      </c>
      <c r="D32" s="130" t="inlineStr">
        <is>
          <t>⭐⭐⭐</t>
        </is>
      </c>
      <c r="E32" s="128" t="inlineStr"/>
    </row>
    <row r="33" ht="8" customHeight="1"/>
    <row r="34" ht="28" customHeight="1">
      <c r="A34" s="138" t="inlineStr">
        <is>
          <t>MY SCORE:</t>
        </is>
      </c>
      <c r="D34" s="139">
        <f>COUNTIF(E5:E32,"✓")&amp;" / 28 completed"</f>
        <v/>
      </c>
    </row>
  </sheetData>
  <mergeCells count="4">
    <mergeCell ref="A2:F2"/>
    <mergeCell ref="D34:E34"/>
    <mergeCell ref="A1:F1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2026-05-05T10:54:37Z</dcterms:created>
  <dcterms:modified xmlns:dcterms="http://purl.org/dc/terms/" xmlns:xsi="http://www.w3.org/2001/XMLSchema-instance" xsi:type="dcterms:W3CDTF">2026-05-05T10:54:38Z</dcterms:modified>
</cp:coreProperties>
</file>