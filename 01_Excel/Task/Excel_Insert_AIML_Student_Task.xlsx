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Krish\01_Excel\Task\"/>
    </mc:Choice>
  </mc:AlternateContent>
  <xr:revisionPtr revIDLastSave="0" documentId="13_ncr:20001_{E5185A1B-DBFD-4EEE-935F-04A65A6E26B9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👋 START HERE" sheetId="1" r:id="rId1"/>
    <sheet name="PivotTable1" sheetId="7" r:id="rId2"/>
    <sheet name="PivotTable2" sheetId="8" r:id="rId3"/>
    <sheet name="📋 STUDENT_DATA" sheetId="2" r:id="rId4"/>
    <sheet name="ML_Summary" sheetId="4" r:id="rId5"/>
    <sheet name="📋 TASK_GUIDE" sheetId="3" r:id="rId6"/>
    <sheet name="✔️ CHECKLIST" sheetId="5" r:id="rId7"/>
  </sheets>
  <calcPr calcId="191029"/>
  <pivotCaches>
    <pivotCache cacheId="22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2" l="1"/>
  <c r="E24" i="5"/>
  <c r="C6" i="4"/>
  <c r="C9" i="4"/>
  <c r="C7" i="4"/>
  <c r="C5" i="4"/>
  <c r="D20" i="5"/>
  <c r="O9" i="2"/>
  <c r="O8" i="2"/>
  <c r="O7" i="2"/>
  <c r="O6" i="2"/>
</calcChain>
</file>

<file path=xl/sharedStrings.xml><?xml version="1.0" encoding="utf-8"?>
<sst xmlns="http://schemas.openxmlformats.org/spreadsheetml/2006/main" count="481" uniqueCount="264">
  <si>
    <t>📊  Excel Insert Tab — 1-Hour Task for AI &amp; ML Students</t>
  </si>
  <si>
    <t>No internet needed  |  All data is in this file  |  Use ONLY the Insert tab (+ Home for formatting)</t>
  </si>
  <si>
    <t>🎯  YOUR SCENARIO</t>
  </si>
  <si>
    <t>You are a junior data analyst at an EdTech company. Your manager has given you a dataset of 30 students — their study hours, test scores, attendance, and whether they passed or failed. You need to use Excel's Insert tab to explore this data visually through charts, PivotTables, sparklines, and tables — just like a real data analyst does before building an ML model.</t>
  </si>
  <si>
    <t>⏱️  YOUR 1-HOUR TASK PLAN</t>
  </si>
  <si>
    <t>0–10 min</t>
  </si>
  <si>
    <t>TASK 1</t>
  </si>
  <si>
    <t>Format the Data as an Excel Table</t>
  </si>
  <si>
    <t>Insert tab → Table (Ctrl+T) — makes data dynamic and filterable</t>
  </si>
  <si>
    <t>10–20 min</t>
  </si>
  <si>
    <t>TASK 2</t>
  </si>
  <si>
    <t>Create a Scatter Chart</t>
  </si>
  <si>
    <t>StudyHours vs TestScore — visualise the relationship (correlation)</t>
  </si>
  <si>
    <t>20–30 min</t>
  </si>
  <si>
    <t>TASK 3</t>
  </si>
  <si>
    <t>Create a Bar Chart — Class Distribution</t>
  </si>
  <si>
    <t>Count of students per Grade (A/B/C/D/F) using chart from data</t>
  </si>
  <si>
    <t>30–40 min</t>
  </si>
  <si>
    <t>TASK 4</t>
  </si>
  <si>
    <t>Create a PivotTable</t>
  </si>
  <si>
    <t>Insert → PivotTable — average score by Gender and by PassFail</t>
  </si>
  <si>
    <t>40–50 min</t>
  </si>
  <si>
    <t>TASK 5</t>
  </si>
  <si>
    <t>Add Sparklines</t>
  </si>
  <si>
    <t>Insert → Sparklines — mini trend charts for each student's score history</t>
  </si>
  <si>
    <t>50–60 min</t>
  </si>
  <si>
    <t>TASK 6</t>
  </si>
  <si>
    <t>Build a Summary Dashboard</t>
  </si>
  <si>
    <t>Link key numbers to a new sheet and add a Combo Chart</t>
  </si>
  <si>
    <t>➡️   Go to  📋 STUDENT_DATA  sheet and start Task 1!</t>
  </si>
  <si>
    <t>🎓  Student Performance Dataset — AI/ML Analysis Training Data (30 Students)</t>
  </si>
  <si>
    <t>TASK 1 (0–10 min): Select A3:L33 → Insert tab → Table → tick 'My table has headers' → OK  Then style it: Table Design tab → choose 'Table Style Medium 2' (blue)</t>
  </si>
  <si>
    <t>StudentID</t>
  </si>
  <si>
    <t>Name</t>
  </si>
  <si>
    <t>Gender</t>
  </si>
  <si>
    <t>StudyHours</t>
  </si>
  <si>
    <t>Attendance%</t>
  </si>
  <si>
    <t>Quiz1</t>
  </si>
  <si>
    <t>Quiz2</t>
  </si>
  <si>
    <t>Quiz3</t>
  </si>
  <si>
    <t>TestScore</t>
  </si>
  <si>
    <t>Grade</t>
  </si>
  <si>
    <t>PassFail</t>
  </si>
  <si>
    <t>AgeGroup</t>
  </si>
  <si>
    <t>Sparklines →</t>
  </si>
  <si>
    <t>Count</t>
  </si>
  <si>
    <t>ID</t>
  </si>
  <si>
    <t>Text</t>
  </si>
  <si>
    <t>M/F</t>
  </si>
  <si>
    <t>hrs/week</t>
  </si>
  <si>
    <t>0–100</t>
  </si>
  <si>
    <t>A–F</t>
  </si>
  <si>
    <t>1=Pass 0=Fail</t>
  </si>
  <si>
    <t>&lt;18 / 18+</t>
  </si>
  <si>
    <t>A</t>
  </si>
  <si>
    <t>S001</t>
  </si>
  <si>
    <t>Liam</t>
  </si>
  <si>
    <t>M</t>
  </si>
  <si>
    <t>F</t>
  </si>
  <si>
    <t>18 and over</t>
  </si>
  <si>
    <t>B</t>
  </si>
  <si>
    <t>S002</t>
  </si>
  <si>
    <t>Noah</t>
  </si>
  <si>
    <t>Under 18</t>
  </si>
  <si>
    <t>C</t>
  </si>
  <si>
    <t>S003</t>
  </si>
  <si>
    <t>Oliver</t>
  </si>
  <si>
    <t>D</t>
  </si>
  <si>
    <t>S004</t>
  </si>
  <si>
    <t>James</t>
  </si>
  <si>
    <t>S005</t>
  </si>
  <si>
    <t>Ethan</t>
  </si>
  <si>
    <t>S006</t>
  </si>
  <si>
    <t>Lucas</t>
  </si>
  <si>
    <t>S007</t>
  </si>
  <si>
    <t>Mason</t>
  </si>
  <si>
    <t>S008</t>
  </si>
  <si>
    <t>Logan</t>
  </si>
  <si>
    <t>S009</t>
  </si>
  <si>
    <t>Aiden</t>
  </si>
  <si>
    <t>S010</t>
  </si>
  <si>
    <t>Carter</t>
  </si>
  <si>
    <t>S011</t>
  </si>
  <si>
    <t>Jayden</t>
  </si>
  <si>
    <t>S012</t>
  </si>
  <si>
    <t>Elijah</t>
  </si>
  <si>
    <t>S013</t>
  </si>
  <si>
    <t>Ryan</t>
  </si>
  <si>
    <t>S014</t>
  </si>
  <si>
    <t>Nathan</t>
  </si>
  <si>
    <t>S015</t>
  </si>
  <si>
    <t>Dylan</t>
  </si>
  <si>
    <t>S016</t>
  </si>
  <si>
    <t>Emma</t>
  </si>
  <si>
    <t>S017</t>
  </si>
  <si>
    <t>Olivia</t>
  </si>
  <si>
    <t>S018</t>
  </si>
  <si>
    <t>Ava</t>
  </si>
  <si>
    <t>S019</t>
  </si>
  <si>
    <t>Isabella</t>
  </si>
  <si>
    <t>S020</t>
  </si>
  <si>
    <t>Sophia</t>
  </si>
  <si>
    <t>S021</t>
  </si>
  <si>
    <t>Mia</t>
  </si>
  <si>
    <t>S022</t>
  </si>
  <si>
    <t>Charlotte</t>
  </si>
  <si>
    <t>S023</t>
  </si>
  <si>
    <t>Amelia</t>
  </si>
  <si>
    <t>S024</t>
  </si>
  <si>
    <t>Harper</t>
  </si>
  <si>
    <t>S025</t>
  </si>
  <si>
    <t>Evelyn</t>
  </si>
  <si>
    <t>S026</t>
  </si>
  <si>
    <t>Luna</t>
  </si>
  <si>
    <t>S027</t>
  </si>
  <si>
    <t>Ella</t>
  </si>
  <si>
    <t>S028</t>
  </si>
  <si>
    <t>Chloe</t>
  </si>
  <si>
    <t>S029</t>
  </si>
  <si>
    <t>Grace</t>
  </si>
  <si>
    <t>S030</t>
  </si>
  <si>
    <t>Lily</t>
  </si>
  <si>
    <t>📊 TASK 2 (10–20 min): Scatter Chart — Select D4:D33 (StudyHours) + H4:I33 (Quiz3+TestScore) → Insert → Charts → Scatter → Scatter with only Markers. Right-click chart → Select Data → confirm X=StudyHours, Y=TestScore. Add chart title: 'Study Hours vs Test Score'. This visualises correlation!</t>
  </si>
  <si>
    <t>📊 TASK 3 (20–30 min): Bar Chart — Build a grade count table: In cells N5:O10 type: Grade | Count, then A=COUNTIF(J6:J35,"A"), B=COUNTIF..., etc. Select N5:O10 → Insert → Bar Chart → Clustered Bar. Title: 'Student Grade Distribution'. This shows class imbalance — key for ML!</t>
  </si>
  <si>
    <t>✨ TASK 5 (40–50 min): Sparklines — Select column M (empty). In M6, go to Insert → Sparklines → Line. Data Range = F6:H6 (Quiz1, Quiz2, Quiz3 for that student). Location Range = M6. Fill down M6:M35. This shows each student's quiz score trend — improving/declining!</t>
  </si>
  <si>
    <t>📋  TASK GUIDE — All 6 Tasks Step by Step</t>
  </si>
  <si>
    <t>Work through each task in order on the 📋 STUDENT_DATA sheet. Check ✅ ANSWER_KEY only after finishing!</t>
  </si>
  <si>
    <t>Format Data as Excel Table (Ctrl+T)</t>
  </si>
  <si>
    <t>0 – 10 min</t>
  </si>
  <si>
    <t>Step 1</t>
  </si>
  <si>
    <t>Go to 📋 STUDENT_DATA sheet. Click on cell A4 (StudentID header).</t>
  </si>
  <si>
    <t>Step 2</t>
  </si>
  <si>
    <t>Press Ctrl+Shift+End to see the extent of your data (it goes to L35).</t>
  </si>
  <si>
    <t>Step 3</t>
  </si>
  <si>
    <t>Click cell A4 again. Press Ctrl+T (or Insert tab → Table).</t>
  </si>
  <si>
    <t>Step 4</t>
  </si>
  <si>
    <t>In the dialog: tick 'My table has headers' → click OK. The table is now formatted!</t>
  </si>
  <si>
    <t>Step 5</t>
  </si>
  <si>
    <t>Click anywhere inside the table → Table Design tab appears → choose a blue style.</t>
  </si>
  <si>
    <t>Step 6</t>
  </si>
  <si>
    <t>Try clicking the dropdown arrows on the headers — you can filter! Click Grade dropdown → untick F → see only passing students.</t>
  </si>
  <si>
    <t>Step 7</t>
  </si>
  <si>
    <t>Clear the filter: click Grade arrow → Clear Filter. Now all 30 students show again.</t>
  </si>
  <si>
    <t>Step 8</t>
  </si>
  <si>
    <t>Why this matters for ML: Tables auto-expand when you add new data. No formula ranges break!</t>
  </si>
  <si>
    <t>Scatter Chart — Study Hours vs Test Score</t>
  </si>
  <si>
    <t>10 – 20 min</t>
  </si>
  <si>
    <t>Scatter charts show correlation — the key relationship in ML feature analysis.</t>
  </si>
  <si>
    <t>Click column D header (StudyHours) to select it. Hold Ctrl and click column I header (TestScore).</t>
  </si>
  <si>
    <t>Insert tab → Charts group → Insert Scatter (X,Y) chart → Scatter with Only Markers.</t>
  </si>
  <si>
    <t>A chart appears! Click the chart title and change it to: Study Hours vs Test Score.</t>
  </si>
  <si>
    <t>Right-click on the chart → Add Trendline → Linear → tick 'Display R-squared value'.</t>
  </si>
  <si>
    <t>The R² value tells you how strong the correlation is. Write it down: R² = ______</t>
  </si>
  <si>
    <t>Is there a positive or negative correlation? (Does more study = higher score?) ______</t>
  </si>
  <si>
    <t>Resize the chart by dragging its corners. Move it below the data.</t>
  </si>
  <si>
    <t>Bar Chart — Grade Distribution</t>
  </si>
  <si>
    <t>20 – 30 min</t>
  </si>
  <si>
    <t>The grade count table (N4:O9) is already built for you with COUNTIF formulas.</t>
  </si>
  <si>
    <t>Click cell N4. Hold Shift and click O9 — you have selected the grade count data.</t>
  </si>
  <si>
    <t>Insert tab → Charts → Insert Column or Bar Chart → Clustered Column.</t>
  </si>
  <si>
    <t>Click the chart title → type: Student Grade Distribution.</t>
  </si>
  <si>
    <t>Click on any bar → right-click → Add Data Labels. Numbers appear on each bar!</t>
  </si>
  <si>
    <t>Right-click a bar → Format Data Series → change Fill colour (A=Green, F=Red).</t>
  </si>
  <si>
    <t>This chart shows class imbalance — if 20 students get A but only 2 get F, your ML model needs to handle this imbalance (oversampling/undersampling).</t>
  </si>
  <si>
    <t>What grade has the most students? ______ What grade has the fewest? ______</t>
  </si>
  <si>
    <t>PivotTable — Average Score by Group</t>
  </si>
  <si>
    <t>30 – 40 min</t>
  </si>
  <si>
    <t>PivotTables are the Excel equivalent of pandas groupby() — essential for EDA.</t>
  </si>
  <si>
    <t>Click anywhere inside your Table (the student data).</t>
  </si>
  <si>
    <t>Insert tab → PivotTable → New Worksheet → OK. A blank PivotTable opens.</t>
  </si>
  <si>
    <t>In the PivotTable Fields panel (right side): drag 'Gender' to the Rows box.</t>
  </si>
  <si>
    <t>Drag 'TestScore' to the Values box. It shows Sum — click it → Value Field Settings → Average.</t>
  </si>
  <si>
    <t>Drag 'PassFail' to the Columns box. Now you see average score by Gender AND PassFail!</t>
  </si>
  <si>
    <t>Add another PivotTable: Insert → PivotTable → New Worksheet. Rows = Grade, Values = Average of TestScore, Average of StudyHours.</t>
  </si>
  <si>
    <t>Question: Which grade level has the highest average study hours? ______</t>
  </si>
  <si>
    <t>Sparklines — Mini Trend Charts</t>
  </si>
  <si>
    <t>40 – 50 min</t>
  </si>
  <si>
    <t>Sparklines are tiny charts inside a single cell — perfect for showing trends per row.</t>
  </si>
  <si>
    <t>Go back to 📋 STUDENT_DATA sheet. Click cell M6 (the empty cell next to first student).</t>
  </si>
  <si>
    <t>Insert tab → Sparklines group → Line.</t>
  </si>
  <si>
    <t>Data Range: type F6:H6 (Quiz1, Quiz2, Quiz3 for row 6) → Location: M6 → OK.</t>
  </si>
  <si>
    <t>A tiny line chart appears in M6! Now copy it: click M6 → Ctrl+C.</t>
  </si>
  <si>
    <t>Select M7:M35 → Ctrl+V. Every student now has their own quiz trend sparkline!</t>
  </si>
  <si>
    <t>Click any sparkline → Sparkline tab appears → check 'High Point' and 'Low Point' markers.</t>
  </si>
  <si>
    <t>Look at the sparklines: which students show an improving trend (line going up)? This is a feature you could add to an ML model: 'trending_up' = 1 or 0.</t>
  </si>
  <si>
    <t>Dashboard — Summary Sheet</t>
  </si>
  <si>
    <t>50 – 60 min</t>
  </si>
  <si>
    <t>Right-click the ✅ DASHBOARD sheet tab → Rename to: ML_Summary.</t>
  </si>
  <si>
    <t>In cell B2 type: Total Students  →  in C2 type: =COUNTA(STUDENT_DATA!A6:A35)</t>
  </si>
  <si>
    <t>In B3: Pass Rate  →  C3: =COUNTIF(STUDENT_DATA!K6:K35,1)/30  → format as %.</t>
  </si>
  <si>
    <t>In B4: Avg Test Score  →  C4: =AVERAGE(STUDENT_DATA!I6:I35)  → format as Number.</t>
  </si>
  <si>
    <t>In B5: Avg Study Hours  →  C5: =AVERAGE(STUDENT_DATA!D6:D35).</t>
  </si>
  <si>
    <t>Select B2:C5 → Insert → Table → make it a neat summary table.</t>
  </si>
  <si>
    <t>Go back to STUDENT_DATA → click your Grade Distribution bar chart → Ctrl+C → go to ML_Summary sheet → Ctrl+V. Resize and position it neatly.</t>
  </si>
  <si>
    <t>BONUS: Insert → Shapes → choose a Text Box → draw it → type: 'Feature Correlation: R² = [your value from Task 2]'. This is your ML insight note!</t>
  </si>
  <si>
    <t>📊  ML Summary Dashboard — Fill this in during Task 6</t>
  </si>
  <si>
    <t>Build your summary here using Insert → Table, Charts, Shapes, and Text Boxes</t>
  </si>
  <si>
    <t>Total Students</t>
  </si>
  <si>
    <t>Pass Rate</t>
  </si>
  <si>
    <t>Avg Test Score</t>
  </si>
  <si>
    <t>Avg Study Hours</t>
  </si>
  <si>
    <t>Most Common Grade</t>
  </si>
  <si>
    <t>Highest Scorer</t>
  </si>
  <si>
    <t>✔️  MY PROGRESS — Tick each step as you complete it</t>
  </si>
  <si>
    <t>Task</t>
  </si>
  <si>
    <t>Feature</t>
  </si>
  <si>
    <t>What to Do</t>
  </si>
  <si>
    <t>Insert Tab Path</t>
  </si>
  <si>
    <t>Difficulty</t>
  </si>
  <si>
    <t>Done ✓</t>
  </si>
  <si>
    <t>Table</t>
  </si>
  <si>
    <t>Converted data to Excel Table (Ctrl+T)</t>
  </si>
  <si>
    <t>Insert → Table</t>
  </si>
  <si>
    <t>⭐</t>
  </si>
  <si>
    <t>Applied a blue Table Style</t>
  </si>
  <si>
    <t>Table Design → Style</t>
  </si>
  <si>
    <t>Used the filter dropdown to filter by grade</t>
  </si>
  <si>
    <t>Header arrow → Filter</t>
  </si>
  <si>
    <t>Scatter Chart</t>
  </si>
  <si>
    <t>Created Scatter Chart (StudyHours vs TestScore)</t>
  </si>
  <si>
    <t>Insert → Scatter</t>
  </si>
  <si>
    <t>⭐⭐</t>
  </si>
  <si>
    <t>Added a Linear Trendline</t>
  </si>
  <si>
    <t>Right-click → Add Trendline</t>
  </si>
  <si>
    <t>Recorded the R² value</t>
  </si>
  <si>
    <t>Trendline options</t>
  </si>
  <si>
    <t>Bar Chart</t>
  </si>
  <si>
    <t>Selected grade count table N4:O9</t>
  </si>
  <si>
    <t>Click + Shift+Click</t>
  </si>
  <si>
    <t>Created Clustered Column chart</t>
  </si>
  <si>
    <t>Insert → Column Chart</t>
  </si>
  <si>
    <t>Added data labels to bars</t>
  </si>
  <si>
    <t>Right-click → Add Labels</t>
  </si>
  <si>
    <t>PivotTable</t>
  </si>
  <si>
    <t>Inserted PivotTable from student data</t>
  </si>
  <si>
    <t>Insert → PivotTable</t>
  </si>
  <si>
    <t>Set Rows=Gender, Values=Avg TestScore</t>
  </si>
  <si>
    <t>PivotTable Fields</t>
  </si>
  <si>
    <t>Added PassFail to Columns</t>
  </si>
  <si>
    <t>Sparklines</t>
  </si>
  <si>
    <t>Added Line Sparkline to cell M6</t>
  </si>
  <si>
    <t>Insert → Sparklines → Line</t>
  </si>
  <si>
    <t>Filled sparklines down to M35</t>
  </si>
  <si>
    <t>Ctrl+C → Ctrl+V</t>
  </si>
  <si>
    <t>Enabled High/Low Point markers</t>
  </si>
  <si>
    <t>Sparkline tab</t>
  </si>
  <si>
    <t>Dashboard</t>
  </si>
  <si>
    <t>Linked Total Students formula to DASHBOARD</t>
  </si>
  <si>
    <t>Linked Pass Rate and formatted as %</t>
  </si>
  <si>
    <t>Copied chart to DASHBOARD sheet</t>
  </si>
  <si>
    <t>BONUS</t>
  </si>
  <si>
    <t>Shape</t>
  </si>
  <si>
    <t>Added Text Box with ML insight note</t>
  </si>
  <si>
    <t>Insert → Shapes → Text Box</t>
  </si>
  <si>
    <t>⭐⭐⭐</t>
  </si>
  <si>
    <t>MY SCORE:</t>
  </si>
  <si>
    <t>✓</t>
  </si>
  <si>
    <t>Count of TestScore</t>
  </si>
  <si>
    <t>Row Labels</t>
  </si>
  <si>
    <t>Grand Total</t>
  </si>
  <si>
    <t>Average of TestScore</t>
  </si>
  <si>
    <t>Column Labels</t>
  </si>
  <si>
    <t>Count of StudyHours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</si>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</sst>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12"/>
      <color rgb="FFFFFFFF"/>
      <name val="Arial"/>
    </font>
    <font>
      <sz val="10"/>
      <color rgb="FF212121"/>
      <name val="Arial"/>
    </font>
    <font>
      <b/>
      <sz val="9"/>
      <color rgb="FFE65100"/>
      <name val="Arial"/>
    </font>
    <font>
      <b/>
      <sz val="10"/>
      <color rgb="FFFFFFFF"/>
      <name val="Arial"/>
    </font>
    <font>
      <b/>
      <sz val="10"/>
      <color rgb="FF212121"/>
      <name val="Arial"/>
    </font>
    <font>
      <i/>
      <sz val="9"/>
      <color rgb="FF212121"/>
      <name val="Arial"/>
    </font>
    <font>
      <b/>
      <sz val="13"/>
      <color rgb="FFFFFFFF"/>
      <name val="Arial"/>
    </font>
    <font>
      <i/>
      <sz val="9"/>
      <color rgb="FF1565C0"/>
      <name val="Arial"/>
    </font>
    <font>
      <i/>
      <sz val="8"/>
      <color rgb="FFFFFFFF"/>
      <name val="Arial"/>
    </font>
    <font>
      <sz val="9"/>
      <color rgb="FF006064"/>
      <name val="Arial"/>
    </font>
    <font>
      <sz val="9"/>
      <color rgb="FFE65100"/>
      <name val="Arial"/>
    </font>
    <font>
      <sz val="9"/>
      <color rgb="FF4A148C"/>
      <name val="Arial"/>
    </font>
    <font>
      <b/>
      <sz val="9"/>
      <color rgb="FF4A148C"/>
      <name val="Arial"/>
    </font>
    <font>
      <b/>
      <sz val="10"/>
      <color rgb="FF1B5E20"/>
      <name val="Arial"/>
    </font>
    <font>
      <b/>
      <sz val="14"/>
      <color rgb="FFFFFFFF"/>
      <name val="Arial"/>
    </font>
    <font>
      <sz val="9"/>
      <color rgb="FF1565C0"/>
      <name val="Arial"/>
    </font>
    <font>
      <b/>
      <sz val="11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sz val="9"/>
      <color rgb="FF212121"/>
      <name val="Arial"/>
    </font>
    <font>
      <i/>
      <sz val="10"/>
      <color rgb="FF1565C0"/>
      <name val="Arial"/>
    </font>
    <font>
      <b/>
      <sz val="11"/>
      <color rgb="FF0D1B2A"/>
      <name val="Arial"/>
    </font>
    <font>
      <i/>
      <sz val="10"/>
      <color rgb="FFBDBDBD"/>
      <name val="Arial"/>
    </font>
    <font>
      <sz val="11"/>
      <color rgb="FFE65100"/>
      <name val="Arial"/>
    </font>
    <font>
      <b/>
      <sz val="12"/>
      <color rgb="FF1B5E20"/>
      <name val="Arial"/>
    </font>
    <font>
      <b/>
      <sz val="11"/>
      <color rgb="FF1B5E20"/>
      <name val="Arial"/>
    </font>
    <font>
      <sz val="11"/>
      <color theme="1"/>
      <name val="Calibri"/>
      <family val="2"/>
      <scheme val="minor"/>
    </font>
    <font>
      <sz val="9"/>
      <color rgb="FF212121"/>
      <name val="Arial"/>
      <family val="2"/>
    </font>
    <font>
      <i/>
      <sz val="10"/>
      <color rgb="FFBDBDBD"/>
      <name val="Arial"/>
      <family val="2"/>
    </font>
    <font>
      <b/>
      <sz val="12"/>
      <color rgb="FFFFFFFF"/>
      <name val="Arial"/>
      <family val="2"/>
    </font>
    <font>
      <b/>
      <sz val="10"/>
      <color rgb="FF21212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565C0"/>
      </patternFill>
    </fill>
    <fill>
      <patternFill patternType="solid">
        <fgColor rgb="FF4A148C"/>
      </patternFill>
    </fill>
    <fill>
      <patternFill patternType="solid">
        <fgColor rgb="FFE3F2FD"/>
      </patternFill>
    </fill>
    <fill>
      <patternFill patternType="solid">
        <fgColor rgb="FF006064"/>
      </patternFill>
    </fill>
    <fill>
      <patternFill patternType="solid">
        <fgColor rgb="FFFFFDE7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B5E20"/>
      </patternFill>
    </fill>
    <fill>
      <patternFill patternType="solid">
        <fgColor rgb="FFE65100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CDD2"/>
      </patternFill>
    </fill>
    <fill>
      <patternFill patternType="solid">
        <fgColor rgb="FFFFCCBC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DCEDC8"/>
      </patternFill>
    </fill>
    <fill>
      <patternFill patternType="solid">
        <fgColor rgb="FFE0F7FA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C8E6C9"/>
      </patternFill>
    </fill>
    <fill>
      <patternFill patternType="solid">
        <fgColor rgb="FF880E4F"/>
      </patternFill>
    </fill>
  </fills>
  <borders count="10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/>
      <top/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/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01">
    <xf numFmtId="0" fontId="0" fillId="0" borderId="0" xfId="0"/>
    <xf numFmtId="0" fontId="5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/>
    <xf numFmtId="0" fontId="8" fillId="9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left" vertical="center" wrapText="1"/>
    </xf>
    <xf numFmtId="0" fontId="13" fillId="20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right" vertical="center"/>
    </xf>
    <xf numFmtId="0" fontId="20" fillId="10" borderId="1" xfId="0" applyFont="1" applyFill="1" applyBorder="1" applyAlignment="1">
      <alignment horizontal="right" vertical="center"/>
    </xf>
    <xf numFmtId="0" fontId="19" fillId="3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right" vertical="center"/>
    </xf>
    <xf numFmtId="0" fontId="19" fillId="11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right" vertical="center"/>
    </xf>
    <xf numFmtId="0" fontId="20" fillId="12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right" vertical="center"/>
    </xf>
    <xf numFmtId="0" fontId="23" fillId="5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0" fontId="11" fillId="3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  <xf numFmtId="0" fontId="30" fillId="8" borderId="1" xfId="0" applyFont="1" applyFill="1" applyBorder="1" applyAlignment="1">
      <alignment horizontal="left" vertical="center" wrapText="1"/>
    </xf>
    <xf numFmtId="0" fontId="24" fillId="5" borderId="2" xfId="0" applyFont="1" applyFill="1" applyBorder="1" applyAlignment="1">
      <alignment horizontal="right" vertical="center"/>
    </xf>
    <xf numFmtId="0" fontId="25" fillId="0" borderId="3" xfId="0" applyFont="1" applyBorder="1" applyAlignment="1">
      <alignment horizontal="left" vertical="center"/>
    </xf>
    <xf numFmtId="9" fontId="25" fillId="0" borderId="3" xfId="1" applyFont="1" applyBorder="1" applyAlignment="1">
      <alignment horizontal="left" vertical="center"/>
    </xf>
    <xf numFmtId="2" fontId="25" fillId="0" borderId="3" xfId="0" applyNumberFormat="1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right" vertical="center"/>
    </xf>
    <xf numFmtId="0" fontId="25" fillId="0" borderId="6" xfId="0" applyFont="1" applyBorder="1" applyAlignment="1">
      <alignment horizontal="left" vertical="center"/>
    </xf>
    <xf numFmtId="0" fontId="24" fillId="5" borderId="7" xfId="0" applyFont="1" applyFill="1" applyBorder="1" applyAlignment="1">
      <alignment horizontal="right" vertical="center"/>
    </xf>
    <xf numFmtId="0" fontId="25" fillId="0" borderId="9" xfId="0" applyFont="1" applyBorder="1" applyAlignment="1">
      <alignment horizontal="left" vertical="center"/>
    </xf>
    <xf numFmtId="0" fontId="32" fillId="10" borderId="1" xfId="0" applyFont="1" applyFill="1" applyBorder="1" applyAlignment="1">
      <alignment horizontal="center" vertical="center"/>
    </xf>
    <xf numFmtId="0" fontId="33" fillId="15" borderId="1" xfId="0" applyFont="1" applyFill="1" applyBorder="1" applyAlignment="1">
      <alignment horizontal="center" vertical="center"/>
    </xf>
    <xf numFmtId="0" fontId="33" fillId="14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1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BDBDBD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/>
        <top style="thin">
          <color rgb="FFBDBDBD"/>
        </top>
        <bottom style="thin">
          <color rgb="FFBDBDB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D1B2A"/>
        <name val="Arial"/>
        <scheme val="none"/>
      </font>
      <fill>
        <patternFill patternType="solid">
          <fgColor indexed="64"/>
          <bgColor rgb="FFE3F2FD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border outline="0">
        <top style="thin">
          <color rgb="FFBDBDBD"/>
        </top>
      </border>
    </dxf>
    <dxf>
      <border outline="0">
        <bottom style="thin">
          <color rgb="FFBDBDBD"/>
        </bottom>
      </border>
    </dxf>
    <dxf>
      <border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D1B2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/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Arial"/>
        <scheme val="none"/>
      </font>
      <fill>
        <patternFill patternType="solid">
          <fgColor indexed="64"/>
          <bgColor rgb="FFFFCDD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Arial"/>
        <scheme val="none"/>
      </font>
      <fill>
        <patternFill patternType="solid">
          <fgColor indexed="64"/>
          <bgColor rgb="FFFFEB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12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border outline="0">
        <top style="thin">
          <color rgb="FFBDBDBD"/>
        </top>
      </border>
    </dxf>
    <dxf>
      <border outline="0">
        <bottom style="thin">
          <color rgb="FFBDBDBD"/>
        </bottom>
      </border>
    </dxf>
    <dxf>
      <border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Study Hours vs Test Score.</a:t>
            </a:r>
          </a:p>
        </c:rich>
      </c:tx>
      <c:layout>
        <c:manualLayout>
          <c:xMode val="edge"/>
          <c:yMode val="edge"/>
          <c:x val="0.2861041119860017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45E-2"/>
          <c:y val="0.16245370370370371"/>
          <c:w val="0.87753018372703417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'📋 STUDENT_DATA'!$I$1:$I$3</c:f>
              <c:strCache>
                <c:ptCount val="3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408291751213432E-2"/>
                  <c:y val="-5.25546353337957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'📋 STUDENT_DATA'!$D$4:$D$40</c:f>
              <c:strCache>
                <c:ptCount val="32"/>
                <c:pt idx="0">
                  <c:v>StudyHours</c:v>
                </c:pt>
                <c:pt idx="1">
                  <c:v>hrs/week</c:v>
                </c:pt>
                <c:pt idx="2">
                  <c:v>11</c:v>
                </c:pt>
                <c:pt idx="3">
                  <c:v>9</c:v>
                </c:pt>
                <c:pt idx="4">
                  <c:v>5</c:v>
                </c:pt>
                <c:pt idx="5">
                  <c:v>4</c:v>
                </c:pt>
                <c:pt idx="6">
                  <c:v>25</c:v>
                </c:pt>
                <c:pt idx="7">
                  <c:v>6</c:v>
                </c:pt>
                <c:pt idx="8">
                  <c:v>27</c:v>
                </c:pt>
                <c:pt idx="9">
                  <c:v>18</c:v>
                </c:pt>
                <c:pt idx="10">
                  <c:v>17</c:v>
                </c:pt>
                <c:pt idx="11">
                  <c:v>21</c:v>
                </c:pt>
                <c:pt idx="12">
                  <c:v>24</c:v>
                </c:pt>
                <c:pt idx="13">
                  <c:v>29</c:v>
                </c:pt>
                <c:pt idx="14">
                  <c:v>20</c:v>
                </c:pt>
                <c:pt idx="15">
                  <c:v>9</c:v>
                </c:pt>
                <c:pt idx="16">
                  <c:v>28</c:v>
                </c:pt>
                <c:pt idx="17">
                  <c:v>4</c:v>
                </c:pt>
                <c:pt idx="18">
                  <c:v>14</c:v>
                </c:pt>
                <c:pt idx="19">
                  <c:v>23</c:v>
                </c:pt>
                <c:pt idx="20">
                  <c:v>4</c:v>
                </c:pt>
                <c:pt idx="21">
                  <c:v>23</c:v>
                </c:pt>
                <c:pt idx="22">
                  <c:v>12</c:v>
                </c:pt>
                <c:pt idx="23">
                  <c:v>31</c:v>
                </c:pt>
                <c:pt idx="24">
                  <c:v>32</c:v>
                </c:pt>
                <c:pt idx="25">
                  <c:v>18</c:v>
                </c:pt>
                <c:pt idx="26">
                  <c:v>6</c:v>
                </c:pt>
                <c:pt idx="27">
                  <c:v>12</c:v>
                </c:pt>
                <c:pt idx="28">
                  <c:v>10</c:v>
                </c:pt>
                <c:pt idx="29">
                  <c:v>7</c:v>
                </c:pt>
                <c:pt idx="30">
                  <c:v>10</c:v>
                </c:pt>
                <c:pt idx="31">
                  <c:v>33</c:v>
                </c:pt>
              </c:strCache>
            </c:strRef>
          </c:xVal>
          <c:yVal>
            <c:numRef>
              <c:f>'📋 STUDENT_DATA'!$I$4:$I$40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25</c:v>
                </c:pt>
                <c:pt idx="3">
                  <c:v>26</c:v>
                </c:pt>
                <c:pt idx="4">
                  <c:v>38</c:v>
                </c:pt>
                <c:pt idx="5">
                  <c:v>24</c:v>
                </c:pt>
                <c:pt idx="6">
                  <c:v>40</c:v>
                </c:pt>
                <c:pt idx="7">
                  <c:v>37</c:v>
                </c:pt>
                <c:pt idx="8">
                  <c:v>46</c:v>
                </c:pt>
                <c:pt idx="9">
                  <c:v>29</c:v>
                </c:pt>
                <c:pt idx="10">
                  <c:v>25</c:v>
                </c:pt>
                <c:pt idx="11">
                  <c:v>48</c:v>
                </c:pt>
                <c:pt idx="12">
                  <c:v>39</c:v>
                </c:pt>
                <c:pt idx="13">
                  <c:v>56</c:v>
                </c:pt>
                <c:pt idx="14">
                  <c:v>34</c:v>
                </c:pt>
                <c:pt idx="15">
                  <c:v>33</c:v>
                </c:pt>
                <c:pt idx="16">
                  <c:v>69</c:v>
                </c:pt>
                <c:pt idx="17">
                  <c:v>23</c:v>
                </c:pt>
                <c:pt idx="18">
                  <c:v>36</c:v>
                </c:pt>
                <c:pt idx="19">
                  <c:v>44</c:v>
                </c:pt>
                <c:pt idx="20">
                  <c:v>31</c:v>
                </c:pt>
                <c:pt idx="21">
                  <c:v>39</c:v>
                </c:pt>
                <c:pt idx="22">
                  <c:v>37</c:v>
                </c:pt>
                <c:pt idx="23">
                  <c:v>89</c:v>
                </c:pt>
                <c:pt idx="24">
                  <c:v>49</c:v>
                </c:pt>
                <c:pt idx="25">
                  <c:v>27</c:v>
                </c:pt>
                <c:pt idx="26">
                  <c:v>35</c:v>
                </c:pt>
                <c:pt idx="27">
                  <c:v>33</c:v>
                </c:pt>
                <c:pt idx="28">
                  <c:v>34</c:v>
                </c:pt>
                <c:pt idx="29">
                  <c:v>30</c:v>
                </c:pt>
                <c:pt idx="30">
                  <c:v>33</c:v>
                </c:pt>
                <c:pt idx="31">
                  <c:v>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83-4CA5-8B44-539435030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460720"/>
        <c:axId val="913456880"/>
      </c:scatterChart>
      <c:valAx>
        <c:axId val="91346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456880"/>
        <c:crosses val="autoZero"/>
        <c:crossBetween val="midCat"/>
      </c:valAx>
      <c:valAx>
        <c:axId val="9134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46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 Grade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'📋 STUDENT_DATA'!$O$4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alpha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accent1">
                    <a:alpha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2D-433C-BF3B-E95F02D51D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accent1">
                    <a:alpha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D2D-433C-BF3B-E95F02D51DA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1">
                    <a:alpha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2D-433C-BF3B-E95F02D51DA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1">
                    <a:alpha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D2D-433C-BF3B-E95F02D51DA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1">
                    <a:alpha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2D-433C-BF3B-E95F02D51D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'📋 STUDENT_DATA'!$N$5:$N$9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'📋 STUDENT_DATA'!$O$5:$O$9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D-433C-BF3B-E95F02D51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148656"/>
        <c:axId val="924149136"/>
      </c:barChart>
      <c:catAx>
        <c:axId val="92414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149136"/>
        <c:crosses val="autoZero"/>
        <c:auto val="1"/>
        <c:lblAlgn val="ctr"/>
        <c:lblOffset val="100"/>
        <c:noMultiLvlLbl val="0"/>
      </c:catAx>
      <c:valAx>
        <c:axId val="92414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14865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 Grade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'📋 STUDENT_DATA'!$O$4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alpha val="85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accent1">
                    <a:alpha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B6-4C14-B036-1EF1CAE7A3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1">
                    <a:alpha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B6-4C14-B036-1EF1CAE7A3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1">
                    <a:alpha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B6-4C14-B036-1EF1CAE7A31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1">
                    <a:alpha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B6-4C14-B036-1EF1CAE7A3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'📋 STUDENT_DATA'!$N$5:$N$9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'📋 STUDENT_DATA'!$O$5:$O$9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B6-4C14-B036-1EF1CAE7A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148656"/>
        <c:axId val="924149136"/>
      </c:barChart>
      <c:catAx>
        <c:axId val="92414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149136"/>
        <c:crosses val="autoZero"/>
        <c:auto val="1"/>
        <c:lblAlgn val="ctr"/>
        <c:lblOffset val="100"/>
        <c:noMultiLvlLbl val="0"/>
      </c:catAx>
      <c:valAx>
        <c:axId val="92414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14865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790574</xdr:colOff>
      <xdr:row>40</xdr:row>
      <xdr:rowOff>19049</xdr:rowOff>
    </xdr:from>
    <xdr:to>
      <xdr:col>12</xdr:col>
      <xdr:colOff>0</xdr:colOff>
      <xdr:row>67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5CEA45-3FE4-437D-5119-96CEEA7AC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</xdr:row>
      <xdr:rowOff>0</xdr:rowOff>
    </xdr:from>
    <xdr:to>
      <xdr:col>22</xdr:col>
      <xdr:colOff>352425</xdr:colOff>
      <xdr:row>17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ABA01-C2B6-B291-30CE-1A6C32313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21981</xdr:colOff>
      <xdr:row>2</xdr:row>
      <xdr:rowOff>161193</xdr:rowOff>
    </xdr:from>
    <xdr:to>
      <xdr:col>8</xdr:col>
      <xdr:colOff>586154</xdr:colOff>
      <xdr:row>14</xdr:row>
      <xdr:rowOff>90855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540E5A-5DEC-4248-84D4-BEC2C9EB4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1040422</xdr:colOff>
      <xdr:row>9</xdr:row>
      <xdr:rowOff>14654</xdr:rowOff>
    </xdr:from>
    <xdr:to>
      <xdr:col>3</xdr:col>
      <xdr:colOff>7327</xdr:colOff>
      <xdr:row>10</xdr:row>
      <xdr:rowOff>73270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CA9C276-DAD9-2426-EFE3-089BAD82FD0D}"/>
            </a:ext>
          </a:extLst>
        </xdr:cNvPr>
        <xdr:cNvSpPr/>
      </xdr:nvSpPr>
      <xdr:spPr>
        <a:xfrm>
          <a:off x="1304191" y="2476500"/>
          <a:ext cx="2029559" cy="2491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kern="1200"/>
            <a:t>'Feature Correlation: R² = 0.176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tch5" refreshedDate="46137.658881249998" createdVersion="8" refreshedVersion="8" minRefreshableVersion="3" recordCount="31" xr:uid="{6A67DFA9-F1E7-426F-99B4-77F9E923C2AE}">
  <cacheSource type="worksheet">
    <worksheetSource name="Table1"/>
  </cacheSource>
  <cacheFields count="12">
    <cacheField name="StudentID" numFmtId="0">
      <sharedItems count="31">
        <s v="ID"/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</sharedItems>
    </cacheField>
    <cacheField name="Name" numFmtId="0">
      <sharedItems/>
    </cacheField>
    <cacheField name="Gender" numFmtId="0">
      <sharedItems count="3">
        <s v="M/F"/>
        <s v="M"/>
        <s v="F"/>
      </sharedItems>
    </cacheField>
    <cacheField name="StudyHours" numFmtId="0">
      <sharedItems containsMixedTypes="1" containsNumber="1" containsInteger="1" minValue="4" maxValue="33"/>
    </cacheField>
    <cacheField name="Attendance%" numFmtId="0">
      <sharedItems containsMixedTypes="1" containsNumber="1" containsInteger="1" minValue="56" maxValue="98"/>
    </cacheField>
    <cacheField name="Quiz1" numFmtId="0">
      <sharedItems containsMixedTypes="1" containsNumber="1" containsInteger="1" minValue="22" maxValue="77"/>
    </cacheField>
    <cacheField name="Quiz2" numFmtId="0">
      <sharedItems containsMixedTypes="1" containsNumber="1" containsInteger="1" minValue="22" maxValue="87"/>
    </cacheField>
    <cacheField name="Quiz3" numFmtId="0">
      <sharedItems containsMixedTypes="1" containsNumber="1" containsInteger="1" minValue="23" maxValue="83"/>
    </cacheField>
    <cacheField name="TestScore" numFmtId="0">
      <sharedItems containsMixedTypes="1" containsNumber="1" containsInteger="1" minValue="23" maxValue="89"/>
    </cacheField>
    <cacheField name="Grade" numFmtId="0">
      <sharedItems count="5">
        <s v="A–F"/>
        <s v="F"/>
        <s v="D"/>
        <s v="C"/>
        <s v="B"/>
      </sharedItems>
    </cacheField>
    <cacheField name="PassFail" numFmtId="0">
      <sharedItems containsMixedTypes="1" containsNumber="1" containsInteger="1" minValue="0" maxValue="1" count="3">
        <s v="1=Pass 0=Fail"/>
        <n v="0"/>
        <n v="1"/>
      </sharedItems>
    </cacheField>
    <cacheField name="Age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s v="Text"/>
    <x v="0"/>
    <s v="hrs/week"/>
    <s v="0–100"/>
    <s v="0–100"/>
    <s v="0–100"/>
    <s v="0–100"/>
    <s v="0–100"/>
    <x v="0"/>
    <x v="0"/>
    <s v="&lt;18 / 18+"/>
  </r>
  <r>
    <x v="1"/>
    <s v="Liam"/>
    <x v="1"/>
    <n v="11"/>
    <n v="56"/>
    <n v="31"/>
    <n v="30"/>
    <n v="30"/>
    <n v="25"/>
    <x v="1"/>
    <x v="1"/>
    <s v="18 and over"/>
  </r>
  <r>
    <x v="2"/>
    <s v="Noah"/>
    <x v="1"/>
    <n v="9"/>
    <n v="92"/>
    <n v="23"/>
    <n v="22"/>
    <n v="24"/>
    <n v="26"/>
    <x v="1"/>
    <x v="1"/>
    <s v="Under 18"/>
  </r>
  <r>
    <x v="3"/>
    <s v="Oliver"/>
    <x v="1"/>
    <n v="5"/>
    <n v="90"/>
    <n v="35"/>
    <n v="29"/>
    <n v="36"/>
    <n v="38"/>
    <x v="1"/>
    <x v="1"/>
    <s v="Under 18"/>
  </r>
  <r>
    <x v="4"/>
    <s v="James"/>
    <x v="1"/>
    <n v="4"/>
    <n v="65"/>
    <n v="35"/>
    <n v="32"/>
    <n v="30"/>
    <n v="24"/>
    <x v="1"/>
    <x v="1"/>
    <s v="Under 18"/>
  </r>
  <r>
    <x v="5"/>
    <s v="Ethan"/>
    <x v="1"/>
    <n v="25"/>
    <n v="61"/>
    <n v="43"/>
    <n v="34"/>
    <n v="42"/>
    <n v="40"/>
    <x v="1"/>
    <x v="1"/>
    <s v="18 and over"/>
  </r>
  <r>
    <x v="6"/>
    <s v="Lucas"/>
    <x v="1"/>
    <n v="6"/>
    <n v="84"/>
    <n v="25"/>
    <n v="34"/>
    <n v="24"/>
    <n v="37"/>
    <x v="1"/>
    <x v="1"/>
    <s v="Under 18"/>
  </r>
  <r>
    <x v="7"/>
    <s v="Mason"/>
    <x v="1"/>
    <n v="27"/>
    <n v="91"/>
    <n v="41"/>
    <n v="40"/>
    <n v="46"/>
    <n v="46"/>
    <x v="2"/>
    <x v="1"/>
    <s v="18 and over"/>
  </r>
  <r>
    <x v="8"/>
    <s v="Logan"/>
    <x v="1"/>
    <n v="18"/>
    <n v="61"/>
    <n v="34"/>
    <n v="40"/>
    <n v="37"/>
    <n v="29"/>
    <x v="1"/>
    <x v="1"/>
    <s v="Under 18"/>
  </r>
  <r>
    <x v="9"/>
    <s v="Aiden"/>
    <x v="1"/>
    <n v="17"/>
    <n v="97"/>
    <n v="24"/>
    <n v="27"/>
    <n v="29"/>
    <n v="25"/>
    <x v="1"/>
    <x v="1"/>
    <s v="Under 18"/>
  </r>
  <r>
    <x v="10"/>
    <s v="Carter"/>
    <x v="1"/>
    <n v="21"/>
    <n v="95"/>
    <n v="50"/>
    <n v="53"/>
    <n v="44"/>
    <n v="48"/>
    <x v="2"/>
    <x v="1"/>
    <s v="18 and over"/>
  </r>
  <r>
    <x v="11"/>
    <s v="Jayden"/>
    <x v="1"/>
    <n v="24"/>
    <n v="80"/>
    <n v="37"/>
    <n v="41"/>
    <n v="45"/>
    <n v="39"/>
    <x v="1"/>
    <x v="1"/>
    <s v="18 and over"/>
  </r>
  <r>
    <x v="12"/>
    <s v="Elijah"/>
    <x v="1"/>
    <n v="29"/>
    <n v="96"/>
    <n v="55"/>
    <n v="59"/>
    <n v="55"/>
    <n v="56"/>
    <x v="2"/>
    <x v="2"/>
    <s v="18 and over"/>
  </r>
  <r>
    <x v="13"/>
    <s v="Ryan"/>
    <x v="1"/>
    <n v="20"/>
    <n v="92"/>
    <n v="44"/>
    <n v="43"/>
    <n v="39"/>
    <n v="34"/>
    <x v="1"/>
    <x v="1"/>
    <s v="18 and over"/>
  </r>
  <r>
    <x v="14"/>
    <s v="Nathan"/>
    <x v="1"/>
    <n v="9"/>
    <n v="58"/>
    <n v="25"/>
    <n v="26"/>
    <n v="27"/>
    <n v="33"/>
    <x v="1"/>
    <x v="1"/>
    <s v="18 and over"/>
  </r>
  <r>
    <x v="15"/>
    <s v="Dylan"/>
    <x v="1"/>
    <n v="28"/>
    <n v="79"/>
    <n v="68"/>
    <n v="70"/>
    <n v="62"/>
    <n v="69"/>
    <x v="3"/>
    <x v="2"/>
    <s v="18 and over"/>
  </r>
  <r>
    <x v="16"/>
    <s v="Emma"/>
    <x v="2"/>
    <n v="4"/>
    <n v="98"/>
    <n v="25"/>
    <n v="30"/>
    <n v="32"/>
    <n v="23"/>
    <x v="1"/>
    <x v="1"/>
    <s v="Under 18"/>
  </r>
  <r>
    <x v="17"/>
    <s v="Olivia"/>
    <x v="2"/>
    <n v="14"/>
    <n v="84"/>
    <n v="30"/>
    <n v="38"/>
    <n v="27"/>
    <n v="36"/>
    <x v="1"/>
    <x v="1"/>
    <s v="18 and over"/>
  </r>
  <r>
    <x v="18"/>
    <s v="Ava"/>
    <x v="2"/>
    <n v="23"/>
    <n v="95"/>
    <n v="47"/>
    <n v="45"/>
    <n v="52"/>
    <n v="44"/>
    <x v="1"/>
    <x v="1"/>
    <s v="18 and over"/>
  </r>
  <r>
    <x v="19"/>
    <s v="Isabella"/>
    <x v="2"/>
    <n v="4"/>
    <n v="93"/>
    <n v="37"/>
    <n v="22"/>
    <n v="25"/>
    <n v="31"/>
    <x v="1"/>
    <x v="1"/>
    <s v="18 and over"/>
  </r>
  <r>
    <x v="20"/>
    <s v="Sophia"/>
    <x v="2"/>
    <n v="23"/>
    <n v="70"/>
    <n v="33"/>
    <n v="28"/>
    <n v="28"/>
    <n v="39"/>
    <x v="1"/>
    <x v="1"/>
    <s v="18 and over"/>
  </r>
  <r>
    <x v="21"/>
    <s v="Mia"/>
    <x v="2"/>
    <n v="12"/>
    <n v="63"/>
    <n v="38"/>
    <n v="28"/>
    <n v="31"/>
    <n v="37"/>
    <x v="1"/>
    <x v="1"/>
    <s v="18 and over"/>
  </r>
  <r>
    <x v="22"/>
    <s v="Charlotte"/>
    <x v="2"/>
    <n v="31"/>
    <n v="68"/>
    <n v="77"/>
    <n v="80"/>
    <n v="83"/>
    <n v="89"/>
    <x v="4"/>
    <x v="2"/>
    <s v="Under 18"/>
  </r>
  <r>
    <x v="23"/>
    <s v="Amelia"/>
    <x v="2"/>
    <n v="32"/>
    <n v="62"/>
    <n v="58"/>
    <n v="53"/>
    <n v="61"/>
    <n v="49"/>
    <x v="2"/>
    <x v="1"/>
    <s v="18 and over"/>
  </r>
  <r>
    <x v="24"/>
    <s v="Harper"/>
    <x v="2"/>
    <n v="18"/>
    <n v="92"/>
    <n v="22"/>
    <n v="24"/>
    <n v="23"/>
    <n v="27"/>
    <x v="1"/>
    <x v="1"/>
    <s v="Under 18"/>
  </r>
  <r>
    <x v="25"/>
    <s v="Evelyn"/>
    <x v="2"/>
    <n v="6"/>
    <n v="76"/>
    <n v="38"/>
    <n v="29"/>
    <n v="30"/>
    <n v="35"/>
    <x v="1"/>
    <x v="1"/>
    <s v="Under 18"/>
  </r>
  <r>
    <x v="26"/>
    <s v="Luna"/>
    <x v="2"/>
    <n v="12"/>
    <n v="91"/>
    <n v="37"/>
    <n v="29"/>
    <n v="37"/>
    <n v="33"/>
    <x v="1"/>
    <x v="1"/>
    <s v="Under 18"/>
  </r>
  <r>
    <x v="27"/>
    <s v="Ella"/>
    <x v="2"/>
    <n v="10"/>
    <n v="97"/>
    <n v="33"/>
    <n v="35"/>
    <n v="35"/>
    <n v="34"/>
    <x v="1"/>
    <x v="1"/>
    <s v="18 and over"/>
  </r>
  <r>
    <x v="28"/>
    <s v="Chloe"/>
    <x v="2"/>
    <n v="7"/>
    <n v="98"/>
    <n v="25"/>
    <n v="23"/>
    <n v="34"/>
    <n v="30"/>
    <x v="1"/>
    <x v="1"/>
    <s v="18 and over"/>
  </r>
  <r>
    <x v="29"/>
    <s v="Grace"/>
    <x v="2"/>
    <n v="10"/>
    <n v="70"/>
    <n v="28"/>
    <n v="36"/>
    <n v="26"/>
    <n v="33"/>
    <x v="1"/>
    <x v="1"/>
    <s v="Under 18"/>
  </r>
  <r>
    <x v="30"/>
    <s v="Lily"/>
    <x v="2"/>
    <n v="33"/>
    <n v="70"/>
    <n v="75"/>
    <n v="87"/>
    <n v="76"/>
    <n v="72"/>
    <x v="3"/>
    <x v="2"/>
    <s v="18 and ov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750CE-4EC1-475B-A48F-176C1AE8896F}" name="PivotTable8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12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TestScore" fld="8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447F2-F133-4C4B-8B51-28CCBD1F0763}" name="PivotTable9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2">
    <pivotField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estScore" fld="8" subtotal="average" baseField="9" baseItem="0"/>
    <dataField name="Count of StudyHours" fld="3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1007C2-FF11-46D1-8EA3-406C7A7D80D9}" name="Table1" displayName="Table1" ref="A4:L35" totalsRowShown="0" headerRowDxfId="5" headerRowBorderDxfId="19" tableBorderDxfId="20" totalsRowBorderDxfId="18">
  <autoFilter ref="A4:L35" xr:uid="{C01007C2-FF11-46D1-8EA3-406C7A7D80D9}"/>
  <tableColumns count="12">
    <tableColumn id="1" xr3:uid="{88712902-086F-4FD6-A553-6C1BE4B904C1}" name="StudentID" dataDxfId="17"/>
    <tableColumn id="2" xr3:uid="{E31C91C6-5B8B-4F55-8BAC-3E4D21E58DB0}" name="Name" dataDxfId="16"/>
    <tableColumn id="3" xr3:uid="{F64363B1-C9B8-4DF3-BE0E-089F3817D316}" name="Gender" dataDxfId="15"/>
    <tableColumn id="4" xr3:uid="{5F1D3B2D-B435-4C29-BBD3-4E51C445CA14}" name="StudyHours" dataDxfId="14"/>
    <tableColumn id="5" xr3:uid="{63867F1B-8807-433A-97A4-8444952B98D5}" name="Attendance%" dataDxfId="13"/>
    <tableColumn id="6" xr3:uid="{BD8DA76C-907C-477F-BBAE-8C37E8EF9609}" name="Quiz1" dataDxfId="12"/>
    <tableColumn id="7" xr3:uid="{27A5D6AF-7690-4042-9C5B-6795D528EDD8}" name="Quiz2" dataDxfId="11"/>
    <tableColumn id="8" xr3:uid="{E48D6E7F-A2FD-4F56-B332-BF75939D796A}" name="Quiz3" dataDxfId="10"/>
    <tableColumn id="9" xr3:uid="{6E613F51-4EE8-4809-AB68-51229B9153C6}" name="TestScore" dataDxfId="9"/>
    <tableColumn id="10" xr3:uid="{04552935-4EE0-4F45-85C2-419FC47C0E51}" name="Grade" dataDxfId="8"/>
    <tableColumn id="11" xr3:uid="{AA8267CE-B8B9-4178-BBC1-04F7774910CE}" name="PassFail" dataDxfId="7"/>
    <tableColumn id="12" xr3:uid="{523D8D43-FE41-41F2-BC9A-FA460FCFCAF5}" name="AgeGroup" dataDxfId="6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94FDBC-4838-48BC-AE39-45EAE3761380}" name="Table2" displayName="Table2" ref="B4:C9" totalsRowShown="0" headerRowBorderDxfId="3" tableBorderDxfId="4" totalsRowBorderDxfId="2">
  <autoFilter ref="B4:C9" xr:uid="{5594FDBC-4838-48BC-AE39-45EAE3761380}"/>
  <tableColumns count="2">
    <tableColumn id="1" xr3:uid="{515286F5-46A2-4FB8-A940-9D5CC9E04A39}" name="Total Students" dataDxfId="1"/>
    <tableColumn id="2" xr3:uid="{C36B1F5B-CB0F-4D3F-A69F-812269B2C64B}" name="3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opLeftCell="A2" workbookViewId="0">
      <selection activeCell="D18" sqref="C18:D23"/>
    </sheetView>
  </sheetViews>
  <sheetFormatPr defaultRowHeight="15" x14ac:dyDescent="0.25"/>
  <cols>
    <col min="1" max="1" width="14" customWidth="1"/>
    <col min="2" max="2" width="12" customWidth="1"/>
    <col min="3" max="3" width="28" customWidth="1"/>
    <col min="4" max="5" width="14" customWidth="1"/>
    <col min="6" max="6" width="38" customWidth="1"/>
    <col min="7" max="8" width="8" customWidth="1"/>
  </cols>
  <sheetData>
    <row r="1" spans="1:8" ht="36" customHeight="1" x14ac:dyDescent="0.25">
      <c r="A1" s="41" t="s">
        <v>0</v>
      </c>
      <c r="B1" s="36"/>
      <c r="C1" s="36"/>
      <c r="D1" s="36"/>
      <c r="E1" s="36"/>
      <c r="F1" s="36"/>
      <c r="G1" s="36"/>
      <c r="H1" s="36"/>
    </row>
    <row r="2" spans="1:8" ht="20.100000000000001" customHeight="1" x14ac:dyDescent="0.25">
      <c r="A2" s="39" t="s">
        <v>1</v>
      </c>
      <c r="B2" s="36"/>
      <c r="C2" s="36"/>
      <c r="D2" s="36"/>
      <c r="E2" s="36"/>
      <c r="F2" s="36"/>
      <c r="G2" s="36"/>
      <c r="H2" s="36"/>
    </row>
    <row r="3" spans="1:8" ht="8.1" customHeight="1" x14ac:dyDescent="0.25"/>
    <row r="4" spans="1:8" ht="24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</row>
    <row r="5" spans="1:8" ht="27.95" customHeight="1" x14ac:dyDescent="0.25">
      <c r="A5" s="42" t="s">
        <v>3</v>
      </c>
      <c r="B5" s="36"/>
      <c r="C5" s="36"/>
      <c r="D5" s="36"/>
      <c r="E5" s="36"/>
      <c r="F5" s="36"/>
      <c r="G5" s="36"/>
      <c r="H5" s="36"/>
    </row>
    <row r="6" spans="1:8" ht="27.95" customHeight="1" x14ac:dyDescent="0.25">
      <c r="A6" s="36"/>
      <c r="B6" s="36"/>
      <c r="C6" s="36"/>
      <c r="D6" s="36"/>
      <c r="E6" s="36"/>
      <c r="F6" s="36"/>
      <c r="G6" s="36"/>
      <c r="H6" s="36"/>
    </row>
    <row r="7" spans="1:8" ht="8.1" customHeight="1" x14ac:dyDescent="0.25"/>
    <row r="8" spans="1:8" ht="24" customHeight="1" x14ac:dyDescent="0.25">
      <c r="A8" s="43" t="s">
        <v>4</v>
      </c>
      <c r="B8" s="36"/>
      <c r="C8" s="36"/>
      <c r="D8" s="36"/>
      <c r="E8" s="36"/>
      <c r="F8" s="36"/>
      <c r="G8" s="36"/>
      <c r="H8" s="36"/>
    </row>
    <row r="9" spans="1:8" ht="21.95" customHeight="1" x14ac:dyDescent="0.25">
      <c r="A9" s="1" t="s">
        <v>5</v>
      </c>
      <c r="B9" s="2" t="s">
        <v>6</v>
      </c>
      <c r="C9" s="38" t="s">
        <v>7</v>
      </c>
      <c r="D9" s="36"/>
      <c r="E9" s="36"/>
      <c r="F9" s="37" t="s">
        <v>8</v>
      </c>
      <c r="G9" s="36"/>
      <c r="H9" s="36"/>
    </row>
    <row r="10" spans="1:8" ht="21.95" customHeight="1" x14ac:dyDescent="0.25">
      <c r="A10" s="1" t="s">
        <v>9</v>
      </c>
      <c r="B10" s="3" t="s">
        <v>10</v>
      </c>
      <c r="C10" s="38" t="s">
        <v>11</v>
      </c>
      <c r="D10" s="36"/>
      <c r="E10" s="36"/>
      <c r="F10" s="37" t="s">
        <v>12</v>
      </c>
      <c r="G10" s="36"/>
      <c r="H10" s="36"/>
    </row>
    <row r="11" spans="1:8" ht="21.95" customHeight="1" x14ac:dyDescent="0.25">
      <c r="A11" s="1" t="s">
        <v>13</v>
      </c>
      <c r="B11" s="4" t="s">
        <v>14</v>
      </c>
      <c r="C11" s="38" t="s">
        <v>15</v>
      </c>
      <c r="D11" s="36"/>
      <c r="E11" s="36"/>
      <c r="F11" s="37" t="s">
        <v>16</v>
      </c>
      <c r="G11" s="36"/>
      <c r="H11" s="36"/>
    </row>
    <row r="12" spans="1:8" ht="21.95" customHeight="1" x14ac:dyDescent="0.25">
      <c r="A12" s="1" t="s">
        <v>17</v>
      </c>
      <c r="B12" s="5" t="s">
        <v>18</v>
      </c>
      <c r="C12" s="38" t="s">
        <v>19</v>
      </c>
      <c r="D12" s="36"/>
      <c r="E12" s="36"/>
      <c r="F12" s="37" t="s">
        <v>20</v>
      </c>
      <c r="G12" s="36"/>
      <c r="H12" s="36"/>
    </row>
    <row r="13" spans="1:8" ht="21.95" customHeight="1" x14ac:dyDescent="0.25">
      <c r="A13" s="1" t="s">
        <v>21</v>
      </c>
      <c r="B13" s="6" t="s">
        <v>22</v>
      </c>
      <c r="C13" s="38" t="s">
        <v>23</v>
      </c>
      <c r="D13" s="36"/>
      <c r="E13" s="36"/>
      <c r="F13" s="37" t="s">
        <v>24</v>
      </c>
      <c r="G13" s="36"/>
      <c r="H13" s="36"/>
    </row>
    <row r="14" spans="1:8" ht="21.95" customHeight="1" x14ac:dyDescent="0.25">
      <c r="A14" s="1" t="s">
        <v>25</v>
      </c>
      <c r="B14" s="7" t="s">
        <v>26</v>
      </c>
      <c r="C14" s="38" t="s">
        <v>27</v>
      </c>
      <c r="D14" s="36"/>
      <c r="E14" s="36"/>
      <c r="F14" s="37" t="s">
        <v>28</v>
      </c>
      <c r="G14" s="36"/>
      <c r="H14" s="36"/>
    </row>
    <row r="15" spans="1:8" ht="8.1" customHeight="1" x14ac:dyDescent="0.25"/>
    <row r="16" spans="1:8" ht="27.95" customHeight="1" x14ac:dyDescent="0.25">
      <c r="A16" s="98" t="s">
        <v>29</v>
      </c>
      <c r="B16" s="36"/>
      <c r="C16" s="36"/>
      <c r="D16" s="36"/>
      <c r="E16" s="36"/>
      <c r="F16" s="36"/>
      <c r="G16" s="36"/>
      <c r="H16" s="36"/>
    </row>
  </sheetData>
  <mergeCells count="18">
    <mergeCell ref="A2:H2"/>
    <mergeCell ref="A16:H16"/>
    <mergeCell ref="C9:E9"/>
    <mergeCell ref="F9:H9"/>
    <mergeCell ref="A1:H1"/>
    <mergeCell ref="C12:E12"/>
    <mergeCell ref="F12:H12"/>
    <mergeCell ref="A5:H6"/>
    <mergeCell ref="A8:H8"/>
    <mergeCell ref="F11:H11"/>
    <mergeCell ref="C10:E10"/>
    <mergeCell ref="A4:H4"/>
    <mergeCell ref="F10:H10"/>
    <mergeCell ref="C11:E11"/>
    <mergeCell ref="C14:E14"/>
    <mergeCell ref="C13:E13"/>
    <mergeCell ref="F14:H14"/>
    <mergeCell ref="F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843F-E122-4174-9862-6C401288C9DF}">
  <dimension ref="A3:E8"/>
  <sheetViews>
    <sheetView workbookViewId="0">
      <selection activeCell="B5" sqref="B5"/>
    </sheetView>
  </sheetViews>
  <sheetFormatPr defaultRowHeight="15" x14ac:dyDescent="0.25"/>
  <cols>
    <col min="1" max="1" width="17.85546875" bestFit="1" customWidth="1"/>
    <col min="2" max="2" width="16.28515625" bestFit="1" customWidth="1"/>
    <col min="3" max="3" width="2" bestFit="1" customWidth="1"/>
    <col min="4" max="4" width="12.42578125" bestFit="1" customWidth="1"/>
    <col min="5" max="5" width="11.28515625" bestFit="1" customWidth="1"/>
  </cols>
  <sheetData>
    <row r="3" spans="1:5" x14ac:dyDescent="0.25">
      <c r="A3" s="84" t="s">
        <v>257</v>
      </c>
      <c r="B3" s="84" t="s">
        <v>261</v>
      </c>
    </row>
    <row r="4" spans="1:5" x14ac:dyDescent="0.25">
      <c r="A4" s="84" t="s">
        <v>258</v>
      </c>
      <c r="B4">
        <v>0</v>
      </c>
      <c r="C4">
        <v>1</v>
      </c>
      <c r="D4" t="s">
        <v>52</v>
      </c>
      <c r="E4" t="s">
        <v>259</v>
      </c>
    </row>
    <row r="5" spans="1:5" x14ac:dyDescent="0.25">
      <c r="A5" s="85" t="s">
        <v>58</v>
      </c>
      <c r="B5" s="86">
        <v>13</v>
      </c>
      <c r="C5" s="86">
        <v>2</v>
      </c>
      <c r="D5" s="86"/>
      <c r="E5" s="86">
        <v>15</v>
      </c>
    </row>
    <row r="6" spans="1:5" x14ac:dyDescent="0.25">
      <c r="A6" s="85" t="s">
        <v>57</v>
      </c>
      <c r="B6" s="86">
        <v>13</v>
      </c>
      <c r="C6" s="86">
        <v>2</v>
      </c>
      <c r="D6" s="86"/>
      <c r="E6" s="86">
        <v>15</v>
      </c>
    </row>
    <row r="7" spans="1:5" x14ac:dyDescent="0.25">
      <c r="A7" s="85" t="s">
        <v>48</v>
      </c>
      <c r="B7" s="86"/>
      <c r="C7" s="86"/>
      <c r="D7" s="86">
        <v>1</v>
      </c>
      <c r="E7" s="86">
        <v>1</v>
      </c>
    </row>
    <row r="8" spans="1:5" x14ac:dyDescent="0.25">
      <c r="A8" s="85" t="s">
        <v>259</v>
      </c>
      <c r="B8" s="86">
        <v>26</v>
      </c>
      <c r="C8" s="86">
        <v>4</v>
      </c>
      <c r="D8" s="86">
        <v>1</v>
      </c>
      <c r="E8" s="86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31F8-E5CF-428C-8A04-62D20C2ABB6A}">
  <dimension ref="A3:C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9.85546875" bestFit="1" customWidth="1"/>
    <col min="3" max="3" width="19.42578125" bestFit="1" customWidth="1"/>
  </cols>
  <sheetData>
    <row r="3" spans="1:3" x14ac:dyDescent="0.25">
      <c r="A3" s="84" t="s">
        <v>258</v>
      </c>
      <c r="B3" t="s">
        <v>260</v>
      </c>
      <c r="C3" t="s">
        <v>262</v>
      </c>
    </row>
    <row r="4" spans="1:3" x14ac:dyDescent="0.25">
      <c r="A4" s="85" t="s">
        <v>51</v>
      </c>
      <c r="B4" s="86" t="e">
        <v>#DIV/0!</v>
      </c>
      <c r="C4" s="86">
        <v>1</v>
      </c>
    </row>
    <row r="5" spans="1:3" x14ac:dyDescent="0.25">
      <c r="A5" s="85" t="s">
        <v>60</v>
      </c>
      <c r="B5" s="86">
        <v>89</v>
      </c>
      <c r="C5" s="86">
        <v>1</v>
      </c>
    </row>
    <row r="6" spans="1:3" x14ac:dyDescent="0.25">
      <c r="A6" s="85" t="s">
        <v>64</v>
      </c>
      <c r="B6" s="86">
        <v>70.5</v>
      </c>
      <c r="C6" s="86">
        <v>2</v>
      </c>
    </row>
    <row r="7" spans="1:3" x14ac:dyDescent="0.25">
      <c r="A7" s="85" t="s">
        <v>67</v>
      </c>
      <c r="B7" s="86">
        <v>49.75</v>
      </c>
      <c r="C7" s="86">
        <v>4</v>
      </c>
    </row>
    <row r="8" spans="1:3" x14ac:dyDescent="0.25">
      <c r="A8" s="85" t="s">
        <v>58</v>
      </c>
      <c r="B8" s="86">
        <v>32.695652173913047</v>
      </c>
      <c r="C8" s="86">
        <v>23</v>
      </c>
    </row>
    <row r="9" spans="1:3" x14ac:dyDescent="0.25">
      <c r="A9" s="85" t="s">
        <v>259</v>
      </c>
      <c r="B9" s="86">
        <v>39.366666666666667</v>
      </c>
      <c r="C9" s="86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"/>
  <sheetViews>
    <sheetView tabSelected="1" workbookViewId="0">
      <pane ySplit="5" topLeftCell="A6" activePane="bottomLeft" state="frozen"/>
      <selection pane="bottomLeft" activeCell="N1" sqref="N1"/>
    </sheetView>
  </sheetViews>
  <sheetFormatPr defaultRowHeight="15" x14ac:dyDescent="0.25"/>
  <cols>
    <col min="1" max="1" width="12" customWidth="1"/>
    <col min="2" max="2" width="14" customWidth="1"/>
    <col min="3" max="3" width="9.85546875" customWidth="1"/>
    <col min="4" max="4" width="13.42578125" customWidth="1"/>
    <col min="5" max="5" width="14.85546875" customWidth="1"/>
    <col min="6" max="8" width="9" customWidth="1"/>
    <col min="9" max="9" width="12.140625" customWidth="1"/>
    <col min="10" max="10" width="9" customWidth="1"/>
    <col min="11" max="11" width="10.7109375" customWidth="1"/>
    <col min="12" max="12" width="13" customWidth="1"/>
    <col min="13" max="13" width="14" customWidth="1"/>
    <col min="14" max="15" width="10" customWidth="1"/>
  </cols>
  <sheetData>
    <row r="1" spans="1:15" ht="27.95" customHeight="1" x14ac:dyDescent="0.25">
      <c r="A1" s="46" t="s">
        <v>30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5" ht="20.100000000000001" customHeight="1" x14ac:dyDescent="0.25">
      <c r="A2" s="45" t="s">
        <v>31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5" ht="8.1" customHeight="1" x14ac:dyDescent="0.25"/>
    <row r="4" spans="1:15" ht="21.95" customHeight="1" x14ac:dyDescent="0.25">
      <c r="A4" s="76" t="s">
        <v>32</v>
      </c>
      <c r="B4" s="77" t="s">
        <v>33</v>
      </c>
      <c r="C4" s="77" t="s">
        <v>34</v>
      </c>
      <c r="D4" s="77" t="s">
        <v>35</v>
      </c>
      <c r="E4" s="77" t="s">
        <v>36</v>
      </c>
      <c r="F4" s="77" t="s">
        <v>37</v>
      </c>
      <c r="G4" s="77" t="s">
        <v>38</v>
      </c>
      <c r="H4" s="77" t="s">
        <v>39</v>
      </c>
      <c r="I4" s="77" t="s">
        <v>40</v>
      </c>
      <c r="J4" s="77" t="s">
        <v>41</v>
      </c>
      <c r="K4" s="77" t="s">
        <v>42</v>
      </c>
      <c r="L4" s="78" t="s">
        <v>43</v>
      </c>
      <c r="M4" s="9" t="s">
        <v>44</v>
      </c>
      <c r="N4" s="10" t="s">
        <v>41</v>
      </c>
      <c r="O4" s="10" t="s">
        <v>45</v>
      </c>
    </row>
    <row r="5" spans="1:15" ht="18" customHeight="1" x14ac:dyDescent="0.25">
      <c r="A5" s="70" t="s">
        <v>46</v>
      </c>
      <c r="B5" s="11" t="s">
        <v>47</v>
      </c>
      <c r="C5" s="11" t="s">
        <v>48</v>
      </c>
      <c r="D5" s="11" t="s">
        <v>49</v>
      </c>
      <c r="E5" s="11" t="s">
        <v>50</v>
      </c>
      <c r="F5" s="11" t="s">
        <v>50</v>
      </c>
      <c r="G5" s="11" t="s">
        <v>50</v>
      </c>
      <c r="H5" s="11" t="s">
        <v>50</v>
      </c>
      <c r="I5" s="11" t="s">
        <v>50</v>
      </c>
      <c r="J5" s="11" t="s">
        <v>51</v>
      </c>
      <c r="K5" s="11" t="s">
        <v>52</v>
      </c>
      <c r="L5" s="73" t="s">
        <v>53</v>
      </c>
      <c r="N5" s="12" t="s">
        <v>54</v>
      </c>
      <c r="O5" s="13">
        <f>COUNTIF($J$6:$J$35,N5)</f>
        <v>1</v>
      </c>
    </row>
    <row r="6" spans="1:15" ht="18" customHeight="1" x14ac:dyDescent="0.25">
      <c r="A6" s="71" t="s">
        <v>55</v>
      </c>
      <c r="B6" s="14" t="s">
        <v>56</v>
      </c>
      <c r="C6" s="14" t="s">
        <v>57</v>
      </c>
      <c r="D6" s="14">
        <v>11</v>
      </c>
      <c r="E6" s="14">
        <v>56</v>
      </c>
      <c r="F6" s="14">
        <v>31</v>
      </c>
      <c r="G6" s="14">
        <v>30</v>
      </c>
      <c r="H6" s="14">
        <v>30</v>
      </c>
      <c r="I6" s="15">
        <v>25</v>
      </c>
      <c r="J6" s="16" t="s">
        <v>58</v>
      </c>
      <c r="K6" s="14">
        <v>0</v>
      </c>
      <c r="L6" s="74" t="s">
        <v>59</v>
      </c>
      <c r="M6" s="87"/>
      <c r="N6" s="17" t="s">
        <v>60</v>
      </c>
      <c r="O6" s="13">
        <f>COUNTIF($J$6:$J$35,N6)</f>
        <v>2</v>
      </c>
    </row>
    <row r="7" spans="1:15" ht="18" customHeight="1" x14ac:dyDescent="0.25">
      <c r="A7" s="72" t="s">
        <v>61</v>
      </c>
      <c r="B7" s="18" t="s">
        <v>62</v>
      </c>
      <c r="C7" s="18" t="s">
        <v>57</v>
      </c>
      <c r="D7" s="18">
        <v>9</v>
      </c>
      <c r="E7" s="18">
        <v>92</v>
      </c>
      <c r="F7" s="18">
        <v>23</v>
      </c>
      <c r="G7" s="18">
        <v>22</v>
      </c>
      <c r="H7" s="18">
        <v>24</v>
      </c>
      <c r="I7" s="15">
        <v>26</v>
      </c>
      <c r="J7" s="16" t="s">
        <v>58</v>
      </c>
      <c r="K7" s="18">
        <v>0</v>
      </c>
      <c r="L7" s="75" t="s">
        <v>63</v>
      </c>
      <c r="M7" s="87"/>
      <c r="N7" s="19" t="s">
        <v>64</v>
      </c>
      <c r="O7" s="13">
        <f>COUNTIF($J$6:$J$35,N7)</f>
        <v>2</v>
      </c>
    </row>
    <row r="8" spans="1:15" ht="18" customHeight="1" x14ac:dyDescent="0.25">
      <c r="A8" s="71" t="s">
        <v>65</v>
      </c>
      <c r="B8" s="14" t="s">
        <v>66</v>
      </c>
      <c r="C8" s="14" t="s">
        <v>57</v>
      </c>
      <c r="D8" s="14">
        <v>5</v>
      </c>
      <c r="E8" s="14">
        <v>90</v>
      </c>
      <c r="F8" s="14">
        <v>35</v>
      </c>
      <c r="G8" s="14">
        <v>29</v>
      </c>
      <c r="H8" s="14">
        <v>36</v>
      </c>
      <c r="I8" s="15">
        <v>38</v>
      </c>
      <c r="J8" s="16" t="s">
        <v>58</v>
      </c>
      <c r="K8" s="14">
        <v>0</v>
      </c>
      <c r="L8" s="74" t="s">
        <v>63</v>
      </c>
      <c r="M8" s="87"/>
      <c r="N8" s="20" t="s">
        <v>67</v>
      </c>
      <c r="O8" s="13">
        <f>COUNTIF($J$6:$J$35,N8)</f>
        <v>3</v>
      </c>
    </row>
    <row r="9" spans="1:15" ht="18" customHeight="1" x14ac:dyDescent="0.25">
      <c r="A9" s="72" t="s">
        <v>68</v>
      </c>
      <c r="B9" s="18" t="s">
        <v>69</v>
      </c>
      <c r="C9" s="18" t="s">
        <v>57</v>
      </c>
      <c r="D9" s="18">
        <v>4</v>
      </c>
      <c r="E9" s="18">
        <v>65</v>
      </c>
      <c r="F9" s="18">
        <v>35</v>
      </c>
      <c r="G9" s="18">
        <v>32</v>
      </c>
      <c r="H9" s="18">
        <v>30</v>
      </c>
      <c r="I9" s="15">
        <v>24</v>
      </c>
      <c r="J9" s="16" t="s">
        <v>58</v>
      </c>
      <c r="K9" s="18">
        <v>0</v>
      </c>
      <c r="L9" s="75" t="s">
        <v>63</v>
      </c>
      <c r="M9" s="87"/>
      <c r="N9" s="16" t="s">
        <v>58</v>
      </c>
      <c r="O9" s="13">
        <f>COUNTIF($J$6:$J$35,N9)</f>
        <v>22</v>
      </c>
    </row>
    <row r="10" spans="1:15" ht="18" customHeight="1" x14ac:dyDescent="0.25">
      <c r="A10" s="71" t="s">
        <v>70</v>
      </c>
      <c r="B10" s="14" t="s">
        <v>71</v>
      </c>
      <c r="C10" s="14" t="s">
        <v>57</v>
      </c>
      <c r="D10" s="14">
        <v>25</v>
      </c>
      <c r="E10" s="14">
        <v>61</v>
      </c>
      <c r="F10" s="14">
        <v>43</v>
      </c>
      <c r="G10" s="14">
        <v>34</v>
      </c>
      <c r="H10" s="14">
        <v>42</v>
      </c>
      <c r="I10" s="15">
        <v>40</v>
      </c>
      <c r="J10" s="16" t="s">
        <v>58</v>
      </c>
      <c r="K10" s="14">
        <v>0</v>
      </c>
      <c r="L10" s="74" t="s">
        <v>59</v>
      </c>
      <c r="M10" s="87"/>
    </row>
    <row r="11" spans="1:15" ht="18" customHeight="1" x14ac:dyDescent="0.25">
      <c r="A11" s="72" t="s">
        <v>72</v>
      </c>
      <c r="B11" s="18" t="s">
        <v>73</v>
      </c>
      <c r="C11" s="18" t="s">
        <v>57</v>
      </c>
      <c r="D11" s="18">
        <v>6</v>
      </c>
      <c r="E11" s="18">
        <v>84</v>
      </c>
      <c r="F11" s="18">
        <v>25</v>
      </c>
      <c r="G11" s="18">
        <v>34</v>
      </c>
      <c r="H11" s="18">
        <v>24</v>
      </c>
      <c r="I11" s="15">
        <v>37</v>
      </c>
      <c r="J11" s="16" t="s">
        <v>58</v>
      </c>
      <c r="K11" s="18">
        <v>0</v>
      </c>
      <c r="L11" s="75" t="s">
        <v>63</v>
      </c>
      <c r="M11" s="87"/>
    </row>
    <row r="12" spans="1:15" ht="18" customHeight="1" x14ac:dyDescent="0.25">
      <c r="A12" s="71" t="s">
        <v>74</v>
      </c>
      <c r="B12" s="14" t="s">
        <v>75</v>
      </c>
      <c r="C12" s="14" t="s">
        <v>57</v>
      </c>
      <c r="D12" s="14">
        <v>27</v>
      </c>
      <c r="E12" s="14">
        <v>91</v>
      </c>
      <c r="F12" s="14">
        <v>41</v>
      </c>
      <c r="G12" s="14">
        <v>40</v>
      </c>
      <c r="H12" s="14">
        <v>46</v>
      </c>
      <c r="I12" s="15">
        <v>46</v>
      </c>
      <c r="J12" s="20" t="s">
        <v>67</v>
      </c>
      <c r="K12" s="14">
        <v>0</v>
      </c>
      <c r="L12" s="74" t="s">
        <v>59</v>
      </c>
      <c r="M12" s="87"/>
    </row>
    <row r="13" spans="1:15" ht="18" customHeight="1" x14ac:dyDescent="0.25">
      <c r="A13" s="72" t="s">
        <v>76</v>
      </c>
      <c r="B13" s="18" t="s">
        <v>77</v>
      </c>
      <c r="C13" s="18" t="s">
        <v>57</v>
      </c>
      <c r="D13" s="18">
        <v>18</v>
      </c>
      <c r="E13" s="18">
        <v>61</v>
      </c>
      <c r="F13" s="18">
        <v>34</v>
      </c>
      <c r="G13" s="18">
        <v>40</v>
      </c>
      <c r="H13" s="18">
        <v>37</v>
      </c>
      <c r="I13" s="15">
        <v>29</v>
      </c>
      <c r="J13" s="16" t="s">
        <v>58</v>
      </c>
      <c r="K13" s="18">
        <v>0</v>
      </c>
      <c r="L13" s="75" t="s">
        <v>63</v>
      </c>
      <c r="M13" s="87"/>
    </row>
    <row r="14" spans="1:15" ht="18" customHeight="1" x14ac:dyDescent="0.25">
      <c r="A14" s="71" t="s">
        <v>78</v>
      </c>
      <c r="B14" s="14" t="s">
        <v>79</v>
      </c>
      <c r="C14" s="14" t="s">
        <v>57</v>
      </c>
      <c r="D14" s="14">
        <v>17</v>
      </c>
      <c r="E14" s="14">
        <v>97</v>
      </c>
      <c r="F14" s="14">
        <v>24</v>
      </c>
      <c r="G14" s="14">
        <v>27</v>
      </c>
      <c r="H14" s="14">
        <v>29</v>
      </c>
      <c r="I14" s="15">
        <v>25</v>
      </c>
      <c r="J14" s="16" t="s">
        <v>58</v>
      </c>
      <c r="K14" s="14">
        <v>0</v>
      </c>
      <c r="L14" s="74" t="s">
        <v>63</v>
      </c>
      <c r="M14" s="87"/>
    </row>
    <row r="15" spans="1:15" ht="18" customHeight="1" x14ac:dyDescent="0.25">
      <c r="A15" s="72" t="s">
        <v>80</v>
      </c>
      <c r="B15" s="18" t="s">
        <v>81</v>
      </c>
      <c r="C15" s="18" t="s">
        <v>57</v>
      </c>
      <c r="D15" s="18">
        <v>21</v>
      </c>
      <c r="E15" s="18">
        <v>95</v>
      </c>
      <c r="F15" s="18">
        <v>50</v>
      </c>
      <c r="G15" s="18">
        <v>53</v>
      </c>
      <c r="H15" s="18">
        <v>44</v>
      </c>
      <c r="I15" s="15">
        <v>48</v>
      </c>
      <c r="J15" s="99" t="s">
        <v>54</v>
      </c>
      <c r="K15" s="18">
        <v>0</v>
      </c>
      <c r="L15" s="75" t="s">
        <v>59</v>
      </c>
      <c r="M15" s="87"/>
    </row>
    <row r="16" spans="1:15" ht="18" customHeight="1" x14ac:dyDescent="0.25">
      <c r="A16" s="71" t="s">
        <v>82</v>
      </c>
      <c r="B16" s="14" t="s">
        <v>83</v>
      </c>
      <c r="C16" s="14" t="s">
        <v>57</v>
      </c>
      <c r="D16" s="14">
        <v>24</v>
      </c>
      <c r="E16" s="14">
        <v>80</v>
      </c>
      <c r="F16" s="14">
        <v>37</v>
      </c>
      <c r="G16" s="14">
        <v>41</v>
      </c>
      <c r="H16" s="14">
        <v>45</v>
      </c>
      <c r="I16" s="15">
        <v>39</v>
      </c>
      <c r="J16" s="100" t="s">
        <v>60</v>
      </c>
      <c r="K16" s="14">
        <v>0</v>
      </c>
      <c r="L16" s="74" t="s">
        <v>59</v>
      </c>
      <c r="M16" s="87"/>
    </row>
    <row r="17" spans="1:13" ht="18" customHeight="1" x14ac:dyDescent="0.25">
      <c r="A17" s="72" t="s">
        <v>84</v>
      </c>
      <c r="B17" s="18" t="s">
        <v>85</v>
      </c>
      <c r="C17" s="18" t="s">
        <v>57</v>
      </c>
      <c r="D17" s="18">
        <v>29</v>
      </c>
      <c r="E17" s="18">
        <v>96</v>
      </c>
      <c r="F17" s="18">
        <v>55</v>
      </c>
      <c r="G17" s="18">
        <v>59</v>
      </c>
      <c r="H17" s="18">
        <v>55</v>
      </c>
      <c r="I17" s="21">
        <v>56</v>
      </c>
      <c r="J17" s="20" t="s">
        <v>67</v>
      </c>
      <c r="K17" s="18">
        <v>1</v>
      </c>
      <c r="L17" s="75" t="s">
        <v>59</v>
      </c>
      <c r="M17" s="87"/>
    </row>
    <row r="18" spans="1:13" ht="18" customHeight="1" x14ac:dyDescent="0.25">
      <c r="A18" s="71" t="s">
        <v>86</v>
      </c>
      <c r="B18" s="14" t="s">
        <v>87</v>
      </c>
      <c r="C18" s="14" t="s">
        <v>57</v>
      </c>
      <c r="D18" s="14">
        <v>20</v>
      </c>
      <c r="E18" s="14">
        <v>92</v>
      </c>
      <c r="F18" s="14">
        <v>44</v>
      </c>
      <c r="G18" s="14">
        <v>43</v>
      </c>
      <c r="H18" s="14">
        <v>39</v>
      </c>
      <c r="I18" s="15">
        <v>34</v>
      </c>
      <c r="J18" s="16" t="s">
        <v>58</v>
      </c>
      <c r="K18" s="14">
        <v>0</v>
      </c>
      <c r="L18" s="74" t="s">
        <v>59</v>
      </c>
      <c r="M18" s="87"/>
    </row>
    <row r="19" spans="1:13" ht="18" customHeight="1" x14ac:dyDescent="0.25">
      <c r="A19" s="72" t="s">
        <v>88</v>
      </c>
      <c r="B19" s="18" t="s">
        <v>89</v>
      </c>
      <c r="C19" s="18" t="s">
        <v>57</v>
      </c>
      <c r="D19" s="18">
        <v>9</v>
      </c>
      <c r="E19" s="18">
        <v>58</v>
      </c>
      <c r="F19" s="18">
        <v>25</v>
      </c>
      <c r="G19" s="18">
        <v>26</v>
      </c>
      <c r="H19" s="18">
        <v>27</v>
      </c>
      <c r="I19" s="15">
        <v>33</v>
      </c>
      <c r="J19" s="16" t="s">
        <v>58</v>
      </c>
      <c r="K19" s="18">
        <v>0</v>
      </c>
      <c r="L19" s="75" t="s">
        <v>59</v>
      </c>
      <c r="M19" s="87"/>
    </row>
    <row r="20" spans="1:13" ht="18" customHeight="1" x14ac:dyDescent="0.25">
      <c r="A20" s="71" t="s">
        <v>90</v>
      </c>
      <c r="B20" s="14" t="s">
        <v>91</v>
      </c>
      <c r="C20" s="14" t="s">
        <v>57</v>
      </c>
      <c r="D20" s="14">
        <v>28</v>
      </c>
      <c r="E20" s="14">
        <v>79</v>
      </c>
      <c r="F20" s="14">
        <v>68</v>
      </c>
      <c r="G20" s="14">
        <v>70</v>
      </c>
      <c r="H20" s="14">
        <v>62</v>
      </c>
      <c r="I20" s="21">
        <v>69</v>
      </c>
      <c r="J20" s="19" t="s">
        <v>64</v>
      </c>
      <c r="K20" s="14">
        <v>1</v>
      </c>
      <c r="L20" s="74" t="s">
        <v>59</v>
      </c>
      <c r="M20" s="87"/>
    </row>
    <row r="21" spans="1:13" ht="18" customHeight="1" x14ac:dyDescent="0.25">
      <c r="A21" s="72" t="s">
        <v>92</v>
      </c>
      <c r="B21" s="18" t="s">
        <v>93</v>
      </c>
      <c r="C21" s="18" t="s">
        <v>58</v>
      </c>
      <c r="D21" s="18">
        <v>4</v>
      </c>
      <c r="E21" s="18">
        <v>98</v>
      </c>
      <c r="F21" s="18">
        <v>25</v>
      </c>
      <c r="G21" s="18">
        <v>30</v>
      </c>
      <c r="H21" s="18">
        <v>32</v>
      </c>
      <c r="I21" s="15">
        <v>23</v>
      </c>
      <c r="J21" s="16" t="s">
        <v>58</v>
      </c>
      <c r="K21" s="18">
        <v>0</v>
      </c>
      <c r="L21" s="75" t="s">
        <v>63</v>
      </c>
      <c r="M21" s="87"/>
    </row>
    <row r="22" spans="1:13" ht="18" customHeight="1" x14ac:dyDescent="0.25">
      <c r="A22" s="71" t="s">
        <v>94</v>
      </c>
      <c r="B22" s="14" t="s">
        <v>95</v>
      </c>
      <c r="C22" s="14" t="s">
        <v>58</v>
      </c>
      <c r="D22" s="14">
        <v>14</v>
      </c>
      <c r="E22" s="14">
        <v>84</v>
      </c>
      <c r="F22" s="14">
        <v>30</v>
      </c>
      <c r="G22" s="14">
        <v>38</v>
      </c>
      <c r="H22" s="14">
        <v>27</v>
      </c>
      <c r="I22" s="15">
        <v>36</v>
      </c>
      <c r="J22" s="16" t="s">
        <v>58</v>
      </c>
      <c r="K22" s="14">
        <v>0</v>
      </c>
      <c r="L22" s="74" t="s">
        <v>59</v>
      </c>
      <c r="M22" s="87"/>
    </row>
    <row r="23" spans="1:13" ht="18" customHeight="1" x14ac:dyDescent="0.25">
      <c r="A23" s="72" t="s">
        <v>96</v>
      </c>
      <c r="B23" s="18" t="s">
        <v>97</v>
      </c>
      <c r="C23" s="18" t="s">
        <v>58</v>
      </c>
      <c r="D23" s="18">
        <v>23</v>
      </c>
      <c r="E23" s="18">
        <v>95</v>
      </c>
      <c r="F23" s="18">
        <v>47</v>
      </c>
      <c r="G23" s="18">
        <v>45</v>
      </c>
      <c r="H23" s="18">
        <v>52</v>
      </c>
      <c r="I23" s="15">
        <v>44</v>
      </c>
      <c r="J23" s="16" t="s">
        <v>58</v>
      </c>
      <c r="K23" s="18">
        <v>0</v>
      </c>
      <c r="L23" s="75" t="s">
        <v>59</v>
      </c>
      <c r="M23" s="87"/>
    </row>
    <row r="24" spans="1:13" ht="18" customHeight="1" x14ac:dyDescent="0.25">
      <c r="A24" s="71" t="s">
        <v>98</v>
      </c>
      <c r="B24" s="14" t="s">
        <v>99</v>
      </c>
      <c r="C24" s="14" t="s">
        <v>58</v>
      </c>
      <c r="D24" s="14">
        <v>4</v>
      </c>
      <c r="E24" s="14">
        <v>93</v>
      </c>
      <c r="F24" s="14">
        <v>37</v>
      </c>
      <c r="G24" s="14">
        <v>22</v>
      </c>
      <c r="H24" s="14">
        <v>25</v>
      </c>
      <c r="I24" s="15">
        <v>31</v>
      </c>
      <c r="J24" s="16" t="s">
        <v>58</v>
      </c>
      <c r="K24" s="14">
        <v>0</v>
      </c>
      <c r="L24" s="74" t="s">
        <v>59</v>
      </c>
      <c r="M24" s="87"/>
    </row>
    <row r="25" spans="1:13" ht="18" customHeight="1" x14ac:dyDescent="0.25">
      <c r="A25" s="72" t="s">
        <v>100</v>
      </c>
      <c r="B25" s="18" t="s">
        <v>101</v>
      </c>
      <c r="C25" s="18" t="s">
        <v>58</v>
      </c>
      <c r="D25" s="18">
        <v>23</v>
      </c>
      <c r="E25" s="18">
        <v>70</v>
      </c>
      <c r="F25" s="18">
        <v>33</v>
      </c>
      <c r="G25" s="18">
        <v>28</v>
      </c>
      <c r="H25" s="18">
        <v>28</v>
      </c>
      <c r="I25" s="15">
        <v>39</v>
      </c>
      <c r="J25" s="16" t="s">
        <v>58</v>
      </c>
      <c r="K25" s="18">
        <v>0</v>
      </c>
      <c r="L25" s="75" t="s">
        <v>59</v>
      </c>
      <c r="M25" s="87"/>
    </row>
    <row r="26" spans="1:13" ht="18" customHeight="1" x14ac:dyDescent="0.25">
      <c r="A26" s="71" t="s">
        <v>102</v>
      </c>
      <c r="B26" s="14" t="s">
        <v>103</v>
      </c>
      <c r="C26" s="14" t="s">
        <v>58</v>
      </c>
      <c r="D26" s="14">
        <v>12</v>
      </c>
      <c r="E26" s="14">
        <v>63</v>
      </c>
      <c r="F26" s="14">
        <v>38</v>
      </c>
      <c r="G26" s="14">
        <v>28</v>
      </c>
      <c r="H26" s="14">
        <v>31</v>
      </c>
      <c r="I26" s="15">
        <v>37</v>
      </c>
      <c r="J26" s="16" t="s">
        <v>58</v>
      </c>
      <c r="K26" s="14">
        <v>0</v>
      </c>
      <c r="L26" s="74" t="s">
        <v>59</v>
      </c>
      <c r="M26" s="87"/>
    </row>
    <row r="27" spans="1:13" ht="18" customHeight="1" x14ac:dyDescent="0.25">
      <c r="A27" s="72" t="s">
        <v>104</v>
      </c>
      <c r="B27" s="18" t="s">
        <v>105</v>
      </c>
      <c r="C27" s="18" t="s">
        <v>58</v>
      </c>
      <c r="D27" s="18">
        <v>31</v>
      </c>
      <c r="E27" s="18">
        <v>68</v>
      </c>
      <c r="F27" s="18">
        <v>77</v>
      </c>
      <c r="G27" s="18">
        <v>80</v>
      </c>
      <c r="H27" s="18">
        <v>83</v>
      </c>
      <c r="I27" s="22">
        <v>89</v>
      </c>
      <c r="J27" s="17" t="s">
        <v>60</v>
      </c>
      <c r="K27" s="18">
        <v>1</v>
      </c>
      <c r="L27" s="75" t="s">
        <v>63</v>
      </c>
      <c r="M27" s="87"/>
    </row>
    <row r="28" spans="1:13" ht="18" customHeight="1" x14ac:dyDescent="0.25">
      <c r="A28" s="71" t="s">
        <v>106</v>
      </c>
      <c r="B28" s="14" t="s">
        <v>107</v>
      </c>
      <c r="C28" s="14" t="s">
        <v>58</v>
      </c>
      <c r="D28" s="14">
        <v>32</v>
      </c>
      <c r="E28" s="14">
        <v>62</v>
      </c>
      <c r="F28" s="14">
        <v>58</v>
      </c>
      <c r="G28" s="14">
        <v>53</v>
      </c>
      <c r="H28" s="14">
        <v>61</v>
      </c>
      <c r="I28" s="15">
        <v>49</v>
      </c>
      <c r="J28" s="20" t="s">
        <v>67</v>
      </c>
      <c r="K28" s="14">
        <v>0</v>
      </c>
      <c r="L28" s="74" t="s">
        <v>59</v>
      </c>
      <c r="M28" s="87"/>
    </row>
    <row r="29" spans="1:13" ht="18" customHeight="1" x14ac:dyDescent="0.25">
      <c r="A29" s="72" t="s">
        <v>108</v>
      </c>
      <c r="B29" s="18" t="s">
        <v>109</v>
      </c>
      <c r="C29" s="18" t="s">
        <v>58</v>
      </c>
      <c r="D29" s="18">
        <v>18</v>
      </c>
      <c r="E29" s="18">
        <v>92</v>
      </c>
      <c r="F29" s="18">
        <v>22</v>
      </c>
      <c r="G29" s="18">
        <v>24</v>
      </c>
      <c r="H29" s="18">
        <v>23</v>
      </c>
      <c r="I29" s="15">
        <v>27</v>
      </c>
      <c r="J29" s="16" t="s">
        <v>58</v>
      </c>
      <c r="K29" s="18">
        <v>0</v>
      </c>
      <c r="L29" s="75" t="s">
        <v>63</v>
      </c>
      <c r="M29" s="87"/>
    </row>
    <row r="30" spans="1:13" ht="18" customHeight="1" x14ac:dyDescent="0.25">
      <c r="A30" s="71" t="s">
        <v>110</v>
      </c>
      <c r="B30" s="14" t="s">
        <v>111</v>
      </c>
      <c r="C30" s="14" t="s">
        <v>58</v>
      </c>
      <c r="D30" s="14">
        <v>6</v>
      </c>
      <c r="E30" s="14">
        <v>76</v>
      </c>
      <c r="F30" s="14">
        <v>38</v>
      </c>
      <c r="G30" s="14">
        <v>29</v>
      </c>
      <c r="H30" s="14">
        <v>30</v>
      </c>
      <c r="I30" s="15">
        <v>35</v>
      </c>
      <c r="J30" s="16" t="s">
        <v>58</v>
      </c>
      <c r="K30" s="14">
        <v>0</v>
      </c>
      <c r="L30" s="74" t="s">
        <v>63</v>
      </c>
      <c r="M30" s="87"/>
    </row>
    <row r="31" spans="1:13" ht="18" customHeight="1" x14ac:dyDescent="0.25">
      <c r="A31" s="72" t="s">
        <v>112</v>
      </c>
      <c r="B31" s="18" t="s">
        <v>113</v>
      </c>
      <c r="C31" s="18" t="s">
        <v>58</v>
      </c>
      <c r="D31" s="18">
        <v>12</v>
      </c>
      <c r="E31" s="18">
        <v>91</v>
      </c>
      <c r="F31" s="18">
        <v>37</v>
      </c>
      <c r="G31" s="18">
        <v>29</v>
      </c>
      <c r="H31" s="18">
        <v>37</v>
      </c>
      <c r="I31" s="15">
        <v>33</v>
      </c>
      <c r="J31" s="16" t="s">
        <v>58</v>
      </c>
      <c r="K31" s="18">
        <v>0</v>
      </c>
      <c r="L31" s="75" t="s">
        <v>63</v>
      </c>
      <c r="M31" s="87"/>
    </row>
    <row r="32" spans="1:13" ht="18" customHeight="1" x14ac:dyDescent="0.25">
      <c r="A32" s="71" t="s">
        <v>114</v>
      </c>
      <c r="B32" s="14" t="s">
        <v>115</v>
      </c>
      <c r="C32" s="14" t="s">
        <v>58</v>
      </c>
      <c r="D32" s="14">
        <v>10</v>
      </c>
      <c r="E32" s="14">
        <v>97</v>
      </c>
      <c r="F32" s="14">
        <v>33</v>
      </c>
      <c r="G32" s="14">
        <v>35</v>
      </c>
      <c r="H32" s="14">
        <v>35</v>
      </c>
      <c r="I32" s="15">
        <v>34</v>
      </c>
      <c r="J32" s="16" t="s">
        <v>58</v>
      </c>
      <c r="K32" s="14">
        <v>0</v>
      </c>
      <c r="L32" s="74" t="s">
        <v>59</v>
      </c>
      <c r="M32" s="87"/>
    </row>
    <row r="33" spans="1:13" ht="18" customHeight="1" x14ac:dyDescent="0.25">
      <c r="A33" s="72" t="s">
        <v>116</v>
      </c>
      <c r="B33" s="18" t="s">
        <v>117</v>
      </c>
      <c r="C33" s="18" t="s">
        <v>58</v>
      </c>
      <c r="D33" s="18">
        <v>7</v>
      </c>
      <c r="E33" s="18">
        <v>98</v>
      </c>
      <c r="F33" s="18">
        <v>25</v>
      </c>
      <c r="G33" s="18">
        <v>23</v>
      </c>
      <c r="H33" s="18">
        <v>34</v>
      </c>
      <c r="I33" s="15">
        <v>30</v>
      </c>
      <c r="J33" s="16" t="s">
        <v>58</v>
      </c>
      <c r="K33" s="18">
        <v>0</v>
      </c>
      <c r="L33" s="75" t="s">
        <v>59</v>
      </c>
      <c r="M33" s="87"/>
    </row>
    <row r="34" spans="1:13" ht="18" customHeight="1" x14ac:dyDescent="0.25">
      <c r="A34" s="71" t="s">
        <v>118</v>
      </c>
      <c r="B34" s="14" t="s">
        <v>119</v>
      </c>
      <c r="C34" s="14" t="s">
        <v>58</v>
      </c>
      <c r="D34" s="14">
        <v>10</v>
      </c>
      <c r="E34" s="14">
        <v>70</v>
      </c>
      <c r="F34" s="14">
        <v>28</v>
      </c>
      <c r="G34" s="14">
        <v>36</v>
      </c>
      <c r="H34" s="14">
        <v>26</v>
      </c>
      <c r="I34" s="15">
        <v>33</v>
      </c>
      <c r="J34" s="16" t="s">
        <v>58</v>
      </c>
      <c r="K34" s="14">
        <v>0</v>
      </c>
      <c r="L34" s="74" t="s">
        <v>63</v>
      </c>
      <c r="M34" s="87"/>
    </row>
    <row r="35" spans="1:13" ht="18" customHeight="1" x14ac:dyDescent="0.25">
      <c r="A35" s="79" t="s">
        <v>120</v>
      </c>
      <c r="B35" s="80" t="s">
        <v>121</v>
      </c>
      <c r="C35" s="80" t="s">
        <v>58</v>
      </c>
      <c r="D35" s="80">
        <v>33</v>
      </c>
      <c r="E35" s="80">
        <v>70</v>
      </c>
      <c r="F35" s="80">
        <v>75</v>
      </c>
      <c r="G35" s="80">
        <v>87</v>
      </c>
      <c r="H35" s="80">
        <v>76</v>
      </c>
      <c r="I35" s="81">
        <v>72</v>
      </c>
      <c r="J35" s="82" t="s">
        <v>64</v>
      </c>
      <c r="K35" s="80">
        <v>1</v>
      </c>
      <c r="L35" s="83" t="s">
        <v>59</v>
      </c>
      <c r="M35" s="87"/>
    </row>
    <row r="37" spans="1:13" ht="8.1" customHeight="1" x14ac:dyDescent="0.25"/>
    <row r="38" spans="1:13" ht="36" customHeight="1" x14ac:dyDescent="0.25">
      <c r="A38" s="44" t="s">
        <v>122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39" spans="1:13" ht="36" customHeight="1" x14ac:dyDescent="0.25">
      <c r="A39" s="48" t="s">
        <v>123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</row>
    <row r="40" spans="1:13" ht="36" customHeight="1" x14ac:dyDescent="0.25">
      <c r="A40" s="47" t="s">
        <v>124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</row>
  </sheetData>
  <mergeCells count="5">
    <mergeCell ref="A38:L38"/>
    <mergeCell ref="A2:L2"/>
    <mergeCell ref="A1:L1"/>
    <mergeCell ref="A40:L40"/>
    <mergeCell ref="A39:L39"/>
  </mergeCells>
  <pageMargins left="0.75" right="0.75" top="1" bottom="1" header="0.5" footer="0.5"/>
  <pageSetup orientation="portrait" r:id="rId1"/>
  <drawing r:id="rId2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25066076-722D-4D9F-ABC9-9C86A7A25F53}">
          <x14:colorSeries theme="9" tint="-0.49998474074526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'📋 STUDENT_DATA'!F6:H6</xm:f>
              <xm:sqref>M6</xm:sqref>
            </x14:sparkline>
            <x14:sparkline>
              <xm:f>'📋 STUDENT_DATA'!F7:H7</xm:f>
              <xm:sqref>M7</xm:sqref>
            </x14:sparkline>
            <x14:sparkline>
              <xm:f>'📋 STUDENT_DATA'!F8:H8</xm:f>
              <xm:sqref>M8</xm:sqref>
            </x14:sparkline>
            <x14:sparkline>
              <xm:f>'📋 STUDENT_DATA'!F9:H9</xm:f>
              <xm:sqref>M9</xm:sqref>
            </x14:sparkline>
            <x14:sparkline>
              <xm:f>'📋 STUDENT_DATA'!F10:H10</xm:f>
              <xm:sqref>M10</xm:sqref>
            </x14:sparkline>
            <x14:sparkline>
              <xm:f>'📋 STUDENT_DATA'!F11:H11</xm:f>
              <xm:sqref>M11</xm:sqref>
            </x14:sparkline>
            <x14:sparkline>
              <xm:f>'📋 STUDENT_DATA'!F12:H12</xm:f>
              <xm:sqref>M12</xm:sqref>
            </x14:sparkline>
            <x14:sparkline>
              <xm:f>'📋 STUDENT_DATA'!F13:H13</xm:f>
              <xm:sqref>M13</xm:sqref>
            </x14:sparkline>
            <x14:sparkline>
              <xm:f>'📋 STUDENT_DATA'!F14:H14</xm:f>
              <xm:sqref>M14</xm:sqref>
            </x14:sparkline>
            <x14:sparkline>
              <xm:f>'📋 STUDENT_DATA'!F15:H15</xm:f>
              <xm:sqref>M15</xm:sqref>
            </x14:sparkline>
            <x14:sparkline>
              <xm:f>'📋 STUDENT_DATA'!F16:H16</xm:f>
              <xm:sqref>M16</xm:sqref>
            </x14:sparkline>
            <x14:sparkline>
              <xm:f>'📋 STUDENT_DATA'!F17:H17</xm:f>
              <xm:sqref>M17</xm:sqref>
            </x14:sparkline>
            <x14:sparkline>
              <xm:f>'📋 STUDENT_DATA'!F18:H18</xm:f>
              <xm:sqref>M18</xm:sqref>
            </x14:sparkline>
            <x14:sparkline>
              <xm:f>'📋 STUDENT_DATA'!F19:H19</xm:f>
              <xm:sqref>M19</xm:sqref>
            </x14:sparkline>
            <x14:sparkline>
              <xm:f>'📋 STUDENT_DATA'!F20:H20</xm:f>
              <xm:sqref>M20</xm:sqref>
            </x14:sparkline>
            <x14:sparkline>
              <xm:f>'📋 STUDENT_DATA'!F21:H21</xm:f>
              <xm:sqref>M21</xm:sqref>
            </x14:sparkline>
            <x14:sparkline>
              <xm:f>'📋 STUDENT_DATA'!F22:H22</xm:f>
              <xm:sqref>M22</xm:sqref>
            </x14:sparkline>
            <x14:sparkline>
              <xm:f>'📋 STUDENT_DATA'!F23:H23</xm:f>
              <xm:sqref>M23</xm:sqref>
            </x14:sparkline>
            <x14:sparkline>
              <xm:f>'📋 STUDENT_DATA'!F24:H24</xm:f>
              <xm:sqref>M24</xm:sqref>
            </x14:sparkline>
            <x14:sparkline>
              <xm:f>'📋 STUDENT_DATA'!F25:H25</xm:f>
              <xm:sqref>M25</xm:sqref>
            </x14:sparkline>
            <x14:sparkline>
              <xm:f>'📋 STUDENT_DATA'!F26:H26</xm:f>
              <xm:sqref>M26</xm:sqref>
            </x14:sparkline>
            <x14:sparkline>
              <xm:f>'📋 STUDENT_DATA'!F27:H27</xm:f>
              <xm:sqref>M27</xm:sqref>
            </x14:sparkline>
            <x14:sparkline>
              <xm:f>'📋 STUDENT_DATA'!F28:H28</xm:f>
              <xm:sqref>M28</xm:sqref>
            </x14:sparkline>
            <x14:sparkline>
              <xm:f>'📋 STUDENT_DATA'!F29:H29</xm:f>
              <xm:sqref>M29</xm:sqref>
            </x14:sparkline>
            <x14:sparkline>
              <xm:f>'📋 STUDENT_DATA'!F30:H30</xm:f>
              <xm:sqref>M30</xm:sqref>
            </x14:sparkline>
            <x14:sparkline>
              <xm:f>'📋 STUDENT_DATA'!F31:H31</xm:f>
              <xm:sqref>M31</xm:sqref>
            </x14:sparkline>
            <x14:sparkline>
              <xm:f>'📋 STUDENT_DATA'!F32:H32</xm:f>
              <xm:sqref>M32</xm:sqref>
            </x14:sparkline>
            <x14:sparkline>
              <xm:f>'📋 STUDENT_DATA'!F33:H33</xm:f>
              <xm:sqref>M33</xm:sqref>
            </x14:sparkline>
            <x14:sparkline>
              <xm:f>'📋 STUDENT_DATA'!F34:H34</xm:f>
              <xm:sqref>M34</xm:sqref>
            </x14:sparkline>
            <x14:sparkline>
              <xm:f>'📋 STUDENT_DATA'!F35:H35</xm:f>
              <xm:sqref>M35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zoomScale="130" zoomScaleNormal="130" workbookViewId="0">
      <selection activeCell="C14" sqref="C14"/>
    </sheetView>
  </sheetViews>
  <sheetFormatPr defaultRowHeight="15" x14ac:dyDescent="0.25"/>
  <cols>
    <col min="1" max="1" width="4" customWidth="1"/>
    <col min="2" max="2" width="22" customWidth="1"/>
    <col min="3" max="3" width="24" customWidth="1"/>
    <col min="4" max="6" width="14" customWidth="1"/>
  </cols>
  <sheetData>
    <row r="1" spans="1:6" ht="27.95" customHeight="1" x14ac:dyDescent="0.25">
      <c r="A1" s="46" t="s">
        <v>195</v>
      </c>
      <c r="B1" s="36"/>
      <c r="C1" s="36"/>
      <c r="D1" s="36"/>
      <c r="E1" s="36"/>
      <c r="F1" s="36"/>
    </row>
    <row r="2" spans="1:6" ht="20.100000000000001" customHeight="1" x14ac:dyDescent="0.25">
      <c r="A2" s="67" t="s">
        <v>196</v>
      </c>
      <c r="B2" s="36"/>
      <c r="C2" s="36"/>
      <c r="D2" s="36"/>
      <c r="E2" s="36"/>
      <c r="F2" s="36"/>
    </row>
    <row r="4" spans="1:6" ht="21.95" customHeight="1" x14ac:dyDescent="0.25">
      <c r="B4" s="94" t="s">
        <v>197</v>
      </c>
      <c r="C4" s="95" t="s">
        <v>263</v>
      </c>
    </row>
    <row r="5" spans="1:6" ht="21.95" customHeight="1" x14ac:dyDescent="0.25">
      <c r="B5" s="89" t="s">
        <v>198</v>
      </c>
      <c r="C5" s="91">
        <f>COUNTIF(ML_Summary!K6:K35,1)/30</f>
        <v>0</v>
      </c>
    </row>
    <row r="6" spans="1:6" ht="21.95" customHeight="1" x14ac:dyDescent="0.25">
      <c r="B6" s="89" t="s">
        <v>199</v>
      </c>
      <c r="C6" s="92">
        <f>AVERAGE('📋 STUDENT_DATA'!I6:I35)</f>
        <v>39.366666666666667</v>
      </c>
    </row>
    <row r="7" spans="1:6" ht="21.95" customHeight="1" x14ac:dyDescent="0.25">
      <c r="B7" s="89" t="s">
        <v>200</v>
      </c>
      <c r="C7" s="90">
        <f>AVERAGE('📋 STUDENT_DATA'!D6:D35)</f>
        <v>16.399999999999999</v>
      </c>
    </row>
    <row r="8" spans="1:6" ht="21.95" customHeight="1" x14ac:dyDescent="0.25">
      <c r="B8" s="89" t="s">
        <v>201</v>
      </c>
      <c r="C8" s="93" t="s">
        <v>58</v>
      </c>
    </row>
    <row r="9" spans="1:6" ht="21.95" customHeight="1" x14ac:dyDescent="0.25">
      <c r="B9" s="96" t="s">
        <v>202</v>
      </c>
      <c r="C9" s="97">
        <f>MAX('📋 STUDENT_DATA'!I6:I35)</f>
        <v>89</v>
      </c>
    </row>
  </sheetData>
  <mergeCells count="2">
    <mergeCell ref="A2:F2"/>
    <mergeCell ref="A1:F1"/>
  </mergeCells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showGridLines="0" workbookViewId="0">
      <pane ySplit="3" topLeftCell="A4" activePane="bottomLeft" state="frozen"/>
      <selection pane="bottomLeft" activeCell="B7" sqref="A4:H12"/>
    </sheetView>
  </sheetViews>
  <sheetFormatPr defaultRowHeight="15" x14ac:dyDescent="0.25"/>
  <cols>
    <col min="1" max="2" width="10" customWidth="1"/>
    <col min="3" max="3" width="28" customWidth="1"/>
    <col min="4" max="5" width="14" customWidth="1"/>
    <col min="6" max="6" width="16" customWidth="1"/>
    <col min="7" max="8" width="14" customWidth="1"/>
  </cols>
  <sheetData>
    <row r="1" spans="1:8" ht="30" customHeight="1" x14ac:dyDescent="0.25">
      <c r="A1" s="50" t="s">
        <v>125</v>
      </c>
      <c r="B1" s="36"/>
      <c r="C1" s="36"/>
      <c r="D1" s="36"/>
      <c r="E1" s="36"/>
      <c r="F1" s="36"/>
      <c r="G1" s="36"/>
      <c r="H1" s="36"/>
    </row>
    <row r="2" spans="1:8" ht="18" customHeight="1" x14ac:dyDescent="0.25">
      <c r="A2" s="58" t="s">
        <v>126</v>
      </c>
      <c r="B2" s="36"/>
      <c r="C2" s="36"/>
      <c r="D2" s="36"/>
      <c r="E2" s="36"/>
      <c r="F2" s="36"/>
      <c r="G2" s="36"/>
      <c r="H2" s="36"/>
    </row>
    <row r="3" spans="1:8" ht="8.1" customHeight="1" x14ac:dyDescent="0.25"/>
    <row r="4" spans="1:8" ht="26.1" customHeight="1" x14ac:dyDescent="0.25">
      <c r="A4" s="62" t="s">
        <v>6</v>
      </c>
      <c r="B4" s="36"/>
      <c r="C4" s="57" t="s">
        <v>127</v>
      </c>
      <c r="D4" s="36"/>
      <c r="E4" s="36"/>
      <c r="F4" s="36"/>
      <c r="G4" s="63" t="s">
        <v>128</v>
      </c>
      <c r="H4" s="36"/>
    </row>
    <row r="5" spans="1:8" ht="38.1" customHeight="1" x14ac:dyDescent="0.25">
      <c r="A5" s="23" t="s">
        <v>129</v>
      </c>
      <c r="B5" s="49" t="s">
        <v>130</v>
      </c>
      <c r="C5" s="36"/>
      <c r="D5" s="36"/>
      <c r="E5" s="36"/>
      <c r="F5" s="36"/>
      <c r="G5" s="36"/>
      <c r="H5" s="36"/>
    </row>
    <row r="6" spans="1:8" ht="38.1" customHeight="1" x14ac:dyDescent="0.25">
      <c r="A6" s="23" t="s">
        <v>131</v>
      </c>
      <c r="B6" s="49" t="s">
        <v>132</v>
      </c>
      <c r="C6" s="36"/>
      <c r="D6" s="36"/>
      <c r="E6" s="36"/>
      <c r="F6" s="36"/>
      <c r="G6" s="36"/>
      <c r="H6" s="36"/>
    </row>
    <row r="7" spans="1:8" ht="38.1" customHeight="1" x14ac:dyDescent="0.25">
      <c r="A7" s="23" t="s">
        <v>133</v>
      </c>
      <c r="B7" s="49" t="s">
        <v>134</v>
      </c>
      <c r="C7" s="36"/>
      <c r="D7" s="36"/>
      <c r="E7" s="36"/>
      <c r="F7" s="36"/>
      <c r="G7" s="36"/>
      <c r="H7" s="36"/>
    </row>
    <row r="8" spans="1:8" ht="38.1" customHeight="1" x14ac:dyDescent="0.25">
      <c r="A8" s="23" t="s">
        <v>135</v>
      </c>
      <c r="B8" s="49" t="s">
        <v>136</v>
      </c>
      <c r="C8" s="36"/>
      <c r="D8" s="36"/>
      <c r="E8" s="36"/>
      <c r="F8" s="36"/>
      <c r="G8" s="36"/>
      <c r="H8" s="36"/>
    </row>
    <row r="9" spans="1:8" ht="38.1" customHeight="1" x14ac:dyDescent="0.25">
      <c r="A9" s="23" t="s">
        <v>137</v>
      </c>
      <c r="B9" s="49" t="s">
        <v>138</v>
      </c>
      <c r="C9" s="36"/>
      <c r="D9" s="36"/>
      <c r="E9" s="36"/>
      <c r="F9" s="36"/>
      <c r="G9" s="36"/>
      <c r="H9" s="36"/>
    </row>
    <row r="10" spans="1:8" ht="38.1" customHeight="1" x14ac:dyDescent="0.25">
      <c r="A10" s="23" t="s">
        <v>139</v>
      </c>
      <c r="B10" s="49" t="s">
        <v>140</v>
      </c>
      <c r="C10" s="36"/>
      <c r="D10" s="36"/>
      <c r="E10" s="36"/>
      <c r="F10" s="36"/>
      <c r="G10" s="36"/>
      <c r="H10" s="36"/>
    </row>
    <row r="11" spans="1:8" ht="38.1" customHeight="1" x14ac:dyDescent="0.25">
      <c r="A11" s="23" t="s">
        <v>141</v>
      </c>
      <c r="B11" s="49" t="s">
        <v>142</v>
      </c>
      <c r="C11" s="36"/>
      <c r="D11" s="36"/>
      <c r="E11" s="36"/>
      <c r="F11" s="36"/>
      <c r="G11" s="36"/>
      <c r="H11" s="36"/>
    </row>
    <row r="12" spans="1:8" ht="38.1" customHeight="1" x14ac:dyDescent="0.25">
      <c r="A12" s="23" t="s">
        <v>143</v>
      </c>
      <c r="B12" s="49" t="s">
        <v>144</v>
      </c>
      <c r="C12" s="36"/>
      <c r="D12" s="36"/>
      <c r="E12" s="36"/>
      <c r="F12" s="36"/>
      <c r="G12" s="36"/>
      <c r="H12" s="36"/>
    </row>
    <row r="13" spans="1:8" ht="8.1" customHeight="1" x14ac:dyDescent="0.25"/>
    <row r="14" spans="1:8" ht="26.1" customHeight="1" x14ac:dyDescent="0.25">
      <c r="A14" s="43" t="s">
        <v>10</v>
      </c>
      <c r="B14" s="36"/>
      <c r="C14" s="54" t="s">
        <v>145</v>
      </c>
      <c r="D14" s="36"/>
      <c r="E14" s="36"/>
      <c r="F14" s="36"/>
      <c r="G14" s="60" t="s">
        <v>146</v>
      </c>
      <c r="H14" s="36"/>
    </row>
    <row r="15" spans="1:8" ht="38.1" customHeight="1" x14ac:dyDescent="0.25">
      <c r="A15" s="25" t="s">
        <v>129</v>
      </c>
      <c r="B15" s="49" t="s">
        <v>147</v>
      </c>
      <c r="C15" s="36"/>
      <c r="D15" s="36"/>
      <c r="E15" s="36"/>
      <c r="F15" s="36"/>
      <c r="G15" s="36"/>
      <c r="H15" s="36"/>
    </row>
    <row r="16" spans="1:8" ht="38.1" customHeight="1" x14ac:dyDescent="0.25">
      <c r="A16" s="25" t="s">
        <v>131</v>
      </c>
      <c r="B16" s="49" t="s">
        <v>148</v>
      </c>
      <c r="C16" s="36"/>
      <c r="D16" s="36"/>
      <c r="E16" s="36"/>
      <c r="F16" s="36"/>
      <c r="G16" s="36"/>
      <c r="H16" s="36"/>
    </row>
    <row r="17" spans="1:8" ht="38.1" customHeight="1" x14ac:dyDescent="0.25">
      <c r="A17" s="25" t="s">
        <v>133</v>
      </c>
      <c r="B17" s="49" t="s">
        <v>149</v>
      </c>
      <c r="C17" s="36"/>
      <c r="D17" s="36"/>
      <c r="E17" s="36"/>
      <c r="F17" s="36"/>
      <c r="G17" s="36"/>
      <c r="H17" s="36"/>
    </row>
    <row r="18" spans="1:8" ht="38.1" customHeight="1" x14ac:dyDescent="0.25">
      <c r="A18" s="25" t="s">
        <v>135</v>
      </c>
      <c r="B18" s="49" t="s">
        <v>150</v>
      </c>
      <c r="C18" s="36"/>
      <c r="D18" s="36"/>
      <c r="E18" s="36"/>
      <c r="F18" s="36"/>
      <c r="G18" s="36"/>
      <c r="H18" s="36"/>
    </row>
    <row r="19" spans="1:8" ht="38.1" customHeight="1" x14ac:dyDescent="0.25">
      <c r="A19" s="25" t="s">
        <v>137</v>
      </c>
      <c r="B19" s="49" t="s">
        <v>151</v>
      </c>
      <c r="C19" s="36"/>
      <c r="D19" s="36"/>
      <c r="E19" s="36"/>
      <c r="F19" s="36"/>
      <c r="G19" s="36"/>
      <c r="H19" s="36"/>
    </row>
    <row r="20" spans="1:8" ht="38.1" customHeight="1" x14ac:dyDescent="0.25">
      <c r="A20" s="25" t="s">
        <v>139</v>
      </c>
      <c r="B20" s="49" t="s">
        <v>152</v>
      </c>
      <c r="C20" s="36"/>
      <c r="D20" s="36"/>
      <c r="E20" s="36"/>
      <c r="F20" s="36"/>
      <c r="G20" s="36"/>
      <c r="H20" s="36"/>
    </row>
    <row r="21" spans="1:8" ht="38.1" customHeight="1" x14ac:dyDescent="0.25">
      <c r="A21" s="25" t="s">
        <v>141</v>
      </c>
      <c r="B21" s="49" t="s">
        <v>153</v>
      </c>
      <c r="C21" s="36"/>
      <c r="D21" s="36"/>
      <c r="E21" s="36"/>
      <c r="F21" s="36"/>
      <c r="G21" s="36"/>
      <c r="H21" s="36"/>
    </row>
    <row r="22" spans="1:8" ht="38.1" customHeight="1" x14ac:dyDescent="0.25">
      <c r="A22" s="25" t="s">
        <v>143</v>
      </c>
      <c r="B22" s="49" t="s">
        <v>154</v>
      </c>
      <c r="C22" s="36"/>
      <c r="D22" s="36"/>
      <c r="E22" s="36"/>
      <c r="F22" s="36"/>
      <c r="G22" s="36"/>
      <c r="H22" s="36"/>
    </row>
    <row r="23" spans="1:8" ht="8.1" customHeight="1" x14ac:dyDescent="0.25"/>
    <row r="24" spans="1:8" ht="26.1" customHeight="1" x14ac:dyDescent="0.25">
      <c r="A24" s="40" t="s">
        <v>14</v>
      </c>
      <c r="B24" s="36"/>
      <c r="C24" s="53" t="s">
        <v>155</v>
      </c>
      <c r="D24" s="36"/>
      <c r="E24" s="36"/>
      <c r="F24" s="36"/>
      <c r="G24" s="56" t="s">
        <v>156</v>
      </c>
      <c r="H24" s="36"/>
    </row>
    <row r="25" spans="1:8" ht="38.1" customHeight="1" x14ac:dyDescent="0.25">
      <c r="A25" s="26" t="s">
        <v>129</v>
      </c>
      <c r="B25" s="49" t="s">
        <v>157</v>
      </c>
      <c r="C25" s="36"/>
      <c r="D25" s="36"/>
      <c r="E25" s="36"/>
      <c r="F25" s="36"/>
      <c r="G25" s="36"/>
      <c r="H25" s="36"/>
    </row>
    <row r="26" spans="1:8" ht="38.1" customHeight="1" x14ac:dyDescent="0.25">
      <c r="A26" s="26" t="s">
        <v>131</v>
      </c>
      <c r="B26" s="49" t="s">
        <v>158</v>
      </c>
      <c r="C26" s="36"/>
      <c r="D26" s="36"/>
      <c r="E26" s="36"/>
      <c r="F26" s="36"/>
      <c r="G26" s="36"/>
      <c r="H26" s="36"/>
    </row>
    <row r="27" spans="1:8" ht="38.1" customHeight="1" x14ac:dyDescent="0.25">
      <c r="A27" s="26" t="s">
        <v>133</v>
      </c>
      <c r="B27" s="49" t="s">
        <v>159</v>
      </c>
      <c r="C27" s="36"/>
      <c r="D27" s="36"/>
      <c r="E27" s="36"/>
      <c r="F27" s="36"/>
      <c r="G27" s="36"/>
      <c r="H27" s="36"/>
    </row>
    <row r="28" spans="1:8" ht="38.1" customHeight="1" x14ac:dyDescent="0.25">
      <c r="A28" s="26" t="s">
        <v>135</v>
      </c>
      <c r="B28" s="49" t="s">
        <v>160</v>
      </c>
      <c r="C28" s="36"/>
      <c r="D28" s="36"/>
      <c r="E28" s="36"/>
      <c r="F28" s="36"/>
      <c r="G28" s="36"/>
      <c r="H28" s="36"/>
    </row>
    <row r="29" spans="1:8" ht="38.1" customHeight="1" x14ac:dyDescent="0.25">
      <c r="A29" s="26" t="s">
        <v>137</v>
      </c>
      <c r="B29" s="49" t="s">
        <v>161</v>
      </c>
      <c r="C29" s="36"/>
      <c r="D29" s="36"/>
      <c r="E29" s="36"/>
      <c r="F29" s="36"/>
      <c r="G29" s="36"/>
      <c r="H29" s="36"/>
    </row>
    <row r="30" spans="1:8" ht="38.1" customHeight="1" x14ac:dyDescent="0.25">
      <c r="A30" s="26" t="s">
        <v>139</v>
      </c>
      <c r="B30" s="49" t="s">
        <v>162</v>
      </c>
      <c r="C30" s="36"/>
      <c r="D30" s="36"/>
      <c r="E30" s="36"/>
      <c r="F30" s="36"/>
      <c r="G30" s="36"/>
      <c r="H30" s="36"/>
    </row>
    <row r="31" spans="1:8" ht="38.1" customHeight="1" x14ac:dyDescent="0.25">
      <c r="A31" s="26" t="s">
        <v>141</v>
      </c>
      <c r="B31" s="49" t="s">
        <v>163</v>
      </c>
      <c r="C31" s="36"/>
      <c r="D31" s="36"/>
      <c r="E31" s="36"/>
      <c r="F31" s="36"/>
      <c r="G31" s="36"/>
      <c r="H31" s="36"/>
    </row>
    <row r="32" spans="1:8" ht="38.1" customHeight="1" x14ac:dyDescent="0.25">
      <c r="A32" s="26" t="s">
        <v>143</v>
      </c>
      <c r="B32" s="49" t="s">
        <v>164</v>
      </c>
      <c r="C32" s="36"/>
      <c r="D32" s="36"/>
      <c r="E32" s="36"/>
      <c r="F32" s="36"/>
      <c r="G32" s="36"/>
      <c r="H32" s="36"/>
    </row>
    <row r="33" spans="1:8" ht="8.1" customHeight="1" x14ac:dyDescent="0.25"/>
    <row r="34" spans="1:8" ht="26.1" customHeight="1" x14ac:dyDescent="0.25">
      <c r="A34" s="35" t="s">
        <v>18</v>
      </c>
      <c r="B34" s="36"/>
      <c r="C34" s="52" t="s">
        <v>165</v>
      </c>
      <c r="D34" s="36"/>
      <c r="E34" s="36"/>
      <c r="F34" s="36"/>
      <c r="G34" s="55" t="s">
        <v>166</v>
      </c>
      <c r="H34" s="36"/>
    </row>
    <row r="35" spans="1:8" ht="38.1" customHeight="1" x14ac:dyDescent="0.25">
      <c r="A35" s="27" t="s">
        <v>129</v>
      </c>
      <c r="B35" s="49" t="s">
        <v>167</v>
      </c>
      <c r="C35" s="36"/>
      <c r="D35" s="36"/>
      <c r="E35" s="36"/>
      <c r="F35" s="36"/>
      <c r="G35" s="36"/>
      <c r="H35" s="36"/>
    </row>
    <row r="36" spans="1:8" ht="38.1" customHeight="1" x14ac:dyDescent="0.25">
      <c r="A36" s="27" t="s">
        <v>131</v>
      </c>
      <c r="B36" s="49" t="s">
        <v>168</v>
      </c>
      <c r="C36" s="36"/>
      <c r="D36" s="36"/>
      <c r="E36" s="36"/>
      <c r="F36" s="36"/>
      <c r="G36" s="36"/>
      <c r="H36" s="36"/>
    </row>
    <row r="37" spans="1:8" ht="38.1" customHeight="1" x14ac:dyDescent="0.25">
      <c r="A37" s="27" t="s">
        <v>133</v>
      </c>
      <c r="B37" s="49" t="s">
        <v>169</v>
      </c>
      <c r="C37" s="36"/>
      <c r="D37" s="36"/>
      <c r="E37" s="36"/>
      <c r="F37" s="36"/>
      <c r="G37" s="36"/>
      <c r="H37" s="36"/>
    </row>
    <row r="38" spans="1:8" ht="38.1" customHeight="1" x14ac:dyDescent="0.25">
      <c r="A38" s="27" t="s">
        <v>135</v>
      </c>
      <c r="B38" s="49" t="s">
        <v>170</v>
      </c>
      <c r="C38" s="36"/>
      <c r="D38" s="36"/>
      <c r="E38" s="36"/>
      <c r="F38" s="36"/>
      <c r="G38" s="36"/>
      <c r="H38" s="36"/>
    </row>
    <row r="39" spans="1:8" ht="38.1" customHeight="1" x14ac:dyDescent="0.25">
      <c r="A39" s="27" t="s">
        <v>137</v>
      </c>
      <c r="B39" s="49" t="s">
        <v>171</v>
      </c>
      <c r="C39" s="36"/>
      <c r="D39" s="36"/>
      <c r="E39" s="36"/>
      <c r="F39" s="36"/>
      <c r="G39" s="36"/>
      <c r="H39" s="36"/>
    </row>
    <row r="40" spans="1:8" ht="38.1" customHeight="1" x14ac:dyDescent="0.25">
      <c r="A40" s="27" t="s">
        <v>139</v>
      </c>
      <c r="B40" s="49" t="s">
        <v>172</v>
      </c>
      <c r="C40" s="36"/>
      <c r="D40" s="36"/>
      <c r="E40" s="36"/>
      <c r="F40" s="36"/>
      <c r="G40" s="36"/>
      <c r="H40" s="36"/>
    </row>
    <row r="41" spans="1:8" ht="38.1" customHeight="1" x14ac:dyDescent="0.25">
      <c r="A41" s="27" t="s">
        <v>141</v>
      </c>
      <c r="B41" s="49" t="s">
        <v>173</v>
      </c>
      <c r="C41" s="36"/>
      <c r="D41" s="36"/>
      <c r="E41" s="36"/>
      <c r="F41" s="36"/>
      <c r="G41" s="36"/>
      <c r="H41" s="36"/>
    </row>
    <row r="42" spans="1:8" ht="38.1" customHeight="1" x14ac:dyDescent="0.25">
      <c r="A42" s="27" t="s">
        <v>143</v>
      </c>
      <c r="B42" s="49" t="s">
        <v>174</v>
      </c>
      <c r="C42" s="36"/>
      <c r="D42" s="36"/>
      <c r="E42" s="36"/>
      <c r="F42" s="36"/>
      <c r="G42" s="36"/>
      <c r="H42" s="36"/>
    </row>
    <row r="43" spans="1:8" ht="8.1" customHeight="1" x14ac:dyDescent="0.25"/>
    <row r="44" spans="1:8" ht="26.1" customHeight="1" x14ac:dyDescent="0.25">
      <c r="A44" s="65" t="s">
        <v>22</v>
      </c>
      <c r="B44" s="36"/>
      <c r="C44" s="61" t="s">
        <v>175</v>
      </c>
      <c r="D44" s="36"/>
      <c r="E44" s="36"/>
      <c r="F44" s="36"/>
      <c r="G44" s="66" t="s">
        <v>176</v>
      </c>
      <c r="H44" s="36"/>
    </row>
    <row r="45" spans="1:8" ht="38.1" customHeight="1" x14ac:dyDescent="0.25">
      <c r="A45" s="28" t="s">
        <v>129</v>
      </c>
      <c r="B45" s="49" t="s">
        <v>177</v>
      </c>
      <c r="C45" s="36"/>
      <c r="D45" s="36"/>
      <c r="E45" s="36"/>
      <c r="F45" s="36"/>
      <c r="G45" s="36"/>
      <c r="H45" s="36"/>
    </row>
    <row r="46" spans="1:8" ht="38.1" customHeight="1" x14ac:dyDescent="0.25">
      <c r="A46" s="28" t="s">
        <v>131</v>
      </c>
      <c r="B46" s="49" t="s">
        <v>178</v>
      </c>
      <c r="C46" s="36"/>
      <c r="D46" s="36"/>
      <c r="E46" s="36"/>
      <c r="F46" s="36"/>
      <c r="G46" s="36"/>
      <c r="H46" s="36"/>
    </row>
    <row r="47" spans="1:8" ht="38.1" customHeight="1" x14ac:dyDescent="0.25">
      <c r="A47" s="28" t="s">
        <v>133</v>
      </c>
      <c r="B47" s="49" t="s">
        <v>179</v>
      </c>
      <c r="C47" s="36"/>
      <c r="D47" s="36"/>
      <c r="E47" s="36"/>
      <c r="F47" s="36"/>
      <c r="G47" s="36"/>
      <c r="H47" s="36"/>
    </row>
    <row r="48" spans="1:8" ht="38.1" customHeight="1" x14ac:dyDescent="0.25">
      <c r="A48" s="28" t="s">
        <v>135</v>
      </c>
      <c r="B48" s="49" t="s">
        <v>180</v>
      </c>
      <c r="C48" s="36"/>
      <c r="D48" s="36"/>
      <c r="E48" s="36"/>
      <c r="F48" s="36"/>
      <c r="G48" s="36"/>
      <c r="H48" s="36"/>
    </row>
    <row r="49" spans="1:8" ht="38.1" customHeight="1" x14ac:dyDescent="0.25">
      <c r="A49" s="28" t="s">
        <v>137</v>
      </c>
      <c r="B49" s="49" t="s">
        <v>181</v>
      </c>
      <c r="C49" s="36"/>
      <c r="D49" s="36"/>
      <c r="E49" s="36"/>
      <c r="F49" s="36"/>
      <c r="G49" s="36"/>
      <c r="H49" s="36"/>
    </row>
    <row r="50" spans="1:8" ht="38.1" customHeight="1" x14ac:dyDescent="0.25">
      <c r="A50" s="28" t="s">
        <v>139</v>
      </c>
      <c r="B50" s="49" t="s">
        <v>182</v>
      </c>
      <c r="C50" s="36"/>
      <c r="D50" s="36"/>
      <c r="E50" s="36"/>
      <c r="F50" s="36"/>
      <c r="G50" s="36"/>
      <c r="H50" s="36"/>
    </row>
    <row r="51" spans="1:8" ht="38.1" customHeight="1" x14ac:dyDescent="0.25">
      <c r="A51" s="28" t="s">
        <v>141</v>
      </c>
      <c r="B51" s="49" t="s">
        <v>183</v>
      </c>
      <c r="C51" s="36"/>
      <c r="D51" s="36"/>
      <c r="E51" s="36"/>
      <c r="F51" s="36"/>
      <c r="G51" s="36"/>
      <c r="H51" s="36"/>
    </row>
    <row r="52" spans="1:8" ht="38.1" customHeight="1" x14ac:dyDescent="0.25">
      <c r="A52" s="28" t="s">
        <v>143</v>
      </c>
      <c r="B52" s="49" t="s">
        <v>184</v>
      </c>
      <c r="C52" s="36"/>
      <c r="D52" s="36"/>
      <c r="E52" s="36"/>
      <c r="F52" s="36"/>
      <c r="G52" s="36"/>
      <c r="H52" s="36"/>
    </row>
    <row r="53" spans="1:8" ht="8.1" customHeight="1" x14ac:dyDescent="0.25"/>
    <row r="54" spans="1:8" ht="26.1" customHeight="1" x14ac:dyDescent="0.25">
      <c r="A54" s="51" t="s">
        <v>26</v>
      </c>
      <c r="B54" s="36"/>
      <c r="C54" s="59" t="s">
        <v>185</v>
      </c>
      <c r="D54" s="36"/>
      <c r="E54" s="36"/>
      <c r="F54" s="36"/>
      <c r="G54" s="64" t="s">
        <v>186</v>
      </c>
      <c r="H54" s="36"/>
    </row>
    <row r="55" spans="1:8" ht="38.1" customHeight="1" x14ac:dyDescent="0.25">
      <c r="A55" s="29" t="s">
        <v>129</v>
      </c>
      <c r="B55" s="49" t="s">
        <v>187</v>
      </c>
      <c r="C55" s="36"/>
      <c r="D55" s="36"/>
      <c r="E55" s="36"/>
      <c r="F55" s="36"/>
      <c r="G55" s="36"/>
      <c r="H55" s="36"/>
    </row>
    <row r="56" spans="1:8" ht="38.1" customHeight="1" x14ac:dyDescent="0.25">
      <c r="A56" s="29" t="s">
        <v>131</v>
      </c>
      <c r="B56" s="88" t="s">
        <v>188</v>
      </c>
      <c r="C56" s="36"/>
      <c r="D56" s="36"/>
      <c r="E56" s="36"/>
      <c r="F56" s="36"/>
      <c r="G56" s="36"/>
      <c r="H56" s="36"/>
    </row>
    <row r="57" spans="1:8" ht="38.1" customHeight="1" x14ac:dyDescent="0.25">
      <c r="A57" s="29" t="s">
        <v>133</v>
      </c>
      <c r="B57" s="88" t="s">
        <v>189</v>
      </c>
      <c r="C57" s="36"/>
      <c r="D57" s="36"/>
      <c r="E57" s="36"/>
      <c r="F57" s="36"/>
      <c r="G57" s="36"/>
      <c r="H57" s="36"/>
    </row>
    <row r="58" spans="1:8" ht="38.1" customHeight="1" x14ac:dyDescent="0.25">
      <c r="A58" s="29" t="s">
        <v>135</v>
      </c>
      <c r="B58" s="49" t="s">
        <v>190</v>
      </c>
      <c r="C58" s="36"/>
      <c r="D58" s="36"/>
      <c r="E58" s="36"/>
      <c r="F58" s="36"/>
      <c r="G58" s="36"/>
      <c r="H58" s="36"/>
    </row>
    <row r="59" spans="1:8" ht="38.1" customHeight="1" x14ac:dyDescent="0.25">
      <c r="A59" s="29" t="s">
        <v>137</v>
      </c>
      <c r="B59" s="49" t="s">
        <v>191</v>
      </c>
      <c r="C59" s="36"/>
      <c r="D59" s="36"/>
      <c r="E59" s="36"/>
      <c r="F59" s="36"/>
      <c r="G59" s="36"/>
      <c r="H59" s="36"/>
    </row>
    <row r="60" spans="1:8" ht="38.1" customHeight="1" x14ac:dyDescent="0.25">
      <c r="A60" s="29" t="s">
        <v>139</v>
      </c>
      <c r="B60" s="49" t="s">
        <v>192</v>
      </c>
      <c r="C60" s="36"/>
      <c r="D60" s="36"/>
      <c r="E60" s="36"/>
      <c r="F60" s="36"/>
      <c r="G60" s="36"/>
      <c r="H60" s="36"/>
    </row>
    <row r="61" spans="1:8" ht="38.1" customHeight="1" x14ac:dyDescent="0.25">
      <c r="A61" s="29" t="s">
        <v>141</v>
      </c>
      <c r="B61" s="49" t="s">
        <v>193</v>
      </c>
      <c r="C61" s="36"/>
      <c r="D61" s="36"/>
      <c r="E61" s="36"/>
      <c r="F61" s="36"/>
      <c r="G61" s="36"/>
      <c r="H61" s="36"/>
    </row>
    <row r="62" spans="1:8" ht="38.1" customHeight="1" x14ac:dyDescent="0.25">
      <c r="A62" s="29" t="s">
        <v>143</v>
      </c>
      <c r="B62" s="88" t="s">
        <v>194</v>
      </c>
      <c r="C62" s="36"/>
      <c r="D62" s="36"/>
      <c r="E62" s="36"/>
      <c r="F62" s="36"/>
      <c r="G62" s="36"/>
      <c r="H62" s="36"/>
    </row>
  </sheetData>
  <mergeCells count="68">
    <mergeCell ref="B60:H60"/>
    <mergeCell ref="C44:F44"/>
    <mergeCell ref="B61:H61"/>
    <mergeCell ref="A4:B4"/>
    <mergeCell ref="G4:H4"/>
    <mergeCell ref="B8:H8"/>
    <mergeCell ref="B17:H17"/>
    <mergeCell ref="B57:H57"/>
    <mergeCell ref="G54:H54"/>
    <mergeCell ref="B38:H38"/>
    <mergeCell ref="A44:B44"/>
    <mergeCell ref="B29:H29"/>
    <mergeCell ref="B10:H10"/>
    <mergeCell ref="G44:H44"/>
    <mergeCell ref="B19:H19"/>
    <mergeCell ref="B37:H37"/>
    <mergeCell ref="B62:H62"/>
    <mergeCell ref="B7:H7"/>
    <mergeCell ref="B25:H25"/>
    <mergeCell ref="C24:F24"/>
    <mergeCell ref="B59:H59"/>
    <mergeCell ref="C14:F14"/>
    <mergeCell ref="B31:H31"/>
    <mergeCell ref="A34:B34"/>
    <mergeCell ref="B46:H46"/>
    <mergeCell ref="B22:H22"/>
    <mergeCell ref="G34:H34"/>
    <mergeCell ref="B18:H18"/>
    <mergeCell ref="G24:H24"/>
    <mergeCell ref="B27:H27"/>
    <mergeCell ref="B21:H21"/>
    <mergeCell ref="B52:H52"/>
    <mergeCell ref="B58:H58"/>
    <mergeCell ref="B35:H35"/>
    <mergeCell ref="C34:F34"/>
    <mergeCell ref="B47:H47"/>
    <mergeCell ref="B16:H16"/>
    <mergeCell ref="B39:H39"/>
    <mergeCell ref="B56:H56"/>
    <mergeCell ref="C54:F54"/>
    <mergeCell ref="B48:H48"/>
    <mergeCell ref="B42:H42"/>
    <mergeCell ref="B28:H28"/>
    <mergeCell ref="B6:H6"/>
    <mergeCell ref="B30:H30"/>
    <mergeCell ref="B15:H15"/>
    <mergeCell ref="A1:H1"/>
    <mergeCell ref="B5:H5"/>
    <mergeCell ref="B20:H20"/>
    <mergeCell ref="B26:H26"/>
    <mergeCell ref="C4:F4"/>
    <mergeCell ref="A2:H2"/>
    <mergeCell ref="B12:H12"/>
    <mergeCell ref="A14:B14"/>
    <mergeCell ref="G14:H14"/>
    <mergeCell ref="B11:H11"/>
    <mergeCell ref="A24:B24"/>
    <mergeCell ref="B40:H40"/>
    <mergeCell ref="B9:H9"/>
    <mergeCell ref="B49:H49"/>
    <mergeCell ref="B55:H55"/>
    <mergeCell ref="B51:H51"/>
    <mergeCell ref="B45:H45"/>
    <mergeCell ref="B36:H36"/>
    <mergeCell ref="B32:H32"/>
    <mergeCell ref="B50:H50"/>
    <mergeCell ref="A54:B54"/>
    <mergeCell ref="B41:H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showGridLines="0" workbookViewId="0">
      <pane ySplit="3" topLeftCell="A4" activePane="bottomLeft" state="frozen"/>
      <selection pane="bottomLeft" activeCell="C4" sqref="A3:F22"/>
    </sheetView>
  </sheetViews>
  <sheetFormatPr defaultRowHeight="15" x14ac:dyDescent="0.25"/>
  <cols>
    <col min="1" max="1" width="10" customWidth="1"/>
    <col min="2" max="2" width="14" customWidth="1"/>
    <col min="3" max="3" width="36" customWidth="1"/>
    <col min="4" max="4" width="24" customWidth="1"/>
    <col min="5" max="5" width="12" customWidth="1"/>
    <col min="6" max="6" width="10" customWidth="1"/>
  </cols>
  <sheetData>
    <row r="1" spans="1:6" ht="27.95" customHeight="1" x14ac:dyDescent="0.25">
      <c r="A1" s="46" t="s">
        <v>203</v>
      </c>
      <c r="B1" s="36"/>
      <c r="C1" s="36"/>
      <c r="D1" s="36"/>
      <c r="E1" s="36"/>
      <c r="F1" s="36"/>
    </row>
    <row r="3" spans="1:6" ht="21.95" customHeight="1" x14ac:dyDescent="0.25">
      <c r="A3" s="8" t="s">
        <v>204</v>
      </c>
      <c r="B3" s="8" t="s">
        <v>205</v>
      </c>
      <c r="C3" s="8" t="s">
        <v>206</v>
      </c>
      <c r="D3" s="8" t="s">
        <v>207</v>
      </c>
      <c r="E3" s="8" t="s">
        <v>208</v>
      </c>
      <c r="F3" s="8" t="s">
        <v>209</v>
      </c>
    </row>
    <row r="4" spans="1:6" ht="27.95" customHeight="1" x14ac:dyDescent="0.25">
      <c r="A4" s="23" t="s">
        <v>6</v>
      </c>
      <c r="B4" s="24" t="s">
        <v>210</v>
      </c>
      <c r="C4" s="24" t="s">
        <v>211</v>
      </c>
      <c r="D4" s="24" t="s">
        <v>212</v>
      </c>
      <c r="E4" s="30" t="s">
        <v>213</v>
      </c>
      <c r="F4" s="31" t="s">
        <v>256</v>
      </c>
    </row>
    <row r="5" spans="1:6" ht="27.95" customHeight="1" x14ac:dyDescent="0.25">
      <c r="A5" s="23" t="s">
        <v>6</v>
      </c>
      <c r="B5" s="32" t="s">
        <v>210</v>
      </c>
      <c r="C5" s="32" t="s">
        <v>214</v>
      </c>
      <c r="D5" s="32" t="s">
        <v>215</v>
      </c>
      <c r="E5" s="33" t="s">
        <v>213</v>
      </c>
      <c r="F5" s="31" t="s">
        <v>256</v>
      </c>
    </row>
    <row r="6" spans="1:6" ht="27.95" customHeight="1" x14ac:dyDescent="0.25">
      <c r="A6" s="23" t="s">
        <v>6</v>
      </c>
      <c r="B6" s="24" t="s">
        <v>210</v>
      </c>
      <c r="C6" s="24" t="s">
        <v>216</v>
      </c>
      <c r="D6" s="24" t="s">
        <v>217</v>
      </c>
      <c r="E6" s="30" t="s">
        <v>213</v>
      </c>
      <c r="F6" s="31" t="s">
        <v>256</v>
      </c>
    </row>
    <row r="7" spans="1:6" ht="27.95" customHeight="1" x14ac:dyDescent="0.25">
      <c r="A7" s="25" t="s">
        <v>10</v>
      </c>
      <c r="B7" s="32" t="s">
        <v>218</v>
      </c>
      <c r="C7" s="32" t="s">
        <v>219</v>
      </c>
      <c r="D7" s="32" t="s">
        <v>220</v>
      </c>
      <c r="E7" s="33" t="s">
        <v>221</v>
      </c>
      <c r="F7" s="31" t="s">
        <v>256</v>
      </c>
    </row>
    <row r="8" spans="1:6" ht="27.95" customHeight="1" x14ac:dyDescent="0.25">
      <c r="A8" s="25" t="s">
        <v>10</v>
      </c>
      <c r="B8" s="24" t="s">
        <v>218</v>
      </c>
      <c r="C8" s="24" t="s">
        <v>222</v>
      </c>
      <c r="D8" s="24" t="s">
        <v>223</v>
      </c>
      <c r="E8" s="30" t="s">
        <v>221</v>
      </c>
      <c r="F8" s="31" t="s">
        <v>256</v>
      </c>
    </row>
    <row r="9" spans="1:6" ht="27.95" customHeight="1" x14ac:dyDescent="0.25">
      <c r="A9" s="25" t="s">
        <v>10</v>
      </c>
      <c r="B9" s="32" t="s">
        <v>218</v>
      </c>
      <c r="C9" s="32" t="s">
        <v>224</v>
      </c>
      <c r="D9" s="32" t="s">
        <v>225</v>
      </c>
      <c r="E9" s="33" t="s">
        <v>221</v>
      </c>
      <c r="F9" s="31" t="s">
        <v>256</v>
      </c>
    </row>
    <row r="10" spans="1:6" ht="27.95" customHeight="1" x14ac:dyDescent="0.25">
      <c r="A10" s="26" t="s">
        <v>14</v>
      </c>
      <c r="B10" s="24" t="s">
        <v>226</v>
      </c>
      <c r="C10" s="24" t="s">
        <v>227</v>
      </c>
      <c r="D10" s="24" t="s">
        <v>228</v>
      </c>
      <c r="E10" s="30" t="s">
        <v>213</v>
      </c>
      <c r="F10" s="31" t="s">
        <v>256</v>
      </c>
    </row>
    <row r="11" spans="1:6" ht="27.95" customHeight="1" x14ac:dyDescent="0.25">
      <c r="A11" s="26" t="s">
        <v>14</v>
      </c>
      <c r="B11" s="32" t="s">
        <v>226</v>
      </c>
      <c r="C11" s="32" t="s">
        <v>229</v>
      </c>
      <c r="D11" s="32" t="s">
        <v>230</v>
      </c>
      <c r="E11" s="33" t="s">
        <v>221</v>
      </c>
      <c r="F11" s="31" t="s">
        <v>256</v>
      </c>
    </row>
    <row r="12" spans="1:6" ht="27.95" customHeight="1" x14ac:dyDescent="0.25">
      <c r="A12" s="26" t="s">
        <v>14</v>
      </c>
      <c r="B12" s="24" t="s">
        <v>226</v>
      </c>
      <c r="C12" s="24" t="s">
        <v>231</v>
      </c>
      <c r="D12" s="24" t="s">
        <v>232</v>
      </c>
      <c r="E12" s="30" t="s">
        <v>213</v>
      </c>
      <c r="F12" s="31" t="s">
        <v>256</v>
      </c>
    </row>
    <row r="13" spans="1:6" ht="27.95" customHeight="1" x14ac:dyDescent="0.25">
      <c r="A13" s="27" t="s">
        <v>18</v>
      </c>
      <c r="B13" s="32" t="s">
        <v>233</v>
      </c>
      <c r="C13" s="32" t="s">
        <v>234</v>
      </c>
      <c r="D13" s="32" t="s">
        <v>235</v>
      </c>
      <c r="E13" s="33" t="s">
        <v>221</v>
      </c>
      <c r="F13" s="31" t="s">
        <v>256</v>
      </c>
    </row>
    <row r="14" spans="1:6" ht="27.95" customHeight="1" x14ac:dyDescent="0.25">
      <c r="A14" s="27" t="s">
        <v>18</v>
      </c>
      <c r="B14" s="24" t="s">
        <v>233</v>
      </c>
      <c r="C14" s="24" t="s">
        <v>236</v>
      </c>
      <c r="D14" s="24" t="s">
        <v>237</v>
      </c>
      <c r="E14" s="30" t="s">
        <v>221</v>
      </c>
      <c r="F14" s="31" t="s">
        <v>256</v>
      </c>
    </row>
    <row r="15" spans="1:6" ht="27.95" customHeight="1" x14ac:dyDescent="0.25">
      <c r="A15" s="27" t="s">
        <v>18</v>
      </c>
      <c r="B15" s="32" t="s">
        <v>233</v>
      </c>
      <c r="C15" s="32" t="s">
        <v>238</v>
      </c>
      <c r="D15" s="32" t="s">
        <v>237</v>
      </c>
      <c r="E15" s="33" t="s">
        <v>221</v>
      </c>
      <c r="F15" s="31" t="s">
        <v>256</v>
      </c>
    </row>
    <row r="16" spans="1:6" ht="27.95" customHeight="1" x14ac:dyDescent="0.25">
      <c r="A16" s="28" t="s">
        <v>22</v>
      </c>
      <c r="B16" s="24" t="s">
        <v>239</v>
      </c>
      <c r="C16" s="24" t="s">
        <v>240</v>
      </c>
      <c r="D16" s="24" t="s">
        <v>241</v>
      </c>
      <c r="E16" s="30" t="s">
        <v>221</v>
      </c>
      <c r="F16" s="31" t="s">
        <v>256</v>
      </c>
    </row>
    <row r="17" spans="1:6" ht="27.95" customHeight="1" x14ac:dyDescent="0.25">
      <c r="A17" s="28" t="s">
        <v>22</v>
      </c>
      <c r="B17" s="32" t="s">
        <v>239</v>
      </c>
      <c r="C17" s="32" t="s">
        <v>242</v>
      </c>
      <c r="D17" s="32" t="s">
        <v>243</v>
      </c>
      <c r="E17" s="33" t="s">
        <v>213</v>
      </c>
      <c r="F17" s="31" t="s">
        <v>256</v>
      </c>
    </row>
    <row r="18" spans="1:6" ht="27.95" customHeight="1" x14ac:dyDescent="0.25">
      <c r="A18" s="28" t="s">
        <v>22</v>
      </c>
      <c r="B18" s="24" t="s">
        <v>239</v>
      </c>
      <c r="C18" s="24" t="s">
        <v>244</v>
      </c>
      <c r="D18" s="24" t="s">
        <v>245</v>
      </c>
      <c r="E18" s="30" t="s">
        <v>213</v>
      </c>
      <c r="F18" s="31" t="s">
        <v>256</v>
      </c>
    </row>
    <row r="19" spans="1:6" ht="27.95" customHeight="1" x14ac:dyDescent="0.25">
      <c r="A19" s="29" t="s">
        <v>26</v>
      </c>
      <c r="B19" s="32" t="s">
        <v>246</v>
      </c>
      <c r="C19" s="32" t="s">
        <v>247</v>
      </c>
      <c r="D19" s="32"/>
      <c r="E19" s="33" t="s">
        <v>221</v>
      </c>
      <c r="F19" s="31" t="s">
        <v>256</v>
      </c>
    </row>
    <row r="20" spans="1:6" ht="27.95" customHeight="1" x14ac:dyDescent="0.25">
      <c r="A20" s="29" t="s">
        <v>26</v>
      </c>
      <c r="B20" s="24" t="s">
        <v>246</v>
      </c>
      <c r="C20" s="24" t="s">
        <v>248</v>
      </c>
      <c r="D20" s="24" t="e">
        <f>COUNTIF/30</f>
        <v>#NAME?</v>
      </c>
      <c r="E20" s="30" t="s">
        <v>221</v>
      </c>
      <c r="F20" s="31" t="s">
        <v>256</v>
      </c>
    </row>
    <row r="21" spans="1:6" ht="27.95" customHeight="1" x14ac:dyDescent="0.25">
      <c r="A21" s="29" t="s">
        <v>26</v>
      </c>
      <c r="B21" s="32" t="s">
        <v>246</v>
      </c>
      <c r="C21" s="32" t="s">
        <v>249</v>
      </c>
      <c r="D21" s="32" t="s">
        <v>243</v>
      </c>
      <c r="E21" s="33" t="s">
        <v>213</v>
      </c>
      <c r="F21" s="31" t="s">
        <v>256</v>
      </c>
    </row>
    <row r="22" spans="1:6" ht="27.95" customHeight="1" x14ac:dyDescent="0.25">
      <c r="A22" s="34" t="s">
        <v>250</v>
      </c>
      <c r="B22" s="24" t="s">
        <v>251</v>
      </c>
      <c r="C22" s="24" t="s">
        <v>252</v>
      </c>
      <c r="D22" s="24" t="s">
        <v>253</v>
      </c>
      <c r="E22" s="30" t="s">
        <v>254</v>
      </c>
      <c r="F22" s="31" t="s">
        <v>256</v>
      </c>
    </row>
    <row r="24" spans="1:6" ht="26.1" customHeight="1" x14ac:dyDescent="0.25">
      <c r="A24" s="69" t="s">
        <v>255</v>
      </c>
      <c r="B24" s="36"/>
      <c r="C24" s="36"/>
      <c r="D24" s="36"/>
      <c r="E24" s="68" t="str">
        <f>COUNTIF(F4:F22,"✓")&amp;" / 19 completed"</f>
        <v>19 / 19 completed</v>
      </c>
      <c r="F24" s="36"/>
    </row>
  </sheetData>
  <mergeCells count="3">
    <mergeCell ref="E24:F24"/>
    <mergeCell ref="A1:F1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👋 START HERE</vt:lpstr>
      <vt:lpstr>PivotTable1</vt:lpstr>
      <vt:lpstr>PivotTable2</vt:lpstr>
      <vt:lpstr>📋 STUDENT_DATA</vt:lpstr>
      <vt:lpstr>ML_Summary</vt:lpstr>
      <vt:lpstr>📋 TASK_GUIDE</vt:lpstr>
      <vt:lpstr>✔️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Batch5</cp:lastModifiedBy>
  <dcterms:created xsi:type="dcterms:W3CDTF">2026-04-25T06:10:10Z</dcterms:created>
  <dcterms:modified xsi:type="dcterms:W3CDTF">2026-04-25T10:57:29Z</dcterms:modified>
</cp:coreProperties>
</file>