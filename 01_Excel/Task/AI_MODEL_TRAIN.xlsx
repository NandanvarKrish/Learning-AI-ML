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Krish\01_Excel\Task\"/>
    </mc:Choice>
  </mc:AlternateContent>
  <xr:revisionPtr revIDLastSave="0" documentId="13_ncr:1_{6B63D6A3-DE5D-406E-B554-794AECCA5CC8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IMP DATA" sheetId="2" r:id="rId1"/>
    <sheet name="Input Data" sheetId="1" r:id="rId2"/>
    <sheet name="Out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B6" i="3" s="1"/>
  <c r="B1" i="3" a="1"/>
  <c r="B1" i="3" s="1"/>
  <c r="B7" i="3" l="1"/>
  <c r="B9" i="3"/>
  <c r="B8" i="3"/>
  <c r="B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<sst xmlns="http://schemas.openxmlformats.org/spreadsheetml/2006/main" count="57" uniqueCount="53">
  <si>
    <t>ID</t>
  </si>
  <si>
    <t>INCOME</t>
  </si>
  <si>
    <t>CREDIT</t>
  </si>
  <si>
    <t>EMPLOYMENT</t>
  </si>
  <si>
    <t>Name</t>
  </si>
  <si>
    <t>Income</t>
  </si>
  <si>
    <t>Loans</t>
  </si>
  <si>
    <t>Employment</t>
  </si>
  <si>
    <t>Loan Amount</t>
  </si>
  <si>
    <t>Purpose</t>
  </si>
  <si>
    <t>Credit Score</t>
  </si>
  <si>
    <t>SALARIED</t>
  </si>
  <si>
    <t>SELF-EMPLOYED</t>
  </si>
  <si>
    <t>GOVERNMENT</t>
  </si>
  <si>
    <t>AGE GROUP</t>
  </si>
  <si>
    <t>&lt;18</t>
  </si>
  <si>
    <t>18-25</t>
  </si>
  <si>
    <t>26-35</t>
  </si>
  <si>
    <t>36-45</t>
  </si>
  <si>
    <t>46-55</t>
  </si>
  <si>
    <t>56-60</t>
  </si>
  <si>
    <t>&gt;60</t>
  </si>
  <si>
    <t>KRISH NANDANVAR</t>
  </si>
  <si>
    <t>10,000-20,000</t>
  </si>
  <si>
    <t>&lt;10,000</t>
  </si>
  <si>
    <t>20,000-35,000</t>
  </si>
  <si>
    <t>35,000-50,000</t>
  </si>
  <si>
    <t>50,000-75,000</t>
  </si>
  <si>
    <t>75,000-1,00,000</t>
  </si>
  <si>
    <t>&gt;1,00,000</t>
  </si>
  <si>
    <t>Loan</t>
  </si>
  <si>
    <t>Final Weighted Score</t>
  </si>
  <si>
    <t>550-600</t>
  </si>
  <si>
    <t>600-650</t>
  </si>
  <si>
    <t>650-700</t>
  </si>
  <si>
    <t>700-750</t>
  </si>
  <si>
    <t>750-800</t>
  </si>
  <si>
    <t>800-850</t>
  </si>
  <si>
    <t>Home</t>
  </si>
  <si>
    <t>Education</t>
  </si>
  <si>
    <t>Personal</t>
  </si>
  <si>
    <t>Business</t>
  </si>
  <si>
    <t>Car</t>
  </si>
  <si>
    <t>Bike</t>
  </si>
  <si>
    <t>Age Score</t>
  </si>
  <si>
    <t>Income Score</t>
  </si>
  <si>
    <t>Loans Score</t>
  </si>
  <si>
    <t>Employment Score</t>
  </si>
  <si>
    <t>Loan Ratio Score</t>
  </si>
  <si>
    <t>UNEMPLOYED</t>
  </si>
  <si>
    <t>Decision</t>
  </si>
  <si>
    <t>Risk Level</t>
  </si>
  <si>
    <t xml:space="preserve">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</si>
</sst>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2" borderId="1" xfId="1" applyFont="1" applyAlignment="1">
      <alignment horizontal="left" vertical="center"/>
    </xf>
  </cellXfs>
  <cellStyles count="2">
    <cellStyle name="Normal" xfId="0" builtinId="0"/>
    <cellStyle name="Note" xfId="1" builtinId="1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CC0F-348A-4346-A2DA-B41FDFD1539D}">
  <dimension ref="A1:K8"/>
  <sheetViews>
    <sheetView zoomScale="190" zoomScaleNormal="190" workbookViewId="0">
      <selection activeCell="A8" sqref="A8"/>
    </sheetView>
  </sheetViews>
  <sheetFormatPr defaultRowHeight="15" x14ac:dyDescent="0.25"/>
  <cols>
    <col min="1" max="1" width="15.140625" bestFit="1" customWidth="1"/>
    <col min="3" max="3" width="11.28515625" bestFit="1" customWidth="1"/>
    <col min="5" max="5" width="13.140625" bestFit="1" customWidth="1"/>
  </cols>
  <sheetData>
    <row r="1" spans="1:11" x14ac:dyDescent="0.25">
      <c r="A1" t="s">
        <v>3</v>
      </c>
      <c r="C1" t="s">
        <v>14</v>
      </c>
      <c r="E1" t="s">
        <v>1</v>
      </c>
      <c r="G1" t="s">
        <v>30</v>
      </c>
      <c r="I1" t="s">
        <v>2</v>
      </c>
    </row>
    <row r="2" spans="1:11" x14ac:dyDescent="0.25">
      <c r="A2" t="s">
        <v>11</v>
      </c>
      <c r="C2" t="s">
        <v>15</v>
      </c>
      <c r="E2" t="s">
        <v>24</v>
      </c>
      <c r="G2">
        <v>0</v>
      </c>
      <c r="I2" t="s">
        <v>32</v>
      </c>
      <c r="K2" t="s">
        <v>38</v>
      </c>
    </row>
    <row r="3" spans="1:11" x14ac:dyDescent="0.25">
      <c r="A3" t="s">
        <v>12</v>
      </c>
      <c r="C3" t="s">
        <v>16</v>
      </c>
      <c r="E3" t="s">
        <v>23</v>
      </c>
      <c r="G3">
        <v>1</v>
      </c>
      <c r="I3" t="s">
        <v>33</v>
      </c>
      <c r="K3" t="s">
        <v>39</v>
      </c>
    </row>
    <row r="4" spans="1:11" x14ac:dyDescent="0.25">
      <c r="A4" t="s">
        <v>13</v>
      </c>
      <c r="C4" t="s">
        <v>17</v>
      </c>
      <c r="E4" t="s">
        <v>25</v>
      </c>
      <c r="G4">
        <v>2</v>
      </c>
      <c r="I4" t="s">
        <v>34</v>
      </c>
      <c r="K4" t="s">
        <v>40</v>
      </c>
    </row>
    <row r="5" spans="1:11" x14ac:dyDescent="0.25">
      <c r="A5" t="s">
        <v>49</v>
      </c>
      <c r="C5" t="s">
        <v>18</v>
      </c>
      <c r="E5" t="s">
        <v>26</v>
      </c>
      <c r="G5">
        <v>3</v>
      </c>
      <c r="I5" t="s">
        <v>35</v>
      </c>
      <c r="K5" t="s">
        <v>41</v>
      </c>
    </row>
    <row r="6" spans="1:11" x14ac:dyDescent="0.25">
      <c r="C6" t="s">
        <v>19</v>
      </c>
      <c r="E6" t="s">
        <v>27</v>
      </c>
      <c r="G6">
        <v>4</v>
      </c>
      <c r="I6" t="s">
        <v>36</v>
      </c>
      <c r="K6" t="s">
        <v>42</v>
      </c>
    </row>
    <row r="7" spans="1:11" x14ac:dyDescent="0.25">
      <c r="C7" t="s">
        <v>20</v>
      </c>
      <c r="E7" t="s">
        <v>28</v>
      </c>
      <c r="G7">
        <v>5</v>
      </c>
      <c r="I7" t="s">
        <v>37</v>
      </c>
      <c r="K7" t="s">
        <v>43</v>
      </c>
    </row>
    <row r="8" spans="1:11" x14ac:dyDescent="0.25">
      <c r="C8" t="s">
        <v>21</v>
      </c>
      <c r="E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30" zoomScaleNormal="130" workbookViewId="0">
      <selection activeCell="B8" sqref="B8"/>
    </sheetView>
  </sheetViews>
  <sheetFormatPr defaultRowHeight="15" x14ac:dyDescent="0.25"/>
  <cols>
    <col min="1" max="1" width="20" bestFit="1" customWidth="1"/>
    <col min="2" max="2" width="18.7109375" bestFit="1" customWidth="1"/>
  </cols>
  <sheetData>
    <row r="1" spans="1:2" x14ac:dyDescent="0.25">
      <c r="A1" s="2" t="s">
        <v>0</v>
      </c>
      <c r="B1" s="2">
        <v>5001</v>
      </c>
    </row>
    <row r="2" spans="1:2" x14ac:dyDescent="0.25">
      <c r="A2" s="2" t="s">
        <v>4</v>
      </c>
      <c r="B2" s="2" t="s">
        <v>22</v>
      </c>
    </row>
    <row r="3" spans="1:2" x14ac:dyDescent="0.25">
      <c r="A3" s="2" t="s">
        <v>52</v>
      </c>
      <c r="B3" s="2">
        <v>16</v>
      </c>
    </row>
    <row r="4" spans="1:2" x14ac:dyDescent="0.25">
      <c r="A4" s="2" t="s">
        <v>5</v>
      </c>
      <c r="B4" s="3">
        <v>10000000</v>
      </c>
    </row>
    <row r="5" spans="1:2" x14ac:dyDescent="0.25">
      <c r="A5" s="2" t="s">
        <v>2</v>
      </c>
      <c r="B5" s="2">
        <v>830</v>
      </c>
    </row>
    <row r="6" spans="1:2" x14ac:dyDescent="0.25">
      <c r="A6" s="2" t="s">
        <v>6</v>
      </c>
      <c r="B6" s="2">
        <v>0</v>
      </c>
    </row>
    <row r="7" spans="1:2" x14ac:dyDescent="0.25">
      <c r="A7" s="2" t="s">
        <v>7</v>
      </c>
      <c r="B7" s="2" t="s">
        <v>12</v>
      </c>
    </row>
    <row r="8" spans="1:2" x14ac:dyDescent="0.25">
      <c r="A8" s="2" t="s">
        <v>8</v>
      </c>
      <c r="B8" s="3">
        <v>15000000</v>
      </c>
    </row>
    <row r="9" spans="1:2" x14ac:dyDescent="0.25">
      <c r="A9" s="2" t="s">
        <v>9</v>
      </c>
      <c r="B9" s="2" t="s">
        <v>41</v>
      </c>
    </row>
    <row r="10" spans="1:2" x14ac:dyDescent="0.25">
      <c r="A10" s="1"/>
      <c r="B10" s="1"/>
    </row>
    <row r="11" spans="1:2" x14ac:dyDescent="0.25">
      <c r="A11" s="2" t="s">
        <v>50</v>
      </c>
      <c r="B11" t="str">
        <f>Output!B8</f>
        <v>APPROVED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544188D-D205-4122-AD39-20C861FBA060}">
          <x14:formula1>
            <xm:f>'IMP DATA'!$A$2:$A$5</xm:f>
          </x14:formula1>
          <xm:sqref>B7</xm:sqref>
        </x14:dataValidation>
        <x14:dataValidation type="list" allowBlank="1" showInputMessage="1" showErrorMessage="1" xr:uid="{2E6EEEDE-3BE5-4491-8248-550A33D26FEC}">
          <x14:formula1>
            <xm:f>'IMP DATA'!$G$2:$G$7</xm:f>
          </x14:formula1>
          <xm:sqref>B6</xm:sqref>
        </x14:dataValidation>
        <x14:dataValidation type="list" allowBlank="1" showInputMessage="1" showErrorMessage="1" xr:uid="{BF5BE47C-EE12-412A-A95E-7D95DA76F1A8}">
          <x14:formula1>
            <xm:f>'IMP DATA'!$K$2:$K$7</xm:f>
          </x14:formula1>
          <xm:sqref>B9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8886-20E6-41CE-BAA2-C4A96DB259FB}">
  <dimension ref="A1:B9"/>
  <sheetViews>
    <sheetView workbookViewId="0">
      <selection activeCell="B2" sqref="B2"/>
    </sheetView>
  </sheetViews>
  <sheetFormatPr defaultRowHeight="15" x14ac:dyDescent="0.25"/>
  <cols>
    <col min="1" max="1" width="22.7109375" customWidth="1"/>
    <col min="2" max="2" width="29" customWidth="1"/>
  </cols>
  <sheetData>
    <row r="1" spans="1:2" x14ac:dyDescent="0.25">
      <c r="A1" s="7" t="s">
        <v>44</v>
      </c>
      <c r="B1" s="4" cm="1">
        <f t="array" ref="B1">_xlfn.IFS('Input Data'!B3&lt;18,0,'Input Data'!B3&lt;=25,60,'Input Data'!B3&lt;=35,100,'Input Data'!B3&lt;=45,90,'Input Data'!B3&lt;=55,75,'Input Data'!B3&lt;=60,50,'Input Data'!B3&gt;60,20)</f>
        <v>0</v>
      </c>
    </row>
    <row r="2" spans="1:2" x14ac:dyDescent="0.25">
      <c r="A2" s="7" t="s">
        <v>45</v>
      </c>
      <c r="B2" s="4">
        <f>IF('Input Data'!B4&lt;10000,10,IF('Input Data'!B4&lt;20000,30,IF('Input Data'!B4&lt;35000,55, IF('Input Data'!B4&lt;50000,75,IF('Input Data'!B4&lt;75000,88,IF('Input Data'!B4&lt;=100000,95,100))))))</f>
        <v>100</v>
      </c>
    </row>
    <row r="3" spans="1:2" x14ac:dyDescent="0.25">
      <c r="A3" s="7" t="s">
        <v>10</v>
      </c>
      <c r="B3" s="4">
        <f>IF('Input Data'!B5&lt;300,0,IF('Input Data'!B5&lt;500,15,IF('Input Data'!B5&lt;600,35, IF('Input Data'!B5&lt;700,60,IF('Input Data'!B5&lt;750,80,IF('Input Data'!B5&lt;800,92,100))))))</f>
        <v>100</v>
      </c>
    </row>
    <row r="4" spans="1:2" x14ac:dyDescent="0.25">
      <c r="A4" s="7" t="s">
        <v>46</v>
      </c>
      <c r="B4" s="4">
        <f>IF('Input Data'!B6=0,100,IF('Input Data'!B6=1,80,IF('Input Data'!B6=2,55, IF('Input Data'!B6=3,30,IF('Input Data'!B6=4,15,0)))))</f>
        <v>100</v>
      </c>
    </row>
    <row r="5" spans="1:2" x14ac:dyDescent="0.25">
      <c r="A5" s="7" t="s">
        <v>47</v>
      </c>
      <c r="B5" s="4">
        <f>IF('Input Data'!B7="Government",100,IF('Input Data'!B7="Salaried",85, IF('Input Data'!B7="Self-Employed",65,IF('Input Data'!B7="Unemployed",10,50))))</f>
        <v>65</v>
      </c>
    </row>
    <row r="6" spans="1:2" x14ac:dyDescent="0.25">
      <c r="A6" s="7" t="s">
        <v>48</v>
      </c>
      <c r="B6" s="5">
        <f>IF('Input Data'!B8/(B2*12)&lt;=2,100, IF('Input Data'!B8/(B2*12)&lt;=4,80, IF('Input Data'!B8/(B2*12)&lt;=6,60, IF('Input Data'!B8/(B2*12)&lt;=8,35,10))))</f>
        <v>10</v>
      </c>
    </row>
    <row r="7" spans="1:2" x14ac:dyDescent="0.25">
      <c r="A7" s="7" t="s">
        <v>31</v>
      </c>
      <c r="B7" s="4">
        <f>(B1*0.15) + (B2*0.25) + (B3*0.3) + (B4*0.15) + (B5*0.1) + (B6*0.05)</f>
        <v>77</v>
      </c>
    </row>
    <row r="8" spans="1:2" x14ac:dyDescent="0.25">
      <c r="A8" s="7" t="s">
        <v>50</v>
      </c>
      <c r="B8" s="6" t="str">
        <f>IF(B7&gt;=71,"APPROVED",IF(B7&gt;=56,"CONDITIONAL","REJECTED"))</f>
        <v>APPROVED</v>
      </c>
    </row>
    <row r="9" spans="1:2" x14ac:dyDescent="0.25">
      <c r="A9" s="7" t="s">
        <v>51</v>
      </c>
      <c r="B9" s="6" t="str">
        <f>IF(B7&gt;=86,"Very Low Risk",IF(B7&gt;=71,"Low Risk",IF(B7&gt;=56,"Medium Risk", IF(B7&gt;=41,"High Risk","Very High Risk"))))</f>
        <v>Low Risk</v>
      </c>
    </row>
  </sheetData>
  <conditionalFormatting sqref="B1:B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{5EB08CE9-E01D-43D2-AE83-5611F846CDDC}</x14:id>
        </ext>
      </extLst>
    </cfRule>
  </conditionalFormatting>
  <conditionalFormatting sqref="B8">
    <cfRule type="cellIs" dxfId="8" priority="7" operator="equal">
      <formula>"CONDITIONAL"</formula>
    </cfRule>
    <cfRule type="cellIs" dxfId="7" priority="8" operator="equal">
      <formula>"REJECTED"</formula>
    </cfRule>
    <cfRule type="cellIs" dxfId="6" priority="9" operator="equal">
      <formula>"APPROVED"</formula>
    </cfRule>
  </conditionalFormatting>
  <conditionalFormatting sqref="B9">
    <cfRule type="cellIs" dxfId="5" priority="1" operator="equal">
      <formula>"Very Low Risk"</formula>
    </cfRule>
    <cfRule type="cellIs" dxfId="4" priority="2" operator="equal">
      <formula>"Low Risk"</formula>
    </cfRule>
    <cfRule type="cellIs" dxfId="3" priority="3" operator="equal">
      <formula>"Low Risk,Very Low Risk"</formula>
    </cfRule>
    <cfRule type="cellIs" dxfId="2" priority="4" operator="equal">
      <formula>"Medium Risk"</formula>
    </cfRule>
    <cfRule type="cellIs" dxfId="1" priority="5" operator="equal">
      <formula>"High Risk"</formula>
    </cfRule>
    <cfRule type="cellIs" dxfId="0" priority="6" operator="equal">
      <formula>"Very High Risk"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B08CE9-E01D-43D2-AE83-5611F846CD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B1:B7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 DATA</vt:lpstr>
      <vt:lpstr>Input Data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Batch3</dc:creator>
  <cp:lastModifiedBy>Batch3</cp:lastModifiedBy>
  <dcterms:created xsi:type="dcterms:W3CDTF">2015-06-05T18:17:20Z</dcterms:created>
  <dcterms:modified xsi:type="dcterms:W3CDTF">2026-05-22T10:09:07Z</dcterms:modified>
</cp:coreProperties>
</file>