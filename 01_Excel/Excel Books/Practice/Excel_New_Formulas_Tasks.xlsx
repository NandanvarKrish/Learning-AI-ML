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IICL\Krish\01_Excel\Excel Books\Practice\"/>
    </mc:Choice>
  </mc:AlternateContent>
  <xr:revisionPtr revIDLastSave="0" documentId="13_ncr:1_{A3BC0AA7-8B5C-4D97-81E8-7FF75DECF9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port Card" sheetId="1" r:id="rId1"/>
    <sheet name="Shop Sales Analysis" sheetId="2" r:id="rId2"/>
    <sheet name="Employee Data Cleanup" sheetId="3" r:id="rId3"/>
    <sheet name="Date Calcul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2" i="4"/>
  <c r="I3" i="4"/>
  <c r="I4" i="4"/>
  <c r="I5" i="4"/>
  <c r="I6" i="4"/>
  <c r="I2" i="4"/>
  <c r="K3" i="4"/>
  <c r="K4" i="4"/>
  <c r="K5" i="4"/>
  <c r="K6" i="4"/>
  <c r="K2" i="4"/>
  <c r="I3" i="3"/>
  <c r="I4" i="3"/>
  <c r="I5" i="3"/>
  <c r="I6" i="3"/>
  <c r="I7" i="3"/>
  <c r="I2" i="3"/>
  <c r="J3" i="3"/>
  <c r="J4" i="3"/>
  <c r="J5" i="3"/>
  <c r="J6" i="3"/>
  <c r="J7" i="3"/>
  <c r="J2" i="3"/>
  <c r="H6" i="3"/>
  <c r="H5" i="3"/>
  <c r="H3" i="3"/>
  <c r="H4" i="3"/>
  <c r="H7" i="3"/>
  <c r="H2" i="3"/>
  <c r="G7" i="3"/>
  <c r="G6" i="3"/>
  <c r="G5" i="3"/>
  <c r="G4" i="3"/>
  <c r="G3" i="3"/>
  <c r="G2" i="3"/>
  <c r="F3" i="3"/>
  <c r="F4" i="3"/>
  <c r="F5" i="3"/>
  <c r="F6" i="3"/>
  <c r="F7" i="3"/>
  <c r="F2" i="3"/>
  <c r="I18" i="2"/>
  <c r="I19" i="2"/>
  <c r="I20" i="2"/>
  <c r="H18" i="2"/>
  <c r="H19" i="2"/>
  <c r="H20" i="2"/>
  <c r="G18" i="2"/>
  <c r="G19" i="2"/>
  <c r="G20" i="2"/>
  <c r="I17" i="2"/>
  <c r="H17" i="2"/>
  <c r="G17" i="2"/>
  <c r="E12" i="1"/>
  <c r="H11" i="1"/>
  <c r="I11" i="1"/>
  <c r="H12" i="1"/>
  <c r="I12" i="1"/>
  <c r="F12" i="1"/>
  <c r="G12" i="1"/>
  <c r="C12" i="1"/>
  <c r="D12" i="1"/>
  <c r="B12" i="1"/>
  <c r="C11" i="1"/>
  <c r="D11" i="1"/>
  <c r="E11" i="1"/>
  <c r="B11" i="1"/>
  <c r="G3" i="1"/>
  <c r="I3" i="1" s="1"/>
  <c r="G4" i="1"/>
  <c r="I4" i="1" s="1"/>
  <c r="G5" i="1"/>
  <c r="I5" i="1" s="1"/>
  <c r="G6" i="1"/>
  <c r="I6" i="1" s="1"/>
  <c r="G7" i="1"/>
  <c r="G8" i="1"/>
  <c r="G9" i="1"/>
  <c r="G2" i="1"/>
  <c r="H2" i="1" s="1"/>
  <c r="F3" i="1"/>
  <c r="F4" i="1"/>
  <c r="F5" i="1"/>
  <c r="F6" i="1"/>
  <c r="F7" i="1"/>
  <c r="F8" i="1"/>
  <c r="F9" i="1"/>
  <c r="F2" i="1"/>
  <c r="F11" i="1" s="1"/>
  <c r="G3" i="4" l="1"/>
  <c r="H3" i="4"/>
  <c r="G4" i="4"/>
  <c r="H4" i="4"/>
  <c r="G5" i="4"/>
  <c r="H5" i="4"/>
  <c r="G6" i="4"/>
  <c r="H6" i="4"/>
  <c r="G2" i="4"/>
  <c r="H2" i="4"/>
  <c r="H9" i="1"/>
  <c r="I9" i="1"/>
  <c r="I2" i="1"/>
  <c r="H8" i="1"/>
  <c r="I8" i="1"/>
  <c r="G11" i="1"/>
  <c r="H7" i="1"/>
  <c r="I7" i="1"/>
  <c r="H6" i="1"/>
  <c r="H5" i="1"/>
  <c r="H4" i="1"/>
  <c r="H3" i="1"/>
</calcChain>
</file>

<file path=xl/sharedStrings.xml><?xml version="1.0" encoding="utf-8"?>
<sst xmlns="http://schemas.openxmlformats.org/spreadsheetml/2006/main" count="95" uniqueCount="79">
  <si>
    <t>NAME</t>
  </si>
  <si>
    <t>MATHS</t>
  </si>
  <si>
    <t>SCIENCE</t>
  </si>
  <si>
    <t>ENGLISH</t>
  </si>
  <si>
    <t>HINDI</t>
  </si>
  <si>
    <t>TOTAL</t>
  </si>
  <si>
    <t>AVERAGE</t>
  </si>
  <si>
    <t>RANK</t>
  </si>
  <si>
    <t>GRADE</t>
  </si>
  <si>
    <t>Ravi</t>
  </si>
  <si>
    <t>Priya</t>
  </si>
  <si>
    <t>Aman</t>
  </si>
  <si>
    <t>Sunita</t>
  </si>
  <si>
    <t>Rohit</t>
  </si>
  <si>
    <t>Kavya</t>
  </si>
  <si>
    <t>Deepak</t>
  </si>
  <si>
    <t>Meena</t>
  </si>
  <si>
    <t>Highest</t>
  </si>
  <si>
    <t>Lowest</t>
  </si>
  <si>
    <t>SALE DATE</t>
  </si>
  <si>
    <t>ITEM NAME</t>
  </si>
  <si>
    <t>QUANTITY</t>
  </si>
  <si>
    <t>SALE AMT</t>
  </si>
  <si>
    <t>Mobile Cover</t>
  </si>
  <si>
    <t>USB Cable</t>
  </si>
  <si>
    <t>Screen Protector</t>
  </si>
  <si>
    <t>Wall Charger</t>
  </si>
  <si>
    <t>Item Name</t>
  </si>
  <si>
    <t>Total Sales</t>
  </si>
  <si>
    <t>Times Sold</t>
  </si>
  <si>
    <t>Avg Price</t>
  </si>
  <si>
    <t>EmployeeID</t>
  </si>
  <si>
    <t>Department Code</t>
  </si>
  <si>
    <t>Email</t>
  </si>
  <si>
    <t>EMP001</t>
  </si>
  <si>
    <t>EMP002</t>
  </si>
  <si>
    <t>EMP003</t>
  </si>
  <si>
    <t>EMP004</t>
  </si>
  <si>
    <t>EMP005</t>
  </si>
  <si>
    <t>EMP006</t>
  </si>
  <si>
    <t>PRIYA SINGH</t>
  </si>
  <si>
    <t>aman verma</t>
  </si>
  <si>
    <t>SUNITA RAO</t>
  </si>
  <si>
    <t>rohit sharma</t>
  </si>
  <si>
    <t>KAVYA PATEL</t>
  </si>
  <si>
    <t>SALES-01</t>
  </si>
  <si>
    <t>ACCT-02</t>
  </si>
  <si>
    <t>WARE-03</t>
  </si>
  <si>
    <t>ADMN-04</t>
  </si>
  <si>
    <t>SALE-05</t>
  </si>
  <si>
    <t>MKTG-06</t>
  </si>
  <si>
    <t>ravi.kumar@company.com</t>
  </si>
  <si>
    <t>priya.singh@company.com</t>
  </si>
  <si>
    <t>aman.verma@company.com</t>
  </si>
  <si>
    <t>rohit.sharma@company.com</t>
  </si>
  <si>
    <t>sunita.rao@company.com</t>
  </si>
  <si>
    <t>kavya.patel@company.com</t>
  </si>
  <si>
    <t>Full Name (Messy)</t>
  </si>
  <si>
    <t>Clean Name</t>
  </si>
  <si>
    <t>First Name</t>
  </si>
  <si>
    <t>Last Name</t>
  </si>
  <si>
    <t>Dept</t>
  </si>
  <si>
    <t>Full info Combined</t>
  </si>
  <si>
    <t xml:space="preserve"> ravi kumar</t>
  </si>
  <si>
    <t>Employee</t>
  </si>
  <si>
    <t>Date of Birth</t>
  </si>
  <si>
    <t>Date of Joining</t>
  </si>
  <si>
    <t>Loan Start Date</t>
  </si>
  <si>
    <t>Loan Months</t>
  </si>
  <si>
    <t>Ravi Kumar</t>
  </si>
  <si>
    <t>Priya Singh</t>
  </si>
  <si>
    <t>Aman Verma</t>
  </si>
  <si>
    <t>Sunita Rao</t>
  </si>
  <si>
    <t>Rohit Sharma</t>
  </si>
  <si>
    <t>Age (Years)</t>
  </si>
  <si>
    <t>Years of Services</t>
  </si>
  <si>
    <t>Loan End Date</t>
  </si>
  <si>
    <t>Birthday Day Name</t>
  </si>
  <si>
    <t>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</si>
</sst>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5" fillId="4" borderId="1" applyNumberFormat="0" applyAlignment="0" applyProtection="0"/>
    <xf numFmtId="0" fontId="6" fillId="5" borderId="3" applyNumberFormat="0" applyAlignment="0" applyProtection="0"/>
    <xf numFmtId="0" fontId="1" fillId="6" borderId="4" applyNumberFormat="0" applyFont="0" applyAlignment="0" applyProtection="0"/>
    <xf numFmtId="0" fontId="7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0">
    <xf numFmtId="0" fontId="0" fillId="0" borderId="0" xfId="0"/>
    <xf numFmtId="0" fontId="8" fillId="10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5" xfId="2" applyBorder="1" applyAlignment="1">
      <alignment horizontal="center" vertical="center"/>
    </xf>
    <xf numFmtId="0" fontId="4" fillId="4" borderId="2" xfId="3" applyAlignment="1">
      <alignment horizontal="center" vertical="center"/>
    </xf>
    <xf numFmtId="0" fontId="9" fillId="6" borderId="4" xfId="6" applyFont="1" applyAlignment="1">
      <alignment horizontal="center" vertical="center"/>
    </xf>
    <xf numFmtId="0" fontId="1" fillId="6" borderId="4" xfId="6" applyFont="1" applyAlignment="1">
      <alignment horizontal="center" vertical="center"/>
    </xf>
    <xf numFmtId="0" fontId="6" fillId="5" borderId="3" xfId="5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9" borderId="5" xfId="9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1" fillId="0" borderId="0" xfId="9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15" fontId="3" fillId="3" borderId="5" xfId="2" applyNumberFormat="1" applyBorder="1" applyAlignment="1">
      <alignment horizontal="center" vertical="center"/>
    </xf>
    <xf numFmtId="0" fontId="0" fillId="6" borderId="5" xfId="6" applyFont="1" applyBorder="1" applyAlignment="1">
      <alignment horizontal="center" vertical="center"/>
    </xf>
    <xf numFmtId="0" fontId="5" fillId="4" borderId="5" xfId="4" applyBorder="1" applyAlignment="1">
      <alignment horizontal="center" vertical="center"/>
    </xf>
    <xf numFmtId="164" fontId="6" fillId="5" borderId="5" xfId="5" applyNumberFormat="1" applyBorder="1" applyAlignment="1">
      <alignment horizontal="center" vertical="center"/>
    </xf>
    <xf numFmtId="0" fontId="7" fillId="7" borderId="5" xfId="7" applyBorder="1" applyAlignment="1">
      <alignment horizontal="center" vertical="center"/>
    </xf>
    <xf numFmtId="0" fontId="1" fillId="8" borderId="5" xfId="8" applyBorder="1"/>
    <xf numFmtId="0" fontId="7" fillId="14" borderId="0" xfId="0" applyFont="1" applyFill="1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6" borderId="4" xfId="6" applyFont="1" applyAlignment="1">
      <alignment horizontal="center" vertical="center"/>
    </xf>
    <xf numFmtId="0" fontId="5" fillId="4" borderId="1" xfId="4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14" fontId="1" fillId="12" borderId="5" xfId="11" applyNumberFormat="1" applyBorder="1" applyAlignment="1">
      <alignment horizontal="center" vertical="center"/>
    </xf>
    <xf numFmtId="2" fontId="0" fillId="6" borderId="4" xfId="6" applyNumberFormat="1" applyFont="1" applyAlignment="1">
      <alignment horizontal="center" vertical="center"/>
    </xf>
    <xf numFmtId="2" fontId="1" fillId="13" borderId="5" xfId="12" applyNumberFormat="1" applyBorder="1" applyAlignment="1">
      <alignment horizontal="center" vertical="center"/>
    </xf>
    <xf numFmtId="14" fontId="1" fillId="11" borderId="5" xfId="10" applyNumberFormat="1" applyBorder="1" applyAlignment="1">
      <alignment horizontal="center" vertical="center"/>
    </xf>
    <xf numFmtId="14" fontId="9" fillId="4" borderId="2" xfId="3" applyNumberFormat="1" applyFont="1" applyAlignment="1">
      <alignment horizontal="center" vertical="center"/>
    </xf>
  </cellXfs>
  <cellStyles count="13">
    <cellStyle name="20% - Accent4" xfId="11" builtinId="42"/>
    <cellStyle name="40% - Accent2" xfId="10" builtinId="35"/>
    <cellStyle name="40% - Accent4" xfId="12" builtinId="43"/>
    <cellStyle name="60% - Accent4" xfId="8" builtinId="44"/>
    <cellStyle name="60% - Accent6" xfId="9" builtinId="52"/>
    <cellStyle name="Accent1" xfId="7" builtinId="29"/>
    <cellStyle name="Bad" xfId="1" builtinId="27"/>
    <cellStyle name="Calculation" xfId="4" builtinId="22"/>
    <cellStyle name="Check Cell" xfId="5" builtinId="23"/>
    <cellStyle name="Input" xfId="2" builtinId="20"/>
    <cellStyle name="Normal" xfId="0" builtinId="0"/>
    <cellStyle name="Note" xfId="6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.sharma@company.com" TargetMode="External"/><Relationship Id="rId2" Type="http://schemas.openxmlformats.org/officeDocument/2006/relationships/hyperlink" Target="mailto:sunita.rao@company.com" TargetMode="External"/><Relationship Id="rId1" Type="http://schemas.openxmlformats.org/officeDocument/2006/relationships/hyperlink" Target="mailto:aman.verma@company.com" TargetMode="External"/><Relationship Id="rId6" Type="http://schemas.openxmlformats.org/officeDocument/2006/relationships/hyperlink" Target="mailto:priya.singh@company.com" TargetMode="External"/><Relationship Id="rId5" Type="http://schemas.openxmlformats.org/officeDocument/2006/relationships/hyperlink" Target="mailto:ravi.kumar@company.com" TargetMode="External"/><Relationship Id="rId4" Type="http://schemas.openxmlformats.org/officeDocument/2006/relationships/hyperlink" Target="mailto:kavya.patel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zoomScale="115" zoomScaleNormal="115" workbookViewId="0">
      <selection activeCell="A11" sqref="A11"/>
    </sheetView>
  </sheetViews>
  <sheetFormatPr defaultColWidth="9.109375" defaultRowHeight="14.4" x14ac:dyDescent="0.3"/>
  <cols>
    <col min="1" max="16384" width="9.109375" style="8"/>
  </cols>
  <sheetData>
    <row r="1" spans="1:16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15.6" thickTop="1" thickBot="1" x14ac:dyDescent="0.35">
      <c r="A2" s="3" t="s">
        <v>9</v>
      </c>
      <c r="B2" s="4">
        <v>78</v>
      </c>
      <c r="C2" s="4">
        <v>85</v>
      </c>
      <c r="D2" s="4">
        <v>72</v>
      </c>
      <c r="E2" s="4">
        <v>90</v>
      </c>
      <c r="F2" s="5">
        <f t="shared" ref="F2:F9" si="0">SUM(B2:E2)</f>
        <v>325</v>
      </c>
      <c r="G2" s="6">
        <f t="shared" ref="G2:G9" si="1">AVERAGE(B2:E2)</f>
        <v>81.25</v>
      </c>
      <c r="H2" s="6">
        <f t="shared" ref="H2:H9" si="2">RANK(G2, $G$2:$G$9, 0)</f>
        <v>4</v>
      </c>
      <c r="I2" s="7" t="str">
        <f>IF(G2&gt;=90,"A+",IF(G2&gt;=80,"A",IF(G2&gt;=70,"B",IF(G2&gt;=60,"C","D"))))</f>
        <v>A</v>
      </c>
    </row>
    <row r="3" spans="1:16" ht="15.6" thickTop="1" thickBot="1" x14ac:dyDescent="0.35">
      <c r="A3" s="3" t="s">
        <v>10</v>
      </c>
      <c r="B3" s="4">
        <v>92</v>
      </c>
      <c r="C3" s="4">
        <v>88</v>
      </c>
      <c r="D3" s="4">
        <v>95</v>
      </c>
      <c r="E3" s="4">
        <v>87</v>
      </c>
      <c r="F3" s="5">
        <f t="shared" si="0"/>
        <v>362</v>
      </c>
      <c r="G3" s="6">
        <f t="shared" si="1"/>
        <v>90.5</v>
      </c>
      <c r="H3" s="6">
        <f t="shared" si="2"/>
        <v>2</v>
      </c>
      <c r="I3" s="7" t="str">
        <f t="shared" ref="I3:I9" si="3">IF(G3&gt;=90,"A+",IF(G3&gt;=80,"A",IF(G3&gt;=70,"B",IF(G3&gt;=60,"C","D"))))</f>
        <v>A+</v>
      </c>
    </row>
    <row r="4" spans="1:16" ht="15.6" thickTop="1" thickBot="1" x14ac:dyDescent="0.35">
      <c r="A4" s="3" t="s">
        <v>11</v>
      </c>
      <c r="B4" s="4">
        <v>65</v>
      </c>
      <c r="C4" s="4">
        <v>70</v>
      </c>
      <c r="D4" s="4">
        <v>68</v>
      </c>
      <c r="E4" s="4">
        <v>75</v>
      </c>
      <c r="F4" s="5">
        <f t="shared" si="0"/>
        <v>278</v>
      </c>
      <c r="G4" s="6">
        <f t="shared" si="1"/>
        <v>69.5</v>
      </c>
      <c r="H4" s="6">
        <f t="shared" si="2"/>
        <v>7</v>
      </c>
      <c r="I4" s="7" t="str">
        <f t="shared" si="3"/>
        <v>C</v>
      </c>
    </row>
    <row r="5" spans="1:16" ht="15.6" thickTop="1" thickBot="1" x14ac:dyDescent="0.35">
      <c r="A5" s="3" t="s">
        <v>12</v>
      </c>
      <c r="B5" s="4">
        <v>88</v>
      </c>
      <c r="C5" s="4">
        <v>92</v>
      </c>
      <c r="D5" s="4">
        <v>80</v>
      </c>
      <c r="E5" s="4">
        <v>85</v>
      </c>
      <c r="F5" s="5">
        <f t="shared" si="0"/>
        <v>345</v>
      </c>
      <c r="G5" s="6">
        <f t="shared" si="1"/>
        <v>86.25</v>
      </c>
      <c r="H5" s="6">
        <f t="shared" si="2"/>
        <v>3</v>
      </c>
      <c r="I5" s="7" t="str">
        <f t="shared" si="3"/>
        <v>A</v>
      </c>
    </row>
    <row r="6" spans="1:16" ht="15.6" thickTop="1" thickBot="1" x14ac:dyDescent="0.35">
      <c r="A6" s="3" t="s">
        <v>13</v>
      </c>
      <c r="B6" s="4">
        <v>55</v>
      </c>
      <c r="C6" s="4">
        <v>60</v>
      </c>
      <c r="D6" s="4">
        <v>58</v>
      </c>
      <c r="E6" s="4">
        <v>62</v>
      </c>
      <c r="F6" s="5">
        <f t="shared" si="0"/>
        <v>235</v>
      </c>
      <c r="G6" s="6">
        <f t="shared" si="1"/>
        <v>58.75</v>
      </c>
      <c r="H6" s="6">
        <f t="shared" si="2"/>
        <v>8</v>
      </c>
      <c r="I6" s="7" t="str">
        <f t="shared" si="3"/>
        <v>D</v>
      </c>
    </row>
    <row r="7" spans="1:16" ht="15.6" thickTop="1" thickBot="1" x14ac:dyDescent="0.35">
      <c r="A7" s="3" t="s">
        <v>14</v>
      </c>
      <c r="B7" s="4">
        <v>95</v>
      </c>
      <c r="C7" s="4">
        <v>98</v>
      </c>
      <c r="D7" s="4">
        <v>92</v>
      </c>
      <c r="E7" s="4">
        <v>96</v>
      </c>
      <c r="F7" s="5">
        <f t="shared" si="0"/>
        <v>381</v>
      </c>
      <c r="G7" s="6">
        <f t="shared" si="1"/>
        <v>95.25</v>
      </c>
      <c r="H7" s="6">
        <f t="shared" si="2"/>
        <v>1</v>
      </c>
      <c r="I7" s="7" t="str">
        <f t="shared" si="3"/>
        <v>A+</v>
      </c>
    </row>
    <row r="8" spans="1:16" ht="15.6" thickTop="1" thickBot="1" x14ac:dyDescent="0.35">
      <c r="A8" s="3" t="s">
        <v>15</v>
      </c>
      <c r="B8" s="4">
        <v>72</v>
      </c>
      <c r="C8" s="4">
        <v>68</v>
      </c>
      <c r="D8" s="4">
        <v>75</v>
      </c>
      <c r="E8" s="4">
        <v>70</v>
      </c>
      <c r="F8" s="5">
        <f t="shared" si="0"/>
        <v>285</v>
      </c>
      <c r="G8" s="6">
        <f t="shared" si="1"/>
        <v>71.25</v>
      </c>
      <c r="H8" s="6">
        <f t="shared" si="2"/>
        <v>6</v>
      </c>
      <c r="I8" s="7" t="str">
        <f t="shared" si="3"/>
        <v>B</v>
      </c>
    </row>
    <row r="9" spans="1:16" ht="15.6" thickTop="1" thickBot="1" x14ac:dyDescent="0.35">
      <c r="A9" s="3" t="s">
        <v>16</v>
      </c>
      <c r="B9" s="4">
        <v>80</v>
      </c>
      <c r="C9" s="4">
        <v>75</v>
      </c>
      <c r="D9" s="4">
        <v>82</v>
      </c>
      <c r="E9" s="4">
        <v>78</v>
      </c>
      <c r="F9" s="5">
        <f t="shared" si="0"/>
        <v>315</v>
      </c>
      <c r="G9" s="6">
        <f t="shared" si="1"/>
        <v>78.75</v>
      </c>
      <c r="H9" s="6">
        <f t="shared" si="2"/>
        <v>5</v>
      </c>
      <c r="I9" s="7" t="str">
        <f t="shared" si="3"/>
        <v>B</v>
      </c>
    </row>
    <row r="10" spans="1:16" ht="15" thickTop="1" x14ac:dyDescent="0.3"/>
    <row r="11" spans="1:16" x14ac:dyDescent="0.3">
      <c r="A11" s="9" t="s">
        <v>17</v>
      </c>
      <c r="B11" s="9">
        <f>MAX(B2:B9)</f>
        <v>95</v>
      </c>
      <c r="C11" s="9">
        <f t="shared" ref="C11:H11" si="4">MAX(C2:C9)</f>
        <v>98</v>
      </c>
      <c r="D11" s="9">
        <f t="shared" si="4"/>
        <v>95</v>
      </c>
      <c r="E11" s="9">
        <f t="shared" si="4"/>
        <v>96</v>
      </c>
      <c r="F11" s="9">
        <f t="shared" si="4"/>
        <v>381</v>
      </c>
      <c r="G11" s="9">
        <f t="shared" si="4"/>
        <v>95.25</v>
      </c>
      <c r="H11" s="9">
        <f t="shared" si="4"/>
        <v>8</v>
      </c>
      <c r="I11" s="9">
        <f t="shared" ref="I11" si="5">MAX(I2:I9)</f>
        <v>0</v>
      </c>
      <c r="J11" s="11"/>
      <c r="K11" s="11"/>
      <c r="L11" s="11"/>
      <c r="M11" s="11"/>
      <c r="N11" s="11"/>
      <c r="O11" s="11"/>
      <c r="P11" s="11"/>
    </row>
    <row r="12" spans="1:16" x14ac:dyDescent="0.3">
      <c r="A12" s="10" t="s">
        <v>18</v>
      </c>
      <c r="B12" s="10">
        <f>MIN(B2:B9)</f>
        <v>55</v>
      </c>
      <c r="C12" s="10">
        <f t="shared" ref="C12:D12" si="6">MIN(C2:C9)</f>
        <v>60</v>
      </c>
      <c r="D12" s="10">
        <f t="shared" si="6"/>
        <v>58</v>
      </c>
      <c r="E12" s="10">
        <f>MIN(E2:E9)</f>
        <v>62</v>
      </c>
      <c r="F12" s="10">
        <f t="shared" ref="F12:I12" si="7">MIN(F2:F9)</f>
        <v>235</v>
      </c>
      <c r="G12" s="10">
        <f t="shared" si="7"/>
        <v>58.75</v>
      </c>
      <c r="H12" s="10">
        <f t="shared" si="7"/>
        <v>1</v>
      </c>
      <c r="I12" s="10">
        <f t="shared" si="7"/>
        <v>0</v>
      </c>
      <c r="J12" s="12"/>
      <c r="K12" s="12"/>
      <c r="L12" s="12"/>
      <c r="M12" s="12"/>
      <c r="N12" s="12"/>
      <c r="O12" s="12"/>
      <c r="P12" s="12"/>
    </row>
  </sheetData>
  <conditionalFormatting sqref="B2:E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{C3EF23D8-4EF4-4FB3-BED4-8DC880675972}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EF23D8-4EF4-4FB3-BED4-8DC8806759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6B60-A236-4B70-88BD-C9D632FCF7A5}">
  <dimension ref="A1:I20"/>
  <sheetViews>
    <sheetView workbookViewId="0">
      <selection activeCell="K17" sqref="K17"/>
    </sheetView>
  </sheetViews>
  <sheetFormatPr defaultColWidth="9.109375" defaultRowHeight="14.4" x14ac:dyDescent="0.3"/>
  <cols>
    <col min="1" max="1" width="10.109375" style="8" bestFit="1" customWidth="1"/>
    <col min="2" max="2" width="15.88671875" style="8" bestFit="1" customWidth="1"/>
    <col min="3" max="3" width="10" style="8" bestFit="1" customWidth="1"/>
    <col min="4" max="4" width="10.5546875" style="8" bestFit="1" customWidth="1"/>
    <col min="5" max="5" width="9.109375" style="8"/>
    <col min="6" max="6" width="15.88671875" style="8" bestFit="1" customWidth="1"/>
    <col min="7" max="7" width="10.44140625" style="8" bestFit="1" customWidth="1"/>
    <col min="8" max="8" width="10.5546875" style="8" bestFit="1" customWidth="1"/>
    <col min="9" max="16384" width="9.109375" style="8"/>
  </cols>
  <sheetData>
    <row r="1" spans="1:9" x14ac:dyDescent="0.3">
      <c r="A1" s="13" t="s">
        <v>19</v>
      </c>
      <c r="B1" s="13" t="s">
        <v>20</v>
      </c>
      <c r="C1" s="13" t="s">
        <v>21</v>
      </c>
      <c r="D1" s="13" t="s">
        <v>22</v>
      </c>
    </row>
    <row r="2" spans="1:9" x14ac:dyDescent="0.3">
      <c r="A2" s="14">
        <v>45809</v>
      </c>
      <c r="B2" s="15" t="s">
        <v>23</v>
      </c>
      <c r="C2" s="16">
        <v>3</v>
      </c>
      <c r="D2" s="17">
        <v>600</v>
      </c>
      <c r="F2" t="s">
        <v>23</v>
      </c>
    </row>
    <row r="3" spans="1:9" x14ac:dyDescent="0.3">
      <c r="A3" s="14">
        <v>45810</v>
      </c>
      <c r="B3" s="15" t="s">
        <v>24</v>
      </c>
      <c r="C3" s="16">
        <v>5</v>
      </c>
      <c r="D3" s="17">
        <v>750</v>
      </c>
      <c r="F3" s="8" t="s">
        <v>24</v>
      </c>
    </row>
    <row r="4" spans="1:9" x14ac:dyDescent="0.3">
      <c r="A4" s="14">
        <v>45811</v>
      </c>
      <c r="B4" s="15" t="s">
        <v>23</v>
      </c>
      <c r="C4" s="16">
        <v>2</v>
      </c>
      <c r="D4" s="17">
        <v>400</v>
      </c>
      <c r="F4" s="8" t="s">
        <v>25</v>
      </c>
    </row>
    <row r="5" spans="1:9" x14ac:dyDescent="0.3">
      <c r="A5" s="14">
        <v>45812</v>
      </c>
      <c r="B5" s="15" t="s">
        <v>25</v>
      </c>
      <c r="C5" s="16">
        <v>4</v>
      </c>
      <c r="D5" s="17">
        <v>480</v>
      </c>
      <c r="F5" s="8" t="s">
        <v>26</v>
      </c>
    </row>
    <row r="6" spans="1:9" x14ac:dyDescent="0.3">
      <c r="A6" s="14">
        <v>45813</v>
      </c>
      <c r="B6" s="15" t="s">
        <v>24</v>
      </c>
      <c r="C6" s="16">
        <v>3</v>
      </c>
      <c r="D6" s="17">
        <v>450</v>
      </c>
    </row>
    <row r="7" spans="1:9" x14ac:dyDescent="0.3">
      <c r="A7" s="14">
        <v>45814</v>
      </c>
      <c r="B7" s="15" t="s">
        <v>26</v>
      </c>
      <c r="C7" s="16">
        <v>2</v>
      </c>
      <c r="D7" s="17">
        <v>600</v>
      </c>
    </row>
    <row r="8" spans="1:9" x14ac:dyDescent="0.3">
      <c r="A8" s="14">
        <v>45816</v>
      </c>
      <c r="B8" s="15" t="s">
        <v>23</v>
      </c>
      <c r="C8" s="16">
        <v>6</v>
      </c>
      <c r="D8" s="17">
        <v>1200</v>
      </c>
    </row>
    <row r="9" spans="1:9" x14ac:dyDescent="0.3">
      <c r="A9" s="14">
        <v>45818</v>
      </c>
      <c r="B9" s="15" t="s">
        <v>25</v>
      </c>
      <c r="C9" s="16">
        <v>2</v>
      </c>
      <c r="D9" s="17">
        <v>240</v>
      </c>
    </row>
    <row r="10" spans="1:9" x14ac:dyDescent="0.3">
      <c r="A10" s="14">
        <v>45820</v>
      </c>
      <c r="B10" s="15" t="s">
        <v>24</v>
      </c>
      <c r="C10" s="16">
        <v>4</v>
      </c>
      <c r="D10" s="17">
        <v>600</v>
      </c>
    </row>
    <row r="11" spans="1:9" x14ac:dyDescent="0.3">
      <c r="A11" s="14">
        <v>45822</v>
      </c>
      <c r="B11" s="15" t="s">
        <v>26</v>
      </c>
      <c r="C11" s="16">
        <v>3</v>
      </c>
      <c r="D11" s="17">
        <v>900</v>
      </c>
    </row>
    <row r="12" spans="1:9" x14ac:dyDescent="0.3">
      <c r="A12" s="14">
        <v>45824</v>
      </c>
      <c r="B12" s="15" t="s">
        <v>23</v>
      </c>
      <c r="C12" s="16">
        <v>1</v>
      </c>
      <c r="D12" s="17">
        <v>200</v>
      </c>
    </row>
    <row r="13" spans="1:9" x14ac:dyDescent="0.3">
      <c r="A13" s="14">
        <v>45826</v>
      </c>
      <c r="B13" s="15" t="s">
        <v>25</v>
      </c>
      <c r="C13" s="16">
        <v>5</v>
      </c>
      <c r="D13" s="17">
        <v>600</v>
      </c>
    </row>
    <row r="16" spans="1:9" x14ac:dyDescent="0.3">
      <c r="F16" s="18" t="s">
        <v>27</v>
      </c>
      <c r="G16" s="18" t="s">
        <v>28</v>
      </c>
      <c r="H16" s="18" t="s">
        <v>29</v>
      </c>
      <c r="I16" s="18" t="s">
        <v>30</v>
      </c>
    </row>
    <row r="17" spans="6:9" x14ac:dyDescent="0.3">
      <c r="F17" s="18" t="s">
        <v>23</v>
      </c>
      <c r="G17" s="19">
        <f>SUMIF(B2:B13, F2, D2:D13)</f>
        <v>2400</v>
      </c>
      <c r="H17" s="19">
        <f>COUNTIF(B2:B13, F2)</f>
        <v>4</v>
      </c>
      <c r="I17" s="19">
        <f>AVERAGEIF(B2:B13, F2, D2:D13)</f>
        <v>600</v>
      </c>
    </row>
    <row r="18" spans="6:9" x14ac:dyDescent="0.3">
      <c r="F18" s="18" t="s">
        <v>24</v>
      </c>
      <c r="G18" s="19">
        <f t="shared" ref="G18:G20" si="0">SUMIF(B3:B14, F3, D3:D14)</f>
        <v>1800</v>
      </c>
      <c r="H18" s="19">
        <f t="shared" ref="H18:H20" si="1">COUNTIF(B3:B14, F3)</f>
        <v>3</v>
      </c>
      <c r="I18" s="19">
        <f t="shared" ref="I18:I20" si="2">AVERAGEIF(B3:B14, F3, D3:D14)</f>
        <v>600</v>
      </c>
    </row>
    <row r="19" spans="6:9" x14ac:dyDescent="0.3">
      <c r="F19" s="18" t="s">
        <v>25</v>
      </c>
      <c r="G19" s="19">
        <f t="shared" si="0"/>
        <v>1320</v>
      </c>
      <c r="H19" s="19">
        <f t="shared" si="1"/>
        <v>3</v>
      </c>
      <c r="I19" s="19">
        <f t="shared" si="2"/>
        <v>440</v>
      </c>
    </row>
    <row r="20" spans="6:9" x14ac:dyDescent="0.3">
      <c r="F20" s="18" t="s">
        <v>26</v>
      </c>
      <c r="G20" s="19">
        <f t="shared" si="0"/>
        <v>1500</v>
      </c>
      <c r="H20" s="19">
        <f t="shared" si="1"/>
        <v>2</v>
      </c>
      <c r="I20" s="19">
        <f t="shared" si="2"/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9723-41A1-4906-8BA2-3E0D2F414905}">
  <dimension ref="A1:J8"/>
  <sheetViews>
    <sheetView zoomScale="145" zoomScaleNormal="145" workbookViewId="0">
      <selection activeCell="F2" sqref="F2"/>
    </sheetView>
  </sheetViews>
  <sheetFormatPr defaultRowHeight="14.4" x14ac:dyDescent="0.3"/>
  <cols>
    <col min="1" max="1" width="10.77734375" style="8" bestFit="1" customWidth="1"/>
    <col min="2" max="2" width="16.109375" style="8" bestFit="1" customWidth="1"/>
    <col min="3" max="3" width="15.5546875" style="8" bestFit="1" customWidth="1"/>
    <col min="4" max="4" width="25.109375" style="8" bestFit="1" customWidth="1"/>
    <col min="5" max="5" width="8.88671875" style="8"/>
    <col min="6" max="6" width="12" style="8" bestFit="1" customWidth="1"/>
    <col min="7" max="7" width="9.77734375" style="8" bestFit="1" customWidth="1"/>
    <col min="8" max="8" width="9.6640625" style="8" bestFit="1" customWidth="1"/>
    <col min="9" max="9" width="9" style="8" bestFit="1" customWidth="1"/>
    <col min="10" max="10" width="20.21875" style="8" bestFit="1" customWidth="1"/>
    <col min="11" max="16384" width="8.88671875" style="8"/>
  </cols>
  <sheetData>
    <row r="1" spans="1:10" ht="15" thickBot="1" x14ac:dyDescent="0.35">
      <c r="A1" s="20" t="s">
        <v>31</v>
      </c>
      <c r="B1" s="20" t="s">
        <v>57</v>
      </c>
      <c r="C1" s="20" t="s">
        <v>32</v>
      </c>
      <c r="D1" s="20" t="s">
        <v>33</v>
      </c>
      <c r="F1" s="20" t="s">
        <v>58</v>
      </c>
      <c r="G1" s="20" t="s">
        <v>59</v>
      </c>
      <c r="H1" s="20" t="s">
        <v>60</v>
      </c>
      <c r="I1" s="20" t="s">
        <v>61</v>
      </c>
      <c r="J1" s="20" t="s">
        <v>62</v>
      </c>
    </row>
    <row r="2" spans="1:10" ht="15.6" thickTop="1" thickBot="1" x14ac:dyDescent="0.35">
      <c r="A2" s="21" t="s">
        <v>34</v>
      </c>
      <c r="B2" s="22" t="s">
        <v>63</v>
      </c>
      <c r="C2" s="22" t="s">
        <v>45</v>
      </c>
      <c r="D2" s="7" t="s">
        <v>51</v>
      </c>
      <c r="F2" s="22" t="str">
        <f>PROPER(TRIM(B2))</f>
        <v>Ravi Kumar</v>
      </c>
      <c r="G2" s="21" t="str">
        <f>LEFT(F2,4)</f>
        <v>Ravi</v>
      </c>
      <c r="H2" s="21" t="str">
        <f>RIGHT(F2,5)</f>
        <v>Kumar</v>
      </c>
      <c r="I2" s="23" t="str">
        <f>C2</f>
        <v>SALES-01</v>
      </c>
      <c r="J2" s="22" t="str">
        <f>CONCATENATE(G2,"-",H2,"-",C2)</f>
        <v>Ravi-Kumar-SALES-01</v>
      </c>
    </row>
    <row r="3" spans="1:10" ht="15.6" thickTop="1" thickBot="1" x14ac:dyDescent="0.35">
      <c r="A3" s="21" t="s">
        <v>35</v>
      </c>
      <c r="B3" s="22" t="s">
        <v>40</v>
      </c>
      <c r="C3" s="22" t="s">
        <v>46</v>
      </c>
      <c r="D3" s="7" t="s">
        <v>52</v>
      </c>
      <c r="F3" s="22" t="str">
        <f t="shared" ref="F3:F7" si="0">PROPER(TRIM(B3))</f>
        <v>Priya Singh</v>
      </c>
      <c r="G3" s="21" t="str">
        <f>LEFT(F3,5)</f>
        <v>Priya</v>
      </c>
      <c r="H3" s="21" t="str">
        <f t="shared" ref="H3:H7" si="1">RIGHT(F3,5)</f>
        <v>Singh</v>
      </c>
      <c r="I3" s="23" t="str">
        <f t="shared" ref="I3:I7" si="2">C3</f>
        <v>ACCT-02</v>
      </c>
      <c r="J3" s="22" t="str">
        <f t="shared" ref="J3:J7" si="3">CONCATENATE(G3,"-",H3,"-",C3)</f>
        <v>Priya-Singh-ACCT-02</v>
      </c>
    </row>
    <row r="4" spans="1:10" ht="15.6" thickTop="1" thickBot="1" x14ac:dyDescent="0.35">
      <c r="A4" s="21" t="s">
        <v>36</v>
      </c>
      <c r="B4" s="22" t="s">
        <v>41</v>
      </c>
      <c r="C4" s="22" t="s">
        <v>47</v>
      </c>
      <c r="D4" s="7" t="s">
        <v>53</v>
      </c>
      <c r="F4" s="22" t="str">
        <f t="shared" si="0"/>
        <v>Aman Verma</v>
      </c>
      <c r="G4" s="21" t="str">
        <f>LEFT(F4,4)</f>
        <v>Aman</v>
      </c>
      <c r="H4" s="21" t="str">
        <f t="shared" si="1"/>
        <v>Verma</v>
      </c>
      <c r="I4" s="23" t="str">
        <f t="shared" si="2"/>
        <v>WARE-03</v>
      </c>
      <c r="J4" s="22" t="str">
        <f t="shared" si="3"/>
        <v>Aman-Verma-WARE-03</v>
      </c>
    </row>
    <row r="5" spans="1:10" ht="15.6" thickTop="1" thickBot="1" x14ac:dyDescent="0.35">
      <c r="A5" s="21" t="s">
        <v>37</v>
      </c>
      <c r="B5" s="22" t="s">
        <v>42</v>
      </c>
      <c r="C5" s="22" t="s">
        <v>48</v>
      </c>
      <c r="D5" s="7" t="s">
        <v>55</v>
      </c>
      <c r="F5" s="22" t="str">
        <f t="shared" si="0"/>
        <v>Sunita Rao</v>
      </c>
      <c r="G5" s="21" t="str">
        <f>LEFT(F5,5)</f>
        <v>Sunit</v>
      </c>
      <c r="H5" s="21" t="str">
        <f>RIGHT(F5,3)</f>
        <v>Rao</v>
      </c>
      <c r="I5" s="23" t="str">
        <f t="shared" si="2"/>
        <v>ADMN-04</v>
      </c>
      <c r="J5" s="22" t="str">
        <f t="shared" si="3"/>
        <v>Sunit-Rao-ADMN-04</v>
      </c>
    </row>
    <row r="6" spans="1:10" ht="15.6" thickTop="1" thickBot="1" x14ac:dyDescent="0.35">
      <c r="A6" s="21" t="s">
        <v>38</v>
      </c>
      <c r="B6" s="22" t="s">
        <v>43</v>
      </c>
      <c r="C6" s="22" t="s">
        <v>49</v>
      </c>
      <c r="D6" s="7" t="s">
        <v>54</v>
      </c>
      <c r="F6" s="22" t="str">
        <f t="shared" si="0"/>
        <v>Rohit Sharma</v>
      </c>
      <c r="G6" s="21" t="str">
        <f>LEFT(F6,5)</f>
        <v>Rohit</v>
      </c>
      <c r="H6" s="21" t="str">
        <f>RIGHT(F6,6)</f>
        <v>Sharma</v>
      </c>
      <c r="I6" s="23" t="str">
        <f t="shared" si="2"/>
        <v>SALE-05</v>
      </c>
      <c r="J6" s="22" t="str">
        <f t="shared" si="3"/>
        <v>Rohit-Sharma-SALE-05</v>
      </c>
    </row>
    <row r="7" spans="1:10" ht="15.6" thickTop="1" thickBot="1" x14ac:dyDescent="0.35">
      <c r="A7" s="21" t="s">
        <v>39</v>
      </c>
      <c r="B7" s="22" t="s">
        <v>44</v>
      </c>
      <c r="C7" s="22" t="s">
        <v>50</v>
      </c>
      <c r="D7" s="7" t="s">
        <v>56</v>
      </c>
      <c r="F7" s="22" t="str">
        <f t="shared" si="0"/>
        <v>Kavya Patel</v>
      </c>
      <c r="G7" s="21" t="str">
        <f>LEFT(F7,5)</f>
        <v>Kavya</v>
      </c>
      <c r="H7" s="21" t="str">
        <f t="shared" si="1"/>
        <v>Patel</v>
      </c>
      <c r="I7" s="23" t="str">
        <f t="shared" si="2"/>
        <v>MKTG-06</v>
      </c>
      <c r="J7" s="22" t="str">
        <f t="shared" si="3"/>
        <v>Kavya-Patel-MKTG-06</v>
      </c>
    </row>
    <row r="8" spans="1:10" ht="15" thickTop="1" x14ac:dyDescent="0.3"/>
  </sheetData>
  <phoneticPr fontId="10" type="noConversion"/>
  <hyperlinks>
    <hyperlink ref="D4" r:id="rId1" xr:uid="{16C6D9BC-5FFA-4564-944A-AA061D6811D1}"/>
    <hyperlink ref="D5" r:id="rId2" xr:uid="{367D4026-318E-45B6-82FE-9EDC48C2B0DD}"/>
    <hyperlink ref="D6" r:id="rId3" xr:uid="{40D36C63-B5DA-4F7B-B6FD-7AC643F419A7}"/>
    <hyperlink ref="D7" r:id="rId4" xr:uid="{49AA11E7-5058-4944-85FE-AA8442203B2A}"/>
    <hyperlink ref="D2" r:id="rId5" xr:uid="{F374FA09-3BB3-4A6E-93B2-CAA0D9B30BD8}"/>
    <hyperlink ref="D3" r:id="rId6" xr:uid="{AE2F5EAD-76B2-45DD-94A1-53310527414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72B4-271A-4E29-8E19-80CE3341D843}">
  <dimension ref="A1:K6"/>
  <sheetViews>
    <sheetView tabSelected="1" zoomScale="145" zoomScaleNormal="145" workbookViewId="0">
      <selection activeCell="A7" sqref="A7"/>
    </sheetView>
  </sheetViews>
  <sheetFormatPr defaultRowHeight="14.4" x14ac:dyDescent="0.3"/>
  <cols>
    <col min="1" max="1" width="12.109375" style="8" bestFit="1" customWidth="1"/>
    <col min="2" max="2" width="11.44140625" style="8" bestFit="1" customWidth="1"/>
    <col min="3" max="3" width="13.44140625" style="8" bestFit="1" customWidth="1"/>
    <col min="4" max="4" width="13.88671875" style="8" bestFit="1" customWidth="1"/>
    <col min="5" max="5" width="11.88671875" style="8" bestFit="1" customWidth="1"/>
    <col min="6" max="6" width="8.88671875" style="8"/>
    <col min="7" max="7" width="10.109375" style="8" bestFit="1" customWidth="1"/>
    <col min="8" max="8" width="14.77734375" style="8" bestFit="1" customWidth="1"/>
    <col min="9" max="9" width="13" style="8" bestFit="1" customWidth="1"/>
    <col min="10" max="10" width="17.21875" style="8" bestFit="1" customWidth="1"/>
    <col min="11" max="11" width="11.6640625" style="8" bestFit="1" customWidth="1"/>
    <col min="12" max="16384" width="8.88671875" style="8"/>
  </cols>
  <sheetData>
    <row r="1" spans="1:11" x14ac:dyDescent="0.3">
      <c r="A1" s="24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G1" s="24" t="s">
        <v>74</v>
      </c>
      <c r="H1" s="24" t="s">
        <v>75</v>
      </c>
      <c r="I1" s="24" t="s">
        <v>76</v>
      </c>
      <c r="J1" s="24" t="s">
        <v>77</v>
      </c>
      <c r="K1" s="24" t="s">
        <v>78</v>
      </c>
    </row>
    <row r="2" spans="1:11" x14ac:dyDescent="0.3">
      <c r="A2" s="15" t="s">
        <v>69</v>
      </c>
      <c r="B2" s="25">
        <v>34773</v>
      </c>
      <c r="C2" s="25">
        <v>43983</v>
      </c>
      <c r="D2" s="25">
        <v>45292</v>
      </c>
      <c r="E2" s="15">
        <v>24</v>
      </c>
      <c r="G2" s="26">
        <f ca="1">DATEDIF(B2, K2, "Y")</f>
        <v>31</v>
      </c>
      <c r="H2" s="27">
        <f ca="1">DATEDIF(C2, K2, "y")</f>
        <v>5</v>
      </c>
      <c r="I2" s="28">
        <f>EOMONTH(D2, E2)</f>
        <v>46053</v>
      </c>
      <c r="J2" s="21" t="str">
        <f>CHOOSE(WEEKDAY(B2,2),"Mon","Tue","Wed","Thu","Fri","Sat","Sun")</f>
        <v>Wed</v>
      </c>
      <c r="K2" s="29">
        <f ca="1">TODAY()</f>
        <v>46171</v>
      </c>
    </row>
    <row r="3" spans="1:11" x14ac:dyDescent="0.3">
      <c r="A3" s="15" t="s">
        <v>70</v>
      </c>
      <c r="B3" s="25">
        <v>35998</v>
      </c>
      <c r="C3" s="25">
        <v>44270</v>
      </c>
      <c r="D3" s="25">
        <v>45383</v>
      </c>
      <c r="E3" s="15">
        <v>12</v>
      </c>
      <c r="G3" s="26">
        <f t="shared" ref="G3:G6" ca="1" si="0">DATEDIF(B3, K3, "Y")</f>
        <v>27</v>
      </c>
      <c r="H3" s="27">
        <f t="shared" ref="H3:H6" ca="1" si="1">DATEDIF(C3, K3, "y")</f>
        <v>5</v>
      </c>
      <c r="I3" s="28">
        <f t="shared" ref="I3:I6" si="2">EOMONTH(D3, E3)</f>
        <v>45777</v>
      </c>
      <c r="J3" s="21" t="str">
        <f t="shared" ref="J3:J6" si="3">CHOOSE(WEEKDAY(B3,2),"Mon","Tue","Wed","Thu","Fri","Sat","Sun")</f>
        <v>Wed</v>
      </c>
      <c r="K3" s="29">
        <f t="shared" ref="K3:K6" ca="1" si="4">TODAY()</f>
        <v>46171</v>
      </c>
    </row>
    <row r="4" spans="1:11" x14ac:dyDescent="0.3">
      <c r="A4" s="15" t="s">
        <v>71</v>
      </c>
      <c r="B4" s="25">
        <v>33916</v>
      </c>
      <c r="C4" s="25">
        <v>43466</v>
      </c>
      <c r="D4" s="25">
        <v>45108</v>
      </c>
      <c r="E4" s="15">
        <v>36</v>
      </c>
      <c r="G4" s="26">
        <f t="shared" ca="1" si="0"/>
        <v>33</v>
      </c>
      <c r="H4" s="27">
        <f t="shared" ca="1" si="1"/>
        <v>7</v>
      </c>
      <c r="I4" s="28">
        <f t="shared" si="2"/>
        <v>46234</v>
      </c>
      <c r="J4" s="21" t="str">
        <f t="shared" si="3"/>
        <v>Sun</v>
      </c>
      <c r="K4" s="29">
        <f t="shared" ca="1" si="4"/>
        <v>46171</v>
      </c>
    </row>
    <row r="5" spans="1:11" x14ac:dyDescent="0.3">
      <c r="A5" s="15" t="s">
        <v>72</v>
      </c>
      <c r="B5" s="25">
        <v>36799</v>
      </c>
      <c r="C5" s="25">
        <v>44805</v>
      </c>
      <c r="D5" s="25">
        <v>45566</v>
      </c>
      <c r="E5" s="15">
        <v>18</v>
      </c>
      <c r="G5" s="26">
        <f t="shared" ca="1" si="0"/>
        <v>25</v>
      </c>
      <c r="H5" s="27">
        <f t="shared" ca="1" si="1"/>
        <v>3</v>
      </c>
      <c r="I5" s="28">
        <f t="shared" si="2"/>
        <v>46142</v>
      </c>
      <c r="J5" s="21" t="str">
        <f t="shared" si="3"/>
        <v>Sat</v>
      </c>
      <c r="K5" s="29">
        <f t="shared" ca="1" si="4"/>
        <v>46171</v>
      </c>
    </row>
    <row r="6" spans="1:11" x14ac:dyDescent="0.3">
      <c r="A6" s="15" t="s">
        <v>73</v>
      </c>
      <c r="B6" s="25">
        <v>32997</v>
      </c>
      <c r="C6" s="25">
        <v>43266</v>
      </c>
      <c r="D6" s="25">
        <v>45352</v>
      </c>
      <c r="E6" s="15">
        <v>24</v>
      </c>
      <c r="G6" s="26">
        <f t="shared" ca="1" si="0"/>
        <v>36</v>
      </c>
      <c r="H6" s="27">
        <f t="shared" ca="1" si="1"/>
        <v>7</v>
      </c>
      <c r="I6" s="28">
        <f t="shared" si="2"/>
        <v>46112</v>
      </c>
      <c r="J6" s="21" t="str">
        <f t="shared" si="3"/>
        <v>Fri</v>
      </c>
      <c r="K6" s="29">
        <f t="shared" ca="1" si="4"/>
        <v>46171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Card</vt:lpstr>
      <vt:lpstr>Shop Sales Analysis</vt:lpstr>
      <vt:lpstr>Employee Data Cleanup</vt:lpstr>
      <vt:lpstr>Date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Batch3</dc:creator>
  <cp:lastModifiedBy>Krish Nandanwar</cp:lastModifiedBy>
  <dcterms:created xsi:type="dcterms:W3CDTF">2015-06-05T18:17:20Z</dcterms:created>
  <dcterms:modified xsi:type="dcterms:W3CDTF">2026-05-29T05:36:04Z</dcterms:modified>
</cp:coreProperties>
</file>