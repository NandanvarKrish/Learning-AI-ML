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IICL\Krish\01_Excel\Excel Books\Practice\"/>
    </mc:Choice>
  </mc:AlternateContent>
  <xr:revisionPtr revIDLastSave="0" documentId="13_ncr:1_{BAD069F6-CF45-41DD-B207-2F6AED37A8B5}" xr6:coauthVersionLast="47" xr6:coauthVersionMax="47" xr10:uidLastSave="{00000000-0000-0000-0000-000000000000}"/>
  <bookViews>
    <workbookView xWindow="-108" yWindow="-108" windowWidth="23256" windowHeight="12456" firstSheet="5" activeTab="7" xr2:uid="{00000000-000D-0000-FFFF-FFFF00000000}"/>
  </bookViews>
  <sheets>
    <sheet name="Hospital Patient Records" sheetId="1" r:id="rId1"/>
    <sheet name="Cricket Score Analyser" sheetId="3" r:id="rId2"/>
    <sheet name="Shopping Bill Calculator" sheetId="4" r:id="rId3"/>
    <sheet name="Library Book Tracker" sheetId="5" r:id="rId4"/>
    <sheet name="Restaurant Revenue Report" sheetId="6" r:id="rId5"/>
    <sheet name="Bank Loan EMI Calculator" sheetId="7" r:id="rId6"/>
    <sheet name="School Attendance SystemStudent" sheetId="8" r:id="rId7"/>
    <sheet name="Stock Market Portfolio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9" l="1"/>
  <c r="F4" i="9"/>
  <c r="F5" i="9"/>
  <c r="F6" i="9"/>
  <c r="F7" i="9"/>
  <c r="F8" i="9"/>
  <c r="E3" i="9"/>
  <c r="E4" i="9"/>
  <c r="E5" i="9"/>
  <c r="E6" i="9"/>
  <c r="E7" i="9"/>
  <c r="E8" i="9"/>
  <c r="C11" i="9"/>
  <c r="C8" i="9"/>
  <c r="C12" i="9" s="1"/>
  <c r="B8" i="9"/>
  <c r="C15" i="9"/>
  <c r="C14" i="9"/>
  <c r="F2" i="9"/>
  <c r="E2" i="9"/>
  <c r="I3" i="8" a="1"/>
  <c r="I3" i="8"/>
  <c r="I2" i="8"/>
  <c r="H3" i="8"/>
  <c r="H2" i="8"/>
  <c r="G5" i="8"/>
  <c r="G4" i="8"/>
  <c r="G3" i="8"/>
  <c r="G2" i="8"/>
  <c r="B9" i="7"/>
  <c r="B8" i="7"/>
  <c r="B5" i="7"/>
  <c r="B7" i="7"/>
  <c r="B6" i="7"/>
  <c r="B12" i="6"/>
  <c r="B13" i="6"/>
  <c r="B11" i="6"/>
  <c r="G3" i="6"/>
  <c r="G4" i="6"/>
  <c r="G5" i="6"/>
  <c r="G6" i="6"/>
  <c r="G2" i="6"/>
  <c r="H3" i="5"/>
  <c r="H4" i="5"/>
  <c r="H5" i="5"/>
  <c r="H6" i="5"/>
  <c r="H2" i="5"/>
  <c r="G3" i="5"/>
  <c r="G4" i="5"/>
  <c r="G5" i="5"/>
  <c r="G6" i="5"/>
  <c r="G2" i="5"/>
  <c r="E3" i="5"/>
  <c r="E4" i="5"/>
  <c r="E5" i="5"/>
  <c r="E6" i="5"/>
  <c r="E2" i="5"/>
  <c r="G3" i="4"/>
  <c r="G4" i="4"/>
  <c r="G5" i="4"/>
  <c r="G6" i="4"/>
  <c r="G7" i="4"/>
  <c r="G2" i="4"/>
  <c r="F3" i="4"/>
  <c r="F4" i="4"/>
  <c r="F5" i="4"/>
  <c r="F6" i="4"/>
  <c r="F7" i="4"/>
  <c r="F2" i="4"/>
  <c r="E3" i="4"/>
  <c r="E4" i="4"/>
  <c r="E5" i="4"/>
  <c r="E6" i="4"/>
  <c r="E7" i="4"/>
  <c r="E2" i="4"/>
  <c r="D3" i="4"/>
  <c r="D4" i="4"/>
  <c r="D5" i="4"/>
  <c r="D6" i="4"/>
  <c r="D7" i="4"/>
  <c r="D2" i="4"/>
  <c r="C27" i="3"/>
  <c r="C26" i="3"/>
  <c r="C25" i="3"/>
  <c r="C23" i="3"/>
  <c r="C22" i="3"/>
  <c r="C20" i="3"/>
  <c r="C19" i="3"/>
  <c r="C17" i="3"/>
  <c r="C16" i="3"/>
  <c r="C15" i="3"/>
  <c r="G3" i="1"/>
  <c r="G4" i="1"/>
  <c r="G5" i="1"/>
  <c r="G6" i="1"/>
  <c r="G7" i="1"/>
  <c r="G2" i="1"/>
  <c r="K3" i="1"/>
  <c r="K4" i="1"/>
  <c r="K5" i="1"/>
  <c r="K6" i="1"/>
  <c r="K7" i="1"/>
  <c r="K2" i="1"/>
  <c r="I3" i="1"/>
  <c r="I4" i="1"/>
  <c r="I5" i="1"/>
  <c r="I6" i="1"/>
  <c r="I7" i="1"/>
  <c r="I2" i="1"/>
  <c r="H3" i="1"/>
  <c r="H4" i="1"/>
  <c r="H5" i="1"/>
  <c r="H6" i="1"/>
  <c r="H7" i="1"/>
  <c r="H2" i="1"/>
  <c r="J3" i="1"/>
  <c r="J4" i="1"/>
  <c r="J5" i="1"/>
  <c r="J6" i="1"/>
  <c r="J7" i="1"/>
  <c r="J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<sst xmlns="http://schemas.openxmlformats.org/spreadsheetml/2006/main" count="194" uniqueCount="147">
  <si>
    <t>Patient ID</t>
  </si>
  <si>
    <t>Name</t>
  </si>
  <si>
    <t>Age</t>
  </si>
  <si>
    <t>Blood Group</t>
  </si>
  <si>
    <t>Test Result</t>
  </si>
  <si>
    <t>Discount %</t>
  </si>
  <si>
    <t>P001</t>
  </si>
  <si>
    <t>P002</t>
  </si>
  <si>
    <t>P003</t>
  </si>
  <si>
    <t>P004</t>
  </si>
  <si>
    <t>P005</t>
  </si>
  <si>
    <t>P006</t>
  </si>
  <si>
    <t>Ravi Kumar</t>
  </si>
  <si>
    <t>Sunita Rao</t>
  </si>
  <si>
    <t>Arun Verma</t>
  </si>
  <si>
    <t>Priya Singh</t>
  </si>
  <si>
    <t>A+</t>
  </si>
  <si>
    <t>B+</t>
  </si>
  <si>
    <t>O+</t>
  </si>
  <si>
    <t>AB+</t>
  </si>
  <si>
    <t>A-</t>
  </si>
  <si>
    <t>B-</t>
  </si>
  <si>
    <t>ERROR</t>
  </si>
  <si>
    <t>Final Fee</t>
  </si>
  <si>
    <t>Name Missing?</t>
  </si>
  <si>
    <t>Age Valid?</t>
  </si>
  <si>
    <t>Safe Result</t>
  </si>
  <si>
    <t>Total Patients</t>
  </si>
  <si>
    <t>Innings</t>
  </si>
  <si>
    <t>Opponent</t>
  </si>
  <si>
    <t>Score</t>
  </si>
  <si>
    <t>Result</t>
  </si>
  <si>
    <t>Australia</t>
  </si>
  <si>
    <t>England</t>
  </si>
  <si>
    <t>South Africa</t>
  </si>
  <si>
    <t>New Zealand</t>
  </si>
  <si>
    <t>Pakistan</t>
  </si>
  <si>
    <t>Sri Lanka</t>
  </si>
  <si>
    <t>West Indies</t>
  </si>
  <si>
    <t>Won</t>
  </si>
  <si>
    <t>Lost</t>
  </si>
  <si>
    <t>Bangladesh</t>
  </si>
  <si>
    <t>Zimbabwe</t>
  </si>
  <si>
    <t>Ireland</t>
  </si>
  <si>
    <t>Highest Score</t>
  </si>
  <si>
    <t>2nd Highest</t>
  </si>
  <si>
    <t>3rd Highest</t>
  </si>
  <si>
    <t>Lowest Score</t>
  </si>
  <si>
    <t>2nd Lowest</t>
  </si>
  <si>
    <t>Median Score</t>
  </si>
  <si>
    <t>Compare</t>
  </si>
  <si>
    <t>90th Percentile</t>
  </si>
  <si>
    <t>50th Percentile</t>
  </si>
  <si>
    <t>75th Percentile</t>
  </si>
  <si>
    <t>Item</t>
  </si>
  <si>
    <t>Qty</t>
  </si>
  <si>
    <t>Price/Unit</t>
  </si>
  <si>
    <t>Total</t>
  </si>
  <si>
    <t>Rounded</t>
  </si>
  <si>
    <t>Biscuits</t>
  </si>
  <si>
    <t>Shampoo</t>
  </si>
  <si>
    <t>Soap</t>
  </si>
  <si>
    <t>Chocolate</t>
  </si>
  <si>
    <t>Base amt</t>
  </si>
  <si>
    <t>GST 18%</t>
  </si>
  <si>
    <t>Packed in boxes of</t>
  </si>
  <si>
    <t>Rice (kg)</t>
  </si>
  <si>
    <t>Oil (L)</t>
  </si>
  <si>
    <t>Member</t>
  </si>
  <si>
    <t>Book</t>
  </si>
  <si>
    <t>Borrow Date</t>
  </si>
  <si>
    <t>Allowed Days</t>
  </si>
  <si>
    <t>Due Date</t>
  </si>
  <si>
    <t>Return Date</t>
  </si>
  <si>
    <t>Working Days Late</t>
  </si>
  <si>
    <t>Fine</t>
  </si>
  <si>
    <t>Aman Verma</t>
  </si>
  <si>
    <t>Rohit Sharma</t>
  </si>
  <si>
    <t>Harry Potter</t>
  </si>
  <si>
    <t>Python Book</t>
  </si>
  <si>
    <t>History</t>
  </si>
  <si>
    <t>Maths Guide</t>
  </si>
  <si>
    <t>Science</t>
  </si>
  <si>
    <t>Branch</t>
  </si>
  <si>
    <t>Rating</t>
  </si>
  <si>
    <t>Koramangala</t>
  </si>
  <si>
    <t>Suresh</t>
  </si>
  <si>
    <t>Whitefield</t>
  </si>
  <si>
    <t>Priya</t>
  </si>
  <si>
    <t>Indiranagar</t>
  </si>
  <si>
    <t>Rajan</t>
  </si>
  <si>
    <t>Jayanagar</t>
  </si>
  <si>
    <t>Kavya</t>
  </si>
  <si>
    <t>Anand</t>
  </si>
  <si>
    <t>Feb Revenue</t>
  </si>
  <si>
    <t>Jan Revenue</t>
  </si>
  <si>
    <t>Mar Revenue</t>
  </si>
  <si>
    <t>Mgr Nam</t>
  </si>
  <si>
    <t>MG  Road</t>
  </si>
  <si>
    <t>Month Number</t>
  </si>
  <si>
    <t>Month Name</t>
  </si>
  <si>
    <t>Rating label</t>
  </si>
  <si>
    <t>Parameter</t>
  </si>
  <si>
    <t>Value</t>
  </si>
  <si>
    <t>Loan Amount</t>
  </si>
  <si>
    <t>Annual Interest Rate</t>
  </si>
  <si>
    <t>Loan Period (Years)</t>
  </si>
  <si>
    <t>Monthly Rate</t>
  </si>
  <si>
    <t>Total Months</t>
  </si>
  <si>
    <t>Monthly EMI</t>
  </si>
  <si>
    <t>Total Payment</t>
  </si>
  <si>
    <t>Total Interest</t>
  </si>
  <si>
    <t>Student</t>
  </si>
  <si>
    <t>Class</t>
  </si>
  <si>
    <t>Gender</t>
  </si>
  <si>
    <t>Marks</t>
  </si>
  <si>
    <t>Pass/Fail</t>
  </si>
  <si>
    <t>Attendance %</t>
  </si>
  <si>
    <t>Ravi</t>
  </si>
  <si>
    <t>10A</t>
  </si>
  <si>
    <t>M</t>
  </si>
  <si>
    <t>Pass</t>
  </si>
  <si>
    <t>10B</t>
  </si>
  <si>
    <t>F</t>
  </si>
  <si>
    <t>Aman</t>
  </si>
  <si>
    <t>Fail</t>
  </si>
  <si>
    <t>Sunita</t>
  </si>
  <si>
    <t>Rohit</t>
  </si>
  <si>
    <t>Deepak</t>
  </si>
  <si>
    <t>Meena</t>
  </si>
  <si>
    <t>Arjun</t>
  </si>
  <si>
    <t>Divya</t>
  </si>
  <si>
    <t>Kiran</t>
  </si>
  <si>
    <t>Nisha</t>
  </si>
  <si>
    <t>COUNTIFS</t>
  </si>
  <si>
    <t>AVERAGEIFS</t>
  </si>
  <si>
    <t>SUMPRODUCT</t>
  </si>
  <si>
    <t>Month</t>
  </si>
  <si>
    <t>Infosys Price</t>
  </si>
  <si>
    <t>TCS Price</t>
  </si>
  <si>
    <t>Market Index</t>
  </si>
  <si>
    <t>Infosys Return %</t>
  </si>
  <si>
    <t>TCS Return %</t>
  </si>
  <si>
    <t>Infosys volatility</t>
  </si>
  <si>
    <t>TCS volatility</t>
  </si>
  <si>
    <t>Infosys vs TCS</t>
  </si>
  <si>
    <t>Infosys vs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</si>
</sst>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7" formatCode="_([$$-409]* #,##0.00_);_([$$-409]* \(#,##0.00\);_([$$-409]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4" fillId="4" borderId="2" applyNumberFormat="0" applyAlignment="0" applyProtection="0"/>
    <xf numFmtId="0" fontId="1" fillId="5" borderId="3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5" fillId="11" borderId="4" xfId="0" applyFont="1" applyFill="1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1" fillId="7" borderId="4" xfId="6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1" fillId="8" borderId="4" xfId="7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1" fillId="10" borderId="4" xfId="9" applyBorder="1" applyAlignment="1">
      <alignment horizontal="center" vertical="center"/>
    </xf>
    <xf numFmtId="0" fontId="0" fillId="5" borderId="4" xfId="4" applyFont="1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10" fontId="0" fillId="0" borderId="0" xfId="10" applyNumberFormat="1" applyFont="1" applyAlignment="1">
      <alignment horizontal="center" vertical="center"/>
    </xf>
    <xf numFmtId="9" fontId="0" fillId="0" borderId="0" xfId="10" applyNumberFormat="1" applyFont="1" applyAlignment="1">
      <alignment horizontal="center" vertical="center"/>
    </xf>
    <xf numFmtId="17" fontId="0" fillId="0" borderId="0" xfId="0" applyNumberFormat="1" applyAlignment="1">
      <alignment horizontal="center" vertical="center"/>
    </xf>
  </cellXfs>
  <cellStyles count="11">
    <cellStyle name="20% - Accent2" xfId="5" builtinId="34"/>
    <cellStyle name="40% - Accent2" xfId="6" builtinId="35"/>
    <cellStyle name="40% - Accent6" xfId="8" builtinId="51"/>
    <cellStyle name="60% - Accent2" xfId="7" builtinId="36"/>
    <cellStyle name="60% - Accent6" xfId="9" builtinId="52"/>
    <cellStyle name="Input" xfId="2" builtinId="20"/>
    <cellStyle name="Neutral" xfId="1" builtinId="28"/>
    <cellStyle name="Normal" xfId="0" builtinId="0"/>
    <cellStyle name="Note" xfId="4" builtinId="10"/>
    <cellStyle name="Output" xfId="3" builtinId="21"/>
    <cellStyle name="Percent" xfId="10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zoomScale="160" zoomScaleNormal="160" workbookViewId="0">
      <selection activeCell="A8" sqref="A8"/>
    </sheetView>
  </sheetViews>
  <sheetFormatPr defaultRowHeight="14.4" x14ac:dyDescent="0.3"/>
  <cols>
    <col min="1" max="1" width="9" style="1" bestFit="1" customWidth="1"/>
    <col min="2" max="2" width="10.77734375" style="1" bestFit="1" customWidth="1"/>
    <col min="3" max="3" width="4" style="1" bestFit="1" customWidth="1"/>
    <col min="4" max="4" width="11.21875" style="1" bestFit="1" customWidth="1"/>
    <col min="5" max="5" width="9.88671875" style="1" bestFit="1" customWidth="1"/>
    <col min="6" max="6" width="10.109375" style="1" bestFit="1" customWidth="1"/>
    <col min="7" max="7" width="15" style="1" bestFit="1" customWidth="1"/>
    <col min="8" max="8" width="13.5546875" style="1" bestFit="1" customWidth="1"/>
    <col min="9" max="9" width="12.6640625" style="1" bestFit="1" customWidth="1"/>
    <col min="10" max="10" width="10" style="1" bestFit="1" customWidth="1"/>
    <col min="11" max="11" width="12.21875" style="1" bestFit="1" customWidth="1"/>
    <col min="12" max="16384" width="8.88671875" style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</row>
    <row r="2" spans="1:11" x14ac:dyDescent="0.3">
      <c r="A2" s="3" t="s">
        <v>6</v>
      </c>
      <c r="B2" s="4" t="s">
        <v>12</v>
      </c>
      <c r="C2" s="5">
        <v>34</v>
      </c>
      <c r="D2" s="6" t="s">
        <v>16</v>
      </c>
      <c r="E2" s="7">
        <v>8500</v>
      </c>
      <c r="F2" s="8">
        <v>10</v>
      </c>
      <c r="G2" s="9">
        <f>IFERROR(E2*(1-F2/100), "Cannot Calculate")</f>
        <v>7650</v>
      </c>
      <c r="H2" s="10" t="str">
        <f>IF(ISBLANK(B2), "Missing", "OK")</f>
        <v>OK</v>
      </c>
      <c r="I2" s="9" t="str">
        <f>IF(ISNUMBER(C2), "Valid", "Not a Number")</f>
        <v>Valid</v>
      </c>
      <c r="J2" s="9">
        <f>IFERROR(E2, "Check Data")</f>
        <v>8500</v>
      </c>
      <c r="K2" s="9">
        <f>COUNTA(B2:B7)</f>
        <v>4</v>
      </c>
    </row>
    <row r="3" spans="1:11" x14ac:dyDescent="0.3">
      <c r="A3" s="3" t="s">
        <v>7</v>
      </c>
      <c r="B3" s="4"/>
      <c r="C3" s="5">
        <v>28</v>
      </c>
      <c r="D3" s="6" t="s">
        <v>17</v>
      </c>
      <c r="E3" s="7">
        <v>7200</v>
      </c>
      <c r="F3" s="8"/>
      <c r="G3" s="9">
        <f t="shared" ref="G3:G7" si="0">IFERROR(E3*(1-F3/100), "Cannot Calculate")</f>
        <v>7200</v>
      </c>
      <c r="H3" s="10" t="str">
        <f t="shared" ref="H3:H7" si="1">IF(ISBLANK(B3), "Missing", "OK")</f>
        <v>Missing</v>
      </c>
      <c r="I3" s="9" t="str">
        <f t="shared" ref="I3:I7" si="2">IF(ISNUMBER(C3), "Valid", "Not a Number")</f>
        <v>Valid</v>
      </c>
      <c r="J3" s="9">
        <f t="shared" ref="J3:J7" si="3">IFERROR(E3, "Check Data")</f>
        <v>7200</v>
      </c>
      <c r="K3" s="9">
        <f t="shared" ref="K3:K7" si="4">COUNTA(B3:B8)</f>
        <v>3</v>
      </c>
    </row>
    <row r="4" spans="1:11" x14ac:dyDescent="0.3">
      <c r="A4" s="3" t="s">
        <v>8</v>
      </c>
      <c r="B4" s="4" t="s">
        <v>13</v>
      </c>
      <c r="C4" s="5">
        <v>45</v>
      </c>
      <c r="D4" s="6" t="s">
        <v>18</v>
      </c>
      <c r="E4" s="7" t="s">
        <v>22</v>
      </c>
      <c r="F4" s="8">
        <v>5</v>
      </c>
      <c r="G4" s="9" t="str">
        <f t="shared" si="0"/>
        <v>Cannot Calculate</v>
      </c>
      <c r="H4" s="10" t="str">
        <f t="shared" si="1"/>
        <v>OK</v>
      </c>
      <c r="I4" s="9" t="str">
        <f t="shared" si="2"/>
        <v>Valid</v>
      </c>
      <c r="J4" s="9" t="str">
        <f t="shared" si="3"/>
        <v>ERROR</v>
      </c>
      <c r="K4" s="9">
        <f t="shared" si="4"/>
        <v>3</v>
      </c>
    </row>
    <row r="5" spans="1:11" x14ac:dyDescent="0.3">
      <c r="A5" s="3" t="s">
        <v>9</v>
      </c>
      <c r="B5" s="4" t="s">
        <v>14</v>
      </c>
      <c r="C5" s="5"/>
      <c r="D5" s="6" t="s">
        <v>19</v>
      </c>
      <c r="E5" s="7">
        <v>9100</v>
      </c>
      <c r="F5" s="8">
        <v>15</v>
      </c>
      <c r="G5" s="9">
        <f t="shared" si="0"/>
        <v>7735</v>
      </c>
      <c r="H5" s="10" t="str">
        <f t="shared" si="1"/>
        <v>OK</v>
      </c>
      <c r="I5" s="9" t="str">
        <f t="shared" si="2"/>
        <v>Not a Number</v>
      </c>
      <c r="J5" s="9">
        <f t="shared" si="3"/>
        <v>9100</v>
      </c>
      <c r="K5" s="9">
        <f t="shared" si="4"/>
        <v>2</v>
      </c>
    </row>
    <row r="6" spans="1:11" x14ac:dyDescent="0.3">
      <c r="A6" s="3" t="s">
        <v>10</v>
      </c>
      <c r="B6" s="4" t="s">
        <v>15</v>
      </c>
      <c r="C6" s="5">
        <v>31</v>
      </c>
      <c r="D6" s="6" t="s">
        <v>20</v>
      </c>
      <c r="E6" s="7">
        <v>6800</v>
      </c>
      <c r="F6" s="8">
        <v>0</v>
      </c>
      <c r="G6" s="9">
        <f t="shared" si="0"/>
        <v>6800</v>
      </c>
      <c r="H6" s="10" t="str">
        <f t="shared" si="1"/>
        <v>OK</v>
      </c>
      <c r="I6" s="9" t="str">
        <f t="shared" si="2"/>
        <v>Valid</v>
      </c>
      <c r="J6" s="9">
        <f t="shared" si="3"/>
        <v>6800</v>
      </c>
      <c r="K6" s="9">
        <f t="shared" si="4"/>
        <v>1</v>
      </c>
    </row>
    <row r="7" spans="1:11" x14ac:dyDescent="0.3">
      <c r="A7" s="3" t="s">
        <v>11</v>
      </c>
      <c r="B7" s="4"/>
      <c r="C7" s="5">
        <v>52</v>
      </c>
      <c r="D7" s="6" t="s">
        <v>21</v>
      </c>
      <c r="E7" s="7">
        <v>11200</v>
      </c>
      <c r="F7" s="8">
        <v>20</v>
      </c>
      <c r="G7" s="9">
        <f t="shared" si="0"/>
        <v>8960</v>
      </c>
      <c r="H7" s="10" t="str">
        <f t="shared" si="1"/>
        <v>Missing</v>
      </c>
      <c r="I7" s="9" t="str">
        <f t="shared" si="2"/>
        <v>Valid</v>
      </c>
      <c r="J7" s="9">
        <f t="shared" si="3"/>
        <v>11200</v>
      </c>
      <c r="K7" s="9">
        <f t="shared" si="4"/>
        <v>0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47E62-CD33-41C0-88CA-177AD5041D45}">
  <dimension ref="A1:D27"/>
  <sheetViews>
    <sheetView topLeftCell="A13" zoomScale="175" zoomScaleNormal="175" workbookViewId="0">
      <selection activeCell="E27" sqref="E27"/>
    </sheetView>
  </sheetViews>
  <sheetFormatPr defaultRowHeight="14.4" x14ac:dyDescent="0.3"/>
  <cols>
    <col min="1" max="1" width="6.6640625" style="1" bestFit="1" customWidth="1"/>
    <col min="2" max="2" width="13.44140625" style="1" bestFit="1" customWidth="1"/>
    <col min="3" max="3" width="12" style="1" bestFit="1" customWidth="1"/>
    <col min="4" max="4" width="6" style="1" bestFit="1" customWidth="1"/>
    <col min="5" max="16384" width="8.88671875" style="1"/>
  </cols>
  <sheetData>
    <row r="1" spans="1:4" x14ac:dyDescent="0.3">
      <c r="A1" s="2" t="s">
        <v>28</v>
      </c>
      <c r="B1" s="2" t="s">
        <v>29</v>
      </c>
      <c r="C1" s="2" t="s">
        <v>30</v>
      </c>
      <c r="D1" s="2" t="s">
        <v>31</v>
      </c>
    </row>
    <row r="2" spans="1:4" x14ac:dyDescent="0.3">
      <c r="A2" s="3">
        <v>1</v>
      </c>
      <c r="B2" s="9" t="s">
        <v>32</v>
      </c>
      <c r="C2" s="11">
        <v>94</v>
      </c>
      <c r="D2" s="12" t="s">
        <v>39</v>
      </c>
    </row>
    <row r="3" spans="1:4" x14ac:dyDescent="0.3">
      <c r="A3" s="3">
        <v>2</v>
      </c>
      <c r="B3" s="9" t="s">
        <v>33</v>
      </c>
      <c r="C3" s="11">
        <v>12</v>
      </c>
      <c r="D3" s="12" t="s">
        <v>40</v>
      </c>
    </row>
    <row r="4" spans="1:4" x14ac:dyDescent="0.3">
      <c r="A4" s="3">
        <v>3</v>
      </c>
      <c r="B4" s="9" t="s">
        <v>34</v>
      </c>
      <c r="C4" s="11">
        <v>67</v>
      </c>
      <c r="D4" s="12" t="s">
        <v>39</v>
      </c>
    </row>
    <row r="5" spans="1:4" x14ac:dyDescent="0.3">
      <c r="A5" s="3">
        <v>4</v>
      </c>
      <c r="B5" s="9" t="s">
        <v>35</v>
      </c>
      <c r="C5" s="11">
        <v>156</v>
      </c>
      <c r="D5" s="12" t="s">
        <v>39</v>
      </c>
    </row>
    <row r="6" spans="1:4" x14ac:dyDescent="0.3">
      <c r="A6" s="3">
        <v>5</v>
      </c>
      <c r="B6" s="9" t="s">
        <v>36</v>
      </c>
      <c r="C6" s="11">
        <v>43</v>
      </c>
      <c r="D6" s="12" t="s">
        <v>40</v>
      </c>
    </row>
    <row r="7" spans="1:4" x14ac:dyDescent="0.3">
      <c r="A7" s="3">
        <v>6</v>
      </c>
      <c r="B7" s="9" t="s">
        <v>37</v>
      </c>
      <c r="C7" s="11">
        <v>88</v>
      </c>
      <c r="D7" s="12" t="s">
        <v>39</v>
      </c>
    </row>
    <row r="8" spans="1:4" x14ac:dyDescent="0.3">
      <c r="A8" s="3">
        <v>7</v>
      </c>
      <c r="B8" s="9" t="s">
        <v>38</v>
      </c>
      <c r="C8" s="11">
        <v>0</v>
      </c>
      <c r="D8" s="12" t="s">
        <v>40</v>
      </c>
    </row>
    <row r="9" spans="1:4" x14ac:dyDescent="0.3">
      <c r="A9" s="3">
        <v>8</v>
      </c>
      <c r="B9" s="9" t="s">
        <v>41</v>
      </c>
      <c r="C9" s="11">
        <v>112</v>
      </c>
      <c r="D9" s="12" t="s">
        <v>39</v>
      </c>
    </row>
    <row r="10" spans="1:4" x14ac:dyDescent="0.3">
      <c r="A10" s="3">
        <v>9</v>
      </c>
      <c r="B10" s="9" t="s">
        <v>42</v>
      </c>
      <c r="C10" s="11">
        <v>34</v>
      </c>
      <c r="D10" s="12" t="s">
        <v>39</v>
      </c>
    </row>
    <row r="11" spans="1:4" x14ac:dyDescent="0.3">
      <c r="A11" s="3">
        <v>10</v>
      </c>
      <c r="B11" s="9" t="s">
        <v>43</v>
      </c>
      <c r="C11" s="11">
        <v>76</v>
      </c>
      <c r="D11" s="12" t="s">
        <v>39</v>
      </c>
    </row>
    <row r="12" spans="1:4" x14ac:dyDescent="0.3">
      <c r="A12" s="3">
        <v>11</v>
      </c>
      <c r="B12" s="9" t="s">
        <v>32</v>
      </c>
      <c r="C12" s="11">
        <v>201</v>
      </c>
      <c r="D12" s="12" t="s">
        <v>39</v>
      </c>
    </row>
    <row r="13" spans="1:4" x14ac:dyDescent="0.3">
      <c r="A13" s="3">
        <v>12</v>
      </c>
      <c r="B13" s="9" t="s">
        <v>33</v>
      </c>
      <c r="C13" s="11">
        <v>55</v>
      </c>
      <c r="D13" s="12" t="s">
        <v>40</v>
      </c>
    </row>
    <row r="15" spans="1:4" x14ac:dyDescent="0.3">
      <c r="B15" s="1" t="s">
        <v>44</v>
      </c>
      <c r="C15" s="1">
        <f>LARGE(C2:C13, 1)</f>
        <v>201</v>
      </c>
    </row>
    <row r="16" spans="1:4" x14ac:dyDescent="0.3">
      <c r="B16" s="1" t="s">
        <v>45</v>
      </c>
      <c r="C16" s="1">
        <f>LARGE(C2:C14, 2)</f>
        <v>156</v>
      </c>
    </row>
    <row r="17" spans="2:3" x14ac:dyDescent="0.3">
      <c r="B17" s="1" t="s">
        <v>46</v>
      </c>
      <c r="C17" s="1">
        <f>LARGE(C2:C13, 3)</f>
        <v>112</v>
      </c>
    </row>
    <row r="19" spans="2:3" x14ac:dyDescent="0.3">
      <c r="B19" s="1" t="s">
        <v>47</v>
      </c>
      <c r="C19" s="1">
        <f>SMALL(C2:C13, 1)</f>
        <v>0</v>
      </c>
    </row>
    <row r="20" spans="2:3" x14ac:dyDescent="0.3">
      <c r="B20" s="1" t="s">
        <v>48</v>
      </c>
      <c r="C20" s="1">
        <f>SMALL(C2:C13, 2)</f>
        <v>12</v>
      </c>
    </row>
    <row r="22" spans="2:3" x14ac:dyDescent="0.3">
      <c r="B22" s="1" t="s">
        <v>49</v>
      </c>
      <c r="C22" s="1">
        <f>MEDIAN(C2:C13)</f>
        <v>71.5</v>
      </c>
    </row>
    <row r="23" spans="2:3" x14ac:dyDescent="0.3">
      <c r="B23" s="1" t="s">
        <v>50</v>
      </c>
      <c r="C23" s="13">
        <f>AVERAGE(C2:C13)</f>
        <v>78.166666666666671</v>
      </c>
    </row>
    <row r="25" spans="2:3" x14ac:dyDescent="0.3">
      <c r="B25" s="1" t="s">
        <v>51</v>
      </c>
      <c r="C25" s="1">
        <f>PERCENTILE(C2:C13, 0.9)</f>
        <v>151.60000000000002</v>
      </c>
    </row>
    <row r="26" spans="2:3" x14ac:dyDescent="0.3">
      <c r="B26" s="1" t="s">
        <v>52</v>
      </c>
      <c r="C26" s="1">
        <f>PERCENTILE(C2:C13, 0.5)</f>
        <v>71.5</v>
      </c>
    </row>
    <row r="27" spans="2:3" x14ac:dyDescent="0.3">
      <c r="B27" s="1" t="s">
        <v>53</v>
      </c>
      <c r="C27" s="1">
        <f>PERCENTILE(C2:C13, 0.75)</f>
        <v>98.5</v>
      </c>
    </row>
  </sheetData>
  <conditionalFormatting sqref="C15:C17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{C1FF5009-868A-4D6C-B43D-585ADE56139F}</x14:id>
        </ext>
      </extLst>
    </cfRule>
  </conditionalFormatting>
  <conditionalFormatting sqref="C19:C20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{B18E9ED9-F5B1-427F-8046-DEAC36A7B55F}</x14:id>
        </ext>
      </extLst>
    </cfRule>
  </conditionalFormatting>
  <conditionalFormatting sqref="C22:C2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{1225B31D-1F2E-42AA-A34F-B8112DF076A4}</x14:id>
        </ext>
      </extLst>
    </cfRule>
  </conditionalFormatting>
  <conditionalFormatting sqref="C25:C27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{0D7B9CAB-4031-4019-A650-606C23169DAF}</x14:id>
        </ext>
      </extLst>
    </cfRule>
  </conditionalFormatting>
  <conditionalFormatting sqref="D2:D13">
    <cfRule type="cellIs" dxfId="2" priority="5" operator="equal">
      <formula>"Tie"</formula>
    </cfRule>
    <cfRule type="cellIs" dxfId="1" priority="6" operator="equal">
      <formula>"Won"</formula>
    </cfRule>
    <cfRule type="cellIs" dxfId="0" priority="7" operator="equal">
      <formula>"Lost"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FF5009-868A-4D6C-B43D-585ADE5613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C15:C17</xm:sqref>
        </x14:conditionalFormatting>
        <x14:conditionalFormatting xmlns:xm="http://schemas.microsoft.com/office/excel/2006/main">
          <x14:cfRule type="dataBar" id="{B18E9ED9-F5B1-427F-8046-DEAC36A7B5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C19:C20</xm:sqref>
        </x14:conditionalFormatting>
        <x14:conditionalFormatting xmlns:xm="http://schemas.microsoft.com/office/excel/2006/main">
          <x14:cfRule type="dataBar" id="{1225B31D-1F2E-42AA-A34F-B8112DF076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C22:C23</xm:sqref>
        </x14:conditionalFormatting>
        <x14:conditionalFormatting xmlns:xm="http://schemas.microsoft.com/office/excel/2006/main">
          <x14:cfRule type="dataBar" id="{0D7B9CAB-4031-4019-A650-606C23169DA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C25:C27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68B5B-0AC2-4A7C-8547-B127F0B497EE}">
  <dimension ref="A1:H7"/>
  <sheetViews>
    <sheetView zoomScale="145" zoomScaleNormal="145" workbookViewId="0">
      <selection activeCell="A10" sqref="A10"/>
    </sheetView>
  </sheetViews>
  <sheetFormatPr defaultRowHeight="14.4" x14ac:dyDescent="0.3"/>
  <cols>
    <col min="1" max="1" width="9.33203125" style="1" bestFit="1" customWidth="1"/>
    <col min="2" max="2" width="4.109375" style="1" bestFit="1" customWidth="1"/>
    <col min="3" max="3" width="9.21875" style="1" bestFit="1" customWidth="1"/>
    <col min="4" max="4" width="8.6640625" style="1" bestFit="1" customWidth="1"/>
    <col min="5" max="5" width="8.109375" style="1" bestFit="1" customWidth="1"/>
    <col min="6" max="6" width="5.21875" style="1" bestFit="1" customWidth="1"/>
    <col min="7" max="7" width="8.33203125" style="1" bestFit="1" customWidth="1"/>
    <col min="8" max="8" width="16.33203125" style="1" bestFit="1" customWidth="1"/>
    <col min="9" max="16384" width="8.88671875" style="1"/>
  </cols>
  <sheetData>
    <row r="1" spans="1:8" x14ac:dyDescent="0.3">
      <c r="A1" s="1" t="s">
        <v>54</v>
      </c>
      <c r="B1" s="1" t="s">
        <v>55</v>
      </c>
      <c r="C1" s="1" t="s">
        <v>56</v>
      </c>
      <c r="D1" s="1" t="s">
        <v>63</v>
      </c>
      <c r="E1" s="1" t="s">
        <v>64</v>
      </c>
      <c r="F1" s="1" t="s">
        <v>57</v>
      </c>
      <c r="G1" s="1" t="s">
        <v>58</v>
      </c>
      <c r="H1" s="1" t="s">
        <v>65</v>
      </c>
    </row>
    <row r="2" spans="1:8" x14ac:dyDescent="0.3">
      <c r="A2" s="1" t="s">
        <v>59</v>
      </c>
      <c r="B2" s="1">
        <v>7</v>
      </c>
      <c r="C2" s="1">
        <v>12.5</v>
      </c>
      <c r="D2" s="1">
        <f>B2*C2</f>
        <v>87.5</v>
      </c>
      <c r="E2" s="1">
        <f>ROUND(D2*0.18, 2)</f>
        <v>15.75</v>
      </c>
      <c r="F2" s="1">
        <f>D2+E2</f>
        <v>103.25</v>
      </c>
      <c r="G2" s="1">
        <f>ROUND(F2, 0)</f>
        <v>103</v>
      </c>
      <c r="H2" s="1">
        <v>6</v>
      </c>
    </row>
    <row r="3" spans="1:8" x14ac:dyDescent="0.3">
      <c r="A3" s="1" t="s">
        <v>60</v>
      </c>
      <c r="B3" s="1">
        <v>3</v>
      </c>
      <c r="C3" s="1">
        <v>87.75</v>
      </c>
      <c r="D3" s="1">
        <f t="shared" ref="D3:D7" si="0">B3*C3</f>
        <v>263.25</v>
      </c>
      <c r="E3" s="1">
        <f t="shared" ref="E3:E7" si="1">ROUND(D3*0.18, 2)</f>
        <v>47.39</v>
      </c>
      <c r="F3" s="1">
        <f t="shared" ref="F3:F7" si="2">D3+E3</f>
        <v>310.64</v>
      </c>
      <c r="G3" s="1">
        <f t="shared" ref="G3:G7" si="3">ROUND(F3, 0)</f>
        <v>311</v>
      </c>
      <c r="H3" s="1">
        <v>1</v>
      </c>
    </row>
    <row r="4" spans="1:8" x14ac:dyDescent="0.3">
      <c r="A4" s="1" t="s">
        <v>66</v>
      </c>
      <c r="B4" s="1">
        <v>2.5</v>
      </c>
      <c r="C4" s="1">
        <v>45.2</v>
      </c>
      <c r="D4" s="1">
        <f t="shared" si="0"/>
        <v>113</v>
      </c>
      <c r="E4" s="1">
        <f t="shared" si="1"/>
        <v>20.34</v>
      </c>
      <c r="F4" s="1">
        <f t="shared" si="2"/>
        <v>133.34</v>
      </c>
      <c r="G4" s="1">
        <f t="shared" si="3"/>
        <v>133</v>
      </c>
      <c r="H4" s="1">
        <v>1</v>
      </c>
    </row>
    <row r="5" spans="1:8" x14ac:dyDescent="0.3">
      <c r="A5" s="1" t="s">
        <v>61</v>
      </c>
      <c r="B5" s="1">
        <v>11</v>
      </c>
      <c r="C5" s="1">
        <v>24</v>
      </c>
      <c r="D5" s="1">
        <f t="shared" si="0"/>
        <v>264</v>
      </c>
      <c r="E5" s="1">
        <f t="shared" si="1"/>
        <v>47.52</v>
      </c>
      <c r="F5" s="1">
        <f t="shared" si="2"/>
        <v>311.52</v>
      </c>
      <c r="G5" s="1">
        <f t="shared" si="3"/>
        <v>312</v>
      </c>
      <c r="H5" s="1">
        <v>4</v>
      </c>
    </row>
    <row r="6" spans="1:8" x14ac:dyDescent="0.3">
      <c r="A6" s="1" t="s">
        <v>62</v>
      </c>
      <c r="B6" s="1">
        <v>15</v>
      </c>
      <c r="C6" s="1">
        <v>8.33</v>
      </c>
      <c r="D6" s="1">
        <f t="shared" si="0"/>
        <v>124.95</v>
      </c>
      <c r="E6" s="1">
        <f t="shared" si="1"/>
        <v>22.49</v>
      </c>
      <c r="F6" s="1">
        <f t="shared" si="2"/>
        <v>147.44</v>
      </c>
      <c r="G6" s="1">
        <f t="shared" si="3"/>
        <v>147</v>
      </c>
      <c r="H6" s="1">
        <v>12</v>
      </c>
    </row>
    <row r="7" spans="1:8" x14ac:dyDescent="0.3">
      <c r="A7" s="1" t="s">
        <v>67</v>
      </c>
      <c r="B7" s="1">
        <v>1.8</v>
      </c>
      <c r="C7" s="1">
        <v>132.5</v>
      </c>
      <c r="D7" s="1">
        <f t="shared" si="0"/>
        <v>238.5</v>
      </c>
      <c r="E7" s="1">
        <f t="shared" si="1"/>
        <v>42.93</v>
      </c>
      <c r="F7" s="1">
        <f t="shared" si="2"/>
        <v>281.43</v>
      </c>
      <c r="G7" s="1">
        <f t="shared" si="3"/>
        <v>281</v>
      </c>
      <c r="H7" s="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B8B4C-0D05-49E0-8059-CC9C43193BB2}">
  <dimension ref="A1:H6"/>
  <sheetViews>
    <sheetView zoomScale="115" zoomScaleNormal="115" workbookViewId="0">
      <selection activeCell="I2" sqref="I2"/>
    </sheetView>
  </sheetViews>
  <sheetFormatPr defaultRowHeight="14.4" x14ac:dyDescent="0.3"/>
  <cols>
    <col min="1" max="1" width="12" style="1" bestFit="1" customWidth="1"/>
    <col min="2" max="3" width="11.44140625" style="1" bestFit="1" customWidth="1"/>
    <col min="4" max="4" width="12" style="1" bestFit="1" customWidth="1"/>
    <col min="5" max="5" width="9.88671875" style="1" bestFit="1" customWidth="1"/>
    <col min="6" max="6" width="10.77734375" style="1" bestFit="1" customWidth="1"/>
    <col min="7" max="7" width="16.44140625" style="1" bestFit="1" customWidth="1"/>
    <col min="8" max="8" width="4.33203125" style="1" bestFit="1" customWidth="1"/>
    <col min="9" max="16384" width="8.88671875" style="1"/>
  </cols>
  <sheetData>
    <row r="1" spans="1:8" x14ac:dyDescent="0.3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</row>
    <row r="2" spans="1:8" x14ac:dyDescent="0.3">
      <c r="A2" s="1" t="s">
        <v>12</v>
      </c>
      <c r="B2" s="1" t="s">
        <v>78</v>
      </c>
      <c r="C2" s="14">
        <v>45810</v>
      </c>
      <c r="D2" s="1">
        <v>14</v>
      </c>
      <c r="E2" s="14">
        <f>WORKDAY(C2, D2)</f>
        <v>45828</v>
      </c>
      <c r="F2" s="14">
        <v>45826</v>
      </c>
      <c r="G2" s="1">
        <f>MAX(0, NETWORKDAYS(E2, F2)-1)</f>
        <v>0</v>
      </c>
      <c r="H2" s="1">
        <f>G2 * 5</f>
        <v>0</v>
      </c>
    </row>
    <row r="3" spans="1:8" x14ac:dyDescent="0.3">
      <c r="A3" s="1" t="s">
        <v>15</v>
      </c>
      <c r="B3" s="1" t="s">
        <v>79</v>
      </c>
      <c r="C3" s="14">
        <v>45813</v>
      </c>
      <c r="D3" s="1">
        <v>7</v>
      </c>
      <c r="E3" s="14">
        <f t="shared" ref="E3:E6" si="0">WORKDAY(C3, D3)</f>
        <v>45824</v>
      </c>
      <c r="F3" s="14">
        <v>45824</v>
      </c>
      <c r="G3" s="1">
        <f t="shared" ref="G3:G6" si="1">MAX(0, NETWORKDAYS(E3, F3)-1)</f>
        <v>0</v>
      </c>
      <c r="H3" s="1">
        <f t="shared" ref="H3:H6" si="2">G3 * 5</f>
        <v>0</v>
      </c>
    </row>
    <row r="4" spans="1:8" x14ac:dyDescent="0.3">
      <c r="A4" s="1" t="s">
        <v>76</v>
      </c>
      <c r="B4" s="1" t="s">
        <v>80</v>
      </c>
      <c r="C4" s="14">
        <v>45818</v>
      </c>
      <c r="D4" s="1">
        <v>21</v>
      </c>
      <c r="E4" s="14">
        <f t="shared" si="0"/>
        <v>45847</v>
      </c>
      <c r="F4" s="14">
        <v>45843</v>
      </c>
      <c r="G4" s="1">
        <f t="shared" si="1"/>
        <v>0</v>
      </c>
      <c r="H4" s="1">
        <f t="shared" si="2"/>
        <v>0</v>
      </c>
    </row>
    <row r="5" spans="1:8" x14ac:dyDescent="0.3">
      <c r="A5" s="1" t="s">
        <v>13</v>
      </c>
      <c r="B5" s="1" t="s">
        <v>81</v>
      </c>
      <c r="C5" s="14">
        <v>45820</v>
      </c>
      <c r="D5" s="1">
        <v>10</v>
      </c>
      <c r="E5" s="14">
        <f t="shared" si="0"/>
        <v>45834</v>
      </c>
      <c r="F5" s="14">
        <v>45833</v>
      </c>
      <c r="G5" s="1">
        <f t="shared" si="1"/>
        <v>0</v>
      </c>
      <c r="H5" s="1">
        <f t="shared" si="2"/>
        <v>0</v>
      </c>
    </row>
    <row r="6" spans="1:8" x14ac:dyDescent="0.3">
      <c r="A6" s="1" t="s">
        <v>77</v>
      </c>
      <c r="B6" s="1" t="s">
        <v>82</v>
      </c>
      <c r="C6" s="14">
        <v>45824</v>
      </c>
      <c r="D6" s="1">
        <v>14</v>
      </c>
      <c r="E6" s="14">
        <f t="shared" si="0"/>
        <v>45842</v>
      </c>
      <c r="F6" s="14">
        <v>45839</v>
      </c>
      <c r="G6" s="1">
        <f t="shared" si="1"/>
        <v>0</v>
      </c>
      <c r="H6" s="1">
        <f t="shared" si="2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A5365-09A0-4116-B6DC-7AC0302C0C90}">
  <dimension ref="A1:G13"/>
  <sheetViews>
    <sheetView zoomScale="145" zoomScaleNormal="145" workbookViewId="0">
      <selection activeCell="F2" sqref="F2"/>
    </sheetView>
  </sheetViews>
  <sheetFormatPr defaultRowHeight="14.4" x14ac:dyDescent="0.3"/>
  <cols>
    <col min="1" max="1" width="13.88671875" style="1" bestFit="1" customWidth="1"/>
    <col min="2" max="2" width="12" style="1" bestFit="1" customWidth="1"/>
    <col min="3" max="3" width="11.5546875" style="1" bestFit="1" customWidth="1"/>
    <col min="4" max="4" width="12" style="1" bestFit="1" customWidth="1"/>
    <col min="5" max="5" width="6.21875" style="1" bestFit="1" customWidth="1"/>
    <col min="6" max="6" width="8.77734375" style="1" bestFit="1" customWidth="1"/>
    <col min="7" max="7" width="10.6640625" style="1" bestFit="1" customWidth="1"/>
    <col min="8" max="16384" width="8.88671875" style="1"/>
  </cols>
  <sheetData>
    <row r="1" spans="1:7" x14ac:dyDescent="0.3">
      <c r="A1" s="1" t="s">
        <v>83</v>
      </c>
      <c r="B1" s="1" t="s">
        <v>95</v>
      </c>
      <c r="C1" s="1" t="s">
        <v>94</v>
      </c>
      <c r="D1" s="1" t="s">
        <v>96</v>
      </c>
      <c r="E1" s="1" t="s">
        <v>84</v>
      </c>
      <c r="F1" s="1" t="s">
        <v>97</v>
      </c>
      <c r="G1" s="1" t="s">
        <v>101</v>
      </c>
    </row>
    <row r="2" spans="1:7" x14ac:dyDescent="0.3">
      <c r="A2" s="1" t="s">
        <v>85</v>
      </c>
      <c r="B2" s="1">
        <v>4</v>
      </c>
      <c r="C2" s="1">
        <v>52000</v>
      </c>
      <c r="D2" s="1">
        <v>48000</v>
      </c>
      <c r="E2" s="1">
        <v>4.2</v>
      </c>
      <c r="F2" s="1" t="s">
        <v>86</v>
      </c>
      <c r="G2" s="1" t="str">
        <f>CHOOSE(INT(E2), "Poor","Fair","Good","Very Good","Excellent")</f>
        <v>Very Good</v>
      </c>
    </row>
    <row r="3" spans="1:7" x14ac:dyDescent="0.3">
      <c r="A3" s="1" t="s">
        <v>87</v>
      </c>
      <c r="B3" s="1">
        <v>3</v>
      </c>
      <c r="C3" s="1">
        <v>85000</v>
      </c>
      <c r="D3" s="1">
        <v>91000</v>
      </c>
      <c r="E3" s="1">
        <v>4.5</v>
      </c>
      <c r="F3" s="1" t="s">
        <v>88</v>
      </c>
      <c r="G3" s="1" t="str">
        <f t="shared" ref="G3:G6" si="0">CHOOSE(INT(E3), "Poor","Fair","Good","Very Good","Excellent")</f>
        <v>Very Good</v>
      </c>
    </row>
    <row r="4" spans="1:7" x14ac:dyDescent="0.3">
      <c r="A4" s="1" t="s">
        <v>89</v>
      </c>
      <c r="B4" s="1">
        <v>5</v>
      </c>
      <c r="C4" s="1">
        <v>67000</v>
      </c>
      <c r="D4" s="1">
        <v>72000</v>
      </c>
      <c r="E4" s="1">
        <v>4.0999999999999996</v>
      </c>
      <c r="F4" s="1" t="s">
        <v>90</v>
      </c>
      <c r="G4" s="1" t="str">
        <f t="shared" si="0"/>
        <v>Very Good</v>
      </c>
    </row>
    <row r="5" spans="1:7" x14ac:dyDescent="0.3">
      <c r="A5" s="1" t="s">
        <v>91</v>
      </c>
      <c r="B5" s="1">
        <v>2</v>
      </c>
      <c r="C5" s="1">
        <v>39000</v>
      </c>
      <c r="D5" s="1">
        <v>41000</v>
      </c>
      <c r="E5" s="1">
        <v>3.9</v>
      </c>
      <c r="F5" s="1" t="s">
        <v>92</v>
      </c>
      <c r="G5" s="1" t="str">
        <f t="shared" si="0"/>
        <v>Good</v>
      </c>
    </row>
    <row r="6" spans="1:7" x14ac:dyDescent="0.3">
      <c r="A6" s="1" t="s">
        <v>98</v>
      </c>
      <c r="B6" s="1">
        <v>6</v>
      </c>
      <c r="C6" s="1">
        <v>1</v>
      </c>
      <c r="D6" s="1">
        <v>15000</v>
      </c>
      <c r="E6" s="1">
        <v>4.8</v>
      </c>
      <c r="F6" s="1" t="s">
        <v>93</v>
      </c>
      <c r="G6" s="1" t="str">
        <f t="shared" si="0"/>
        <v>Very Good</v>
      </c>
    </row>
    <row r="10" spans="1:7" x14ac:dyDescent="0.3">
      <c r="A10" s="1" t="s">
        <v>99</v>
      </c>
      <c r="B10" s="1" t="s">
        <v>100</v>
      </c>
    </row>
    <row r="11" spans="1:7" x14ac:dyDescent="0.3">
      <c r="A11" s="1">
        <v>1</v>
      </c>
      <c r="B11" s="1" t="str">
        <f>CHOOSE(A11, "Jan","Feb","Mar","Apr","May","Jun","Jul","Aug","Sep","Oct","Nov","Dec")</f>
        <v>Jan</v>
      </c>
    </row>
    <row r="12" spans="1:7" x14ac:dyDescent="0.3">
      <c r="A12" s="1">
        <v>2</v>
      </c>
      <c r="B12" s="1" t="str">
        <f t="shared" ref="B12:B13" si="1">CHOOSE(A12, "Jan","Feb","Mar","Apr","May","Jun","Jul","Aug","Sep","Oct","Nov","Dec")</f>
        <v>Feb</v>
      </c>
    </row>
    <row r="13" spans="1:7" x14ac:dyDescent="0.3">
      <c r="A13" s="1">
        <v>3</v>
      </c>
      <c r="B13" s="1" t="str">
        <f t="shared" si="1"/>
        <v>Mar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FF949-9792-4B65-B99D-6D84D495DD44}">
  <dimension ref="A1:B9"/>
  <sheetViews>
    <sheetView zoomScale="160" zoomScaleNormal="160" workbookViewId="0">
      <selection activeCell="C9" sqref="C9"/>
    </sheetView>
  </sheetViews>
  <sheetFormatPr defaultRowHeight="14.4" x14ac:dyDescent="0.3"/>
  <cols>
    <col min="1" max="1" width="18.21875" style="1" bestFit="1" customWidth="1"/>
    <col min="2" max="2" width="19.5546875" style="1" bestFit="1" customWidth="1"/>
    <col min="3" max="16384" width="8.88671875" style="1"/>
  </cols>
  <sheetData>
    <row r="1" spans="1:2" x14ac:dyDescent="0.3">
      <c r="A1" s="1" t="s">
        <v>102</v>
      </c>
      <c r="B1" s="1" t="s">
        <v>103</v>
      </c>
    </row>
    <row r="2" spans="1:2" x14ac:dyDescent="0.3">
      <c r="A2" s="1" t="s">
        <v>104</v>
      </c>
      <c r="B2" s="16">
        <v>2000000</v>
      </c>
    </row>
    <row r="3" spans="1:2" x14ac:dyDescent="0.3">
      <c r="A3" s="1" t="s">
        <v>105</v>
      </c>
      <c r="B3" s="15">
        <v>8.5000000000000006E-2</v>
      </c>
    </row>
    <row r="4" spans="1:2" x14ac:dyDescent="0.3">
      <c r="A4" s="1" t="s">
        <v>106</v>
      </c>
      <c r="B4" s="1">
        <v>20</v>
      </c>
    </row>
    <row r="5" spans="1:2" x14ac:dyDescent="0.3">
      <c r="A5" s="1" t="s">
        <v>107</v>
      </c>
      <c r="B5" s="18">
        <f>B3/12</f>
        <v>7.0833333333333338E-3</v>
      </c>
    </row>
    <row r="6" spans="1:2" x14ac:dyDescent="0.3">
      <c r="A6" s="1" t="s">
        <v>108</v>
      </c>
      <c r="B6" s="1">
        <f>B4*12</f>
        <v>240</v>
      </c>
    </row>
    <row r="7" spans="1:2" x14ac:dyDescent="0.3">
      <c r="A7" s="1" t="s">
        <v>109</v>
      </c>
      <c r="B7" s="17">
        <f>PMT(B5, B6, -B2)</f>
        <v>17356.46466731068</v>
      </c>
    </row>
    <row r="8" spans="1:2" x14ac:dyDescent="0.3">
      <c r="A8" s="1" t="s">
        <v>110</v>
      </c>
      <c r="B8" s="17">
        <f>B7*B6</f>
        <v>4165551.5201545632</v>
      </c>
    </row>
    <row r="9" spans="1:2" x14ac:dyDescent="0.3">
      <c r="A9" s="1" t="s">
        <v>111</v>
      </c>
      <c r="B9" s="19">
        <f>IPMT(B5,240, B6, -B2)/100</f>
        <v>1.2207691325787402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9F24E-0433-4BF2-B9B9-10936C985AE3}">
  <dimension ref="A1:I13"/>
  <sheetViews>
    <sheetView zoomScale="160" zoomScaleNormal="160" workbookViewId="0">
      <selection activeCell="K4" sqref="K4"/>
    </sheetView>
  </sheetViews>
  <sheetFormatPr defaultRowHeight="14.4" x14ac:dyDescent="0.3"/>
  <cols>
    <col min="1" max="1" width="7.21875" style="1" bestFit="1" customWidth="1"/>
    <col min="2" max="2" width="5.109375" style="1" bestFit="1" customWidth="1"/>
    <col min="3" max="3" width="6.88671875" style="1" bestFit="1" customWidth="1"/>
    <col min="4" max="4" width="12.21875" style="1" bestFit="1" customWidth="1"/>
    <col min="5" max="5" width="6" style="1" bestFit="1" customWidth="1"/>
    <col min="6" max="6" width="8.109375" style="1" bestFit="1" customWidth="1"/>
    <col min="7" max="7" width="9.44140625" style="1" bestFit="1" customWidth="1"/>
    <col min="8" max="8" width="12.21875" style="1" bestFit="1" customWidth="1"/>
    <col min="9" max="9" width="13.109375" style="1" bestFit="1" customWidth="1"/>
    <col min="10" max="16384" width="8.88671875" style="1"/>
  </cols>
  <sheetData>
    <row r="1" spans="1:9" x14ac:dyDescent="0.3">
      <c r="A1" s="1" t="s">
        <v>112</v>
      </c>
      <c r="B1" s="1" t="s">
        <v>113</v>
      </c>
      <c r="C1" s="1" t="s">
        <v>114</v>
      </c>
      <c r="D1" s="1" t="s">
        <v>117</v>
      </c>
      <c r="E1" s="1" t="s">
        <v>115</v>
      </c>
      <c r="F1" s="1" t="s">
        <v>116</v>
      </c>
      <c r="G1" s="1" t="s">
        <v>134</v>
      </c>
      <c r="H1" s="1" t="s">
        <v>135</v>
      </c>
      <c r="I1" s="1" t="s">
        <v>136</v>
      </c>
    </row>
    <row r="2" spans="1:9" x14ac:dyDescent="0.3">
      <c r="A2" s="1" t="s">
        <v>118</v>
      </c>
      <c r="B2" s="1" t="s">
        <v>119</v>
      </c>
      <c r="C2" s="1" t="s">
        <v>120</v>
      </c>
      <c r="D2" s="1">
        <v>88</v>
      </c>
      <c r="E2" s="1">
        <v>72</v>
      </c>
      <c r="F2" s="1" t="s">
        <v>121</v>
      </c>
      <c r="G2" s="1">
        <f>COUNTIFS(B2:B13,"10A", C2:C13,"M")</f>
        <v>6</v>
      </c>
      <c r="H2" s="1">
        <f>AVERAGEIFS(E2:E13, B2:B13,"10A", C2:C13,"M")</f>
        <v>51.333333333333336</v>
      </c>
      <c r="I2" s="1">
        <f>SUMPRODUCT(D2:D13, E2:E13)</f>
        <v>65599</v>
      </c>
    </row>
    <row r="3" spans="1:9" x14ac:dyDescent="0.3">
      <c r="A3" s="1" t="s">
        <v>88</v>
      </c>
      <c r="B3" s="1" t="s">
        <v>122</v>
      </c>
      <c r="C3" s="1" t="s">
        <v>123</v>
      </c>
      <c r="D3" s="1">
        <v>95</v>
      </c>
      <c r="E3" s="1">
        <v>88</v>
      </c>
      <c r="F3" s="1" t="s">
        <v>121</v>
      </c>
      <c r="G3" s="1">
        <f>COUNTIFS(C2:C13,"F", D2:D13,"&gt;85")</f>
        <v>4</v>
      </c>
      <c r="H3" s="1">
        <f>AVERAGEIFS(D2:D13, C2:C13,"F", F2:F13,"Pass")</f>
        <v>88.5</v>
      </c>
      <c r="I3" s="1" cm="1">
        <f t="array" ref="I3">SUMPRODUCT((B2:B13="10A")*(C2:C13="M"))</f>
        <v>6</v>
      </c>
    </row>
    <row r="4" spans="1:9" x14ac:dyDescent="0.3">
      <c r="A4" s="1" t="s">
        <v>124</v>
      </c>
      <c r="B4" s="1" t="s">
        <v>119</v>
      </c>
      <c r="C4" s="1" t="s">
        <v>120</v>
      </c>
      <c r="D4" s="1">
        <v>62</v>
      </c>
      <c r="E4" s="1">
        <v>45</v>
      </c>
      <c r="F4" s="1" t="s">
        <v>125</v>
      </c>
      <c r="G4" s="1">
        <f>COUNTIFS(C2:C13,"M", F2:F13,"Fail")</f>
        <v>3</v>
      </c>
    </row>
    <row r="5" spans="1:9" x14ac:dyDescent="0.3">
      <c r="A5" s="1" t="s">
        <v>126</v>
      </c>
      <c r="B5" s="1" t="s">
        <v>122</v>
      </c>
      <c r="C5" s="1" t="s">
        <v>123</v>
      </c>
      <c r="D5" s="1">
        <v>91</v>
      </c>
      <c r="E5" s="1">
        <v>79</v>
      </c>
      <c r="F5" s="1" t="s">
        <v>121</v>
      </c>
      <c r="G5" s="1">
        <f>COUNTIFS(B2:B13,"10B", D2:D13,"&gt;90")</f>
        <v>4</v>
      </c>
    </row>
    <row r="6" spans="1:9" x14ac:dyDescent="0.3">
      <c r="A6" s="1" t="s">
        <v>127</v>
      </c>
      <c r="B6" s="1" t="s">
        <v>119</v>
      </c>
      <c r="C6" s="1" t="s">
        <v>120</v>
      </c>
      <c r="D6" s="1">
        <v>74</v>
      </c>
      <c r="E6" s="1">
        <v>58</v>
      </c>
      <c r="F6" s="1" t="s">
        <v>121</v>
      </c>
    </row>
    <row r="7" spans="1:9" x14ac:dyDescent="0.3">
      <c r="A7" s="1" t="s">
        <v>92</v>
      </c>
      <c r="B7" s="1" t="s">
        <v>122</v>
      </c>
      <c r="C7" s="1" t="s">
        <v>123</v>
      </c>
      <c r="D7" s="1">
        <v>85</v>
      </c>
      <c r="E7" s="1">
        <v>82</v>
      </c>
      <c r="F7" s="1" t="s">
        <v>121</v>
      </c>
    </row>
    <row r="8" spans="1:9" x14ac:dyDescent="0.3">
      <c r="A8" s="1" t="s">
        <v>128</v>
      </c>
      <c r="B8" s="1" t="s">
        <v>119</v>
      </c>
      <c r="C8" s="1" t="s">
        <v>120</v>
      </c>
      <c r="D8" s="1">
        <v>55</v>
      </c>
      <c r="E8" s="1">
        <v>38</v>
      </c>
      <c r="F8" s="1" t="s">
        <v>125</v>
      </c>
    </row>
    <row r="9" spans="1:9" x14ac:dyDescent="0.3">
      <c r="A9" s="1" t="s">
        <v>129</v>
      </c>
      <c r="B9" s="1" t="s">
        <v>122</v>
      </c>
      <c r="C9" s="1" t="s">
        <v>123</v>
      </c>
      <c r="D9" s="1">
        <v>97</v>
      </c>
      <c r="E9" s="1">
        <v>91</v>
      </c>
      <c r="F9" s="1" t="s">
        <v>121</v>
      </c>
    </row>
    <row r="10" spans="1:9" x14ac:dyDescent="0.3">
      <c r="A10" s="1" t="s">
        <v>130</v>
      </c>
      <c r="B10" s="1" t="s">
        <v>119</v>
      </c>
      <c r="C10" s="1" t="s">
        <v>120</v>
      </c>
      <c r="D10" s="1">
        <v>80</v>
      </c>
      <c r="E10" s="1">
        <v>65</v>
      </c>
      <c r="F10" s="1" t="s">
        <v>121</v>
      </c>
    </row>
    <row r="11" spans="1:9" x14ac:dyDescent="0.3">
      <c r="A11" s="1" t="s">
        <v>131</v>
      </c>
      <c r="B11" s="1" t="s">
        <v>122</v>
      </c>
      <c r="C11" s="1" t="s">
        <v>123</v>
      </c>
      <c r="D11" s="1">
        <v>70</v>
      </c>
      <c r="E11" s="1">
        <v>60</v>
      </c>
      <c r="F11" s="1" t="s">
        <v>121</v>
      </c>
    </row>
    <row r="12" spans="1:9" x14ac:dyDescent="0.3">
      <c r="A12" s="1" t="s">
        <v>132</v>
      </c>
      <c r="B12" s="1" t="s">
        <v>119</v>
      </c>
      <c r="C12" s="1" t="s">
        <v>120</v>
      </c>
      <c r="D12" s="1">
        <v>48</v>
      </c>
      <c r="E12" s="1">
        <v>30</v>
      </c>
      <c r="F12" s="1" t="s">
        <v>125</v>
      </c>
    </row>
    <row r="13" spans="1:9" x14ac:dyDescent="0.3">
      <c r="A13" s="1" t="s">
        <v>133</v>
      </c>
      <c r="B13" s="1" t="s">
        <v>122</v>
      </c>
      <c r="C13" s="1" t="s">
        <v>123</v>
      </c>
      <c r="D13" s="1">
        <v>93</v>
      </c>
      <c r="E13" s="1">
        <v>85</v>
      </c>
      <c r="F13" s="1" t="s">
        <v>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C20F6-8D2D-4B30-BF01-57325BC1AD3D}">
  <dimension ref="A1:F15"/>
  <sheetViews>
    <sheetView tabSelected="1" zoomScale="145" zoomScaleNormal="145" workbookViewId="0">
      <selection activeCell="C12" sqref="C12"/>
    </sheetView>
  </sheetViews>
  <sheetFormatPr defaultRowHeight="14.4" x14ac:dyDescent="0.3"/>
  <cols>
    <col min="1" max="1" width="7.33203125" style="1" bestFit="1" customWidth="1"/>
    <col min="2" max="2" width="14.44140625" style="1" bestFit="1" customWidth="1"/>
    <col min="3" max="3" width="12.6640625" style="1" bestFit="1" customWidth="1"/>
    <col min="4" max="4" width="12" style="1" bestFit="1" customWidth="1"/>
    <col min="5" max="5" width="14.88671875" style="1" bestFit="1" customWidth="1"/>
    <col min="6" max="6" width="11.88671875" style="1" bestFit="1" customWidth="1"/>
    <col min="7" max="16384" width="8.88671875" style="1"/>
  </cols>
  <sheetData>
    <row r="1" spans="1:6" x14ac:dyDescent="0.3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</row>
    <row r="2" spans="1:6" x14ac:dyDescent="0.3">
      <c r="A2" s="20">
        <v>45682</v>
      </c>
      <c r="B2" s="1">
        <v>1450</v>
      </c>
      <c r="C2" s="1">
        <v>3200</v>
      </c>
      <c r="D2" s="1">
        <v>22000</v>
      </c>
      <c r="E2" s="13">
        <f>(B3-B2)/B2*100</f>
        <v>4.8275862068965516</v>
      </c>
      <c r="F2" s="13">
        <f>(C3-C2)/C2 * 100</f>
        <v>4.6875</v>
      </c>
    </row>
    <row r="3" spans="1:6" x14ac:dyDescent="0.3">
      <c r="A3" s="20">
        <v>45713</v>
      </c>
      <c r="B3" s="1">
        <v>1520</v>
      </c>
      <c r="C3" s="1">
        <v>3350</v>
      </c>
      <c r="D3" s="1">
        <v>22800</v>
      </c>
      <c r="E3" s="13">
        <f t="shared" ref="E3:E8" si="0">(B4-B3)/B3*100</f>
        <v>-2.6315789473684208</v>
      </c>
      <c r="F3" s="13">
        <f t="shared" ref="F3:F8" si="1">(C4-C3)/C3 * 100</f>
        <v>-5.0746268656716413</v>
      </c>
    </row>
    <row r="4" spans="1:6" x14ac:dyDescent="0.3">
      <c r="A4" s="20">
        <v>45741</v>
      </c>
      <c r="B4" s="1">
        <v>1480</v>
      </c>
      <c r="C4" s="1">
        <v>3180</v>
      </c>
      <c r="D4" s="1">
        <v>22400</v>
      </c>
      <c r="E4" s="13">
        <f t="shared" si="0"/>
        <v>8.7837837837837842</v>
      </c>
      <c r="F4" s="13">
        <f t="shared" si="1"/>
        <v>9.7484276729559749</v>
      </c>
    </row>
    <row r="5" spans="1:6" x14ac:dyDescent="0.3">
      <c r="A5" s="20">
        <v>45772</v>
      </c>
      <c r="B5" s="1">
        <v>1610</v>
      </c>
      <c r="C5" s="1">
        <v>3490</v>
      </c>
      <c r="D5" s="1">
        <v>23500</v>
      </c>
      <c r="E5" s="13">
        <f t="shared" si="0"/>
        <v>-1.2422360248447204</v>
      </c>
      <c r="F5" s="13">
        <f t="shared" si="1"/>
        <v>-2.005730659025788</v>
      </c>
    </row>
    <row r="6" spans="1:6" x14ac:dyDescent="0.3">
      <c r="A6" s="20">
        <v>45802</v>
      </c>
      <c r="B6" s="1">
        <v>1590</v>
      </c>
      <c r="C6" s="1">
        <v>3420</v>
      </c>
      <c r="D6" s="1">
        <v>23200</v>
      </c>
      <c r="E6" s="13">
        <f t="shared" si="0"/>
        <v>5.3459119496855347</v>
      </c>
      <c r="F6" s="13">
        <f t="shared" si="1"/>
        <v>5.5555555555555554</v>
      </c>
    </row>
    <row r="7" spans="1:6" x14ac:dyDescent="0.3">
      <c r="A7" s="20">
        <v>45833</v>
      </c>
      <c r="B7" s="1">
        <v>1675</v>
      </c>
      <c r="C7" s="1">
        <v>3610</v>
      </c>
      <c r="D7" s="1">
        <v>24100</v>
      </c>
      <c r="E7" s="13">
        <f t="shared" si="0"/>
        <v>1.5323383084577158</v>
      </c>
      <c r="F7" s="13">
        <f t="shared" si="1"/>
        <v>0.60941828254847652</v>
      </c>
    </row>
    <row r="8" spans="1:6" x14ac:dyDescent="0.3">
      <c r="A8" s="20">
        <v>45863</v>
      </c>
      <c r="B8" s="1">
        <f>FORECAST(7, B2:B7, {1,2,3,4,5,6})</f>
        <v>1700.6666666666667</v>
      </c>
      <c r="C8" s="1">
        <f>FORECAST(7, C2:C7, {1,2,3,4,5,6})</f>
        <v>3632</v>
      </c>
      <c r="D8" s="1">
        <v>24800</v>
      </c>
      <c r="E8" s="13">
        <f t="shared" si="0"/>
        <v>-100</v>
      </c>
      <c r="F8" s="13">
        <f t="shared" si="1"/>
        <v>-100</v>
      </c>
    </row>
    <row r="11" spans="1:6" x14ac:dyDescent="0.3">
      <c r="B11" s="1" t="s">
        <v>143</v>
      </c>
      <c r="C11" s="13">
        <f>STDEV(E3:E7)</f>
        <v>4.7105633727867957</v>
      </c>
    </row>
    <row r="12" spans="1:6" x14ac:dyDescent="0.3">
      <c r="B12" s="1" t="s">
        <v>144</v>
      </c>
      <c r="C12" s="13">
        <f>STDEV(F3:F7)</f>
        <v>5.9253204630250078</v>
      </c>
    </row>
    <row r="14" spans="1:6" x14ac:dyDescent="0.3">
      <c r="B14" s="1" t="s">
        <v>145</v>
      </c>
      <c r="C14" s="13">
        <f>CORREL(B2:B7, C2:C7)</f>
        <v>0.9794824514105005</v>
      </c>
    </row>
    <row r="15" spans="1:6" x14ac:dyDescent="0.3">
      <c r="B15" s="1" t="s">
        <v>146</v>
      </c>
      <c r="C15" s="13">
        <f>CORREL(B2:B7, D2:D7)</f>
        <v>0.99404248573286902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Hospital Patient Records</vt:lpstr>
      <vt:lpstr>Cricket Score Analyser</vt:lpstr>
      <vt:lpstr>Shopping Bill Calculator</vt:lpstr>
      <vt:lpstr>Library Book Tracker</vt:lpstr>
      <vt:lpstr>Restaurant Revenue Report</vt:lpstr>
      <vt:lpstr>Bank Loan EMI Calculator</vt:lpstr>
      <vt:lpstr>School Attendance SystemStudent</vt:lpstr>
      <vt:lpstr>Stock Market Portfolio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Nandanwar</dc:creator>
  <cp:lastModifiedBy>Krish Nandanwar</cp:lastModifiedBy>
  <dcterms:created xsi:type="dcterms:W3CDTF">2015-06-05T18:17:20Z</dcterms:created>
  <dcterms:modified xsi:type="dcterms:W3CDTF">2026-05-30T06:03:13Z</dcterms:modified>
</cp:coreProperties>
</file>