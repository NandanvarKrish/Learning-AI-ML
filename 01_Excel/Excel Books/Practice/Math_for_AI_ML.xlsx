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Krish\01_Excel\Excel Books\"/>
    </mc:Choice>
  </mc:AlternateContent>
  <xr:revisionPtr revIDLastSave="0" documentId="13_ncr:1_{F2660FEC-8170-4C23-9523-0013056740E6}" xr6:coauthVersionLast="47" xr6:coauthVersionMax="47" xr10:uidLastSave="{00000000-0000-0000-0000-000000000000}"/>
  <bookViews>
    <workbookView xWindow="-120" yWindow="-120" windowWidth="24240" windowHeight="13140" activeTab="1" xr2:uid="{8D87D546-0F37-4297-8B04-4A82BD9A4D35}"/>
  </bookViews>
  <sheets>
    <sheet name="Standard Deviation" sheetId="1" r:id="rId1"/>
    <sheet name="Final Tas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" i="2" l="1"/>
  <c r="G2" i="2"/>
  <c r="G3" i="2"/>
  <c r="G4" i="2"/>
  <c r="G5" i="2"/>
  <c r="G6" i="2"/>
  <c r="G7" i="2"/>
  <c r="G8" i="2"/>
  <c r="G9" i="2"/>
  <c r="G10" i="2"/>
  <c r="G11" i="2"/>
  <c r="F2" i="2"/>
  <c r="F3" i="2"/>
  <c r="C18" i="2" s="1"/>
  <c r="F4" i="2"/>
  <c r="F5" i="2"/>
  <c r="F6" i="2"/>
  <c r="F7" i="2"/>
  <c r="F8" i="2"/>
  <c r="F9" i="2"/>
  <c r="F10" i="2"/>
  <c r="F11" i="2"/>
  <c r="D17" i="2"/>
  <c r="C17" i="2"/>
  <c r="D16" i="2"/>
  <c r="C16" i="2"/>
  <c r="C15" i="2"/>
  <c r="C14" i="2"/>
  <c r="C13" i="2"/>
  <c r="G2" i="1"/>
  <c r="G3" i="1"/>
  <c r="B7" i="1"/>
  <c r="A7" i="1"/>
</calcChain>
</file>

<file path=xl/sharedStrings.xml><?xml version="1.0" encoding="utf-8"?>
<sst xmlns="http://schemas.openxmlformats.org/spreadsheetml/2006/main" count="41" uniqueCount="41">
  <si>
    <t>CLASS-A</t>
  </si>
  <si>
    <t>CLASS-B</t>
  </si>
  <si>
    <t>More Accurate</t>
  </si>
  <si>
    <t>Less Accurate</t>
  </si>
  <si>
    <t>Heights(in cm)</t>
  </si>
  <si>
    <t>Average</t>
  </si>
  <si>
    <t>stdev.s</t>
  </si>
  <si>
    <t>Name</t>
  </si>
  <si>
    <t>Krish</t>
  </si>
  <si>
    <t>Satyam</t>
  </si>
  <si>
    <t>Dhirendra</t>
  </si>
  <si>
    <t>Ved</t>
  </si>
  <si>
    <t>Aarya</t>
  </si>
  <si>
    <t>Atharv</t>
  </si>
  <si>
    <t>Amar</t>
  </si>
  <si>
    <t>ID</t>
  </si>
  <si>
    <t>ML001</t>
  </si>
  <si>
    <t>ML002</t>
  </si>
  <si>
    <t>ML003</t>
  </si>
  <si>
    <t>ML004</t>
  </si>
  <si>
    <t>ML005</t>
  </si>
  <si>
    <t>ML006</t>
  </si>
  <si>
    <t>ML007</t>
  </si>
  <si>
    <t>ML008</t>
  </si>
  <si>
    <t>ML009</t>
  </si>
  <si>
    <t>ML010</t>
  </si>
  <si>
    <t>Veer</t>
  </si>
  <si>
    <t>Sanchit</t>
  </si>
  <si>
    <t>Harsh</t>
  </si>
  <si>
    <t>StudyHours</t>
  </si>
  <si>
    <t>Attendence</t>
  </si>
  <si>
    <t>Score</t>
  </si>
  <si>
    <t>Mean</t>
  </si>
  <si>
    <t>Median</t>
  </si>
  <si>
    <t>STD Dev</t>
  </si>
  <si>
    <t>Correlation</t>
  </si>
  <si>
    <t>Straight Line</t>
  </si>
  <si>
    <t>P_Pass</t>
  </si>
  <si>
    <t>Probability</t>
  </si>
  <si>
    <t>Dot Product</t>
  </si>
  <si>
    <t>Weighted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</si>
</sst>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rgb="FF18243A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0">
    <dxf>
      <numFmt numFmtId="2" formatCode="0.0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B4D80F-E87E-41EA-A775-77A12852505B}" name="Students" displayName="Students" ref="A1:G11" totalsRowShown="0" headerRowDxfId="3" dataDxfId="2">
  <autoFilter ref="A1:G11" xr:uid="{0DB4D80F-E87E-41EA-A775-77A12852505B}"/>
  <tableColumns count="7">
    <tableColumn id="1" xr3:uid="{19B82F70-7F7D-4774-BD6B-18F92BB52B48}" name="ID" dataDxfId="8"/>
    <tableColumn id="2" xr3:uid="{E719B092-3056-4B10-A971-32FDA11EFBD8}" name="Name" dataDxfId="7"/>
    <tableColumn id="3" xr3:uid="{6A15B03D-D9CF-4A28-8F44-C32D253940D5}" name="StudyHours" dataDxfId="6"/>
    <tableColumn id="4" xr3:uid="{B55085FE-5A99-4304-B8F1-EEF705C67825}" name="Attendence" dataDxfId="5"/>
    <tableColumn id="5" xr3:uid="{53FA5BED-33B7-4C31-9B12-3948F58FE0A7}" name="Score" dataDxfId="4"/>
    <tableColumn id="6" xr3:uid="{0C1C0AEC-AF06-434F-9A89-3038026CE02F}" name="P_Pass" dataDxfId="1">
      <calculatedColumnFormula>IF(Students[[#This Row],[Score]]&gt;=60,1,0)</calculatedColumnFormula>
    </tableColumn>
    <tableColumn id="7" xr3:uid="{4B05604C-DF42-4D2D-8B03-1FDFCAA857AB}" name="Weighted Score" dataDxfId="0">
      <calculatedColumnFormula>(Students[[#This Row],[StudyHours]]*0.4) + (Students[[#This Row],[Attendence]]*0.006)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56656-8C43-4B7E-A6B8-87B45DECF7EA}">
  <dimension ref="A1:G8"/>
  <sheetViews>
    <sheetView zoomScale="130" zoomScaleNormal="130" workbookViewId="0">
      <selection activeCell="C1" sqref="C1"/>
    </sheetView>
  </sheetViews>
  <sheetFormatPr defaultRowHeight="15" x14ac:dyDescent="0.25"/>
  <cols>
    <col min="1" max="1" width="14" style="1" bestFit="1" customWidth="1"/>
    <col min="2" max="2" width="13.140625" style="1" bestFit="1" customWidth="1"/>
    <col min="3" max="4" width="9.140625" style="1"/>
    <col min="5" max="5" width="14" style="1" bestFit="1" customWidth="1"/>
    <col min="6" max="16384" width="9.140625" style="1"/>
  </cols>
  <sheetData>
    <row r="1" spans="1:7" x14ac:dyDescent="0.25">
      <c r="A1" s="1" t="s">
        <v>0</v>
      </c>
      <c r="B1" s="1" t="s">
        <v>1</v>
      </c>
      <c r="E1" s="1" t="s">
        <v>4</v>
      </c>
    </row>
    <row r="2" spans="1:7" x14ac:dyDescent="0.25">
      <c r="A2" s="1">
        <v>70</v>
      </c>
      <c r="B2" s="1">
        <v>50</v>
      </c>
      <c r="E2" s="1">
        <v>160</v>
      </c>
      <c r="F2" s="1" t="s">
        <v>5</v>
      </c>
      <c r="G2" s="1">
        <f>AVERAGE(E2:E7)</f>
        <v>174.16666666666666</v>
      </c>
    </row>
    <row r="3" spans="1:7" x14ac:dyDescent="0.25">
      <c r="A3" s="1">
        <v>72</v>
      </c>
      <c r="B3" s="1">
        <v>90</v>
      </c>
      <c r="E3" s="1">
        <v>165</v>
      </c>
      <c r="F3" s="1" t="s">
        <v>6</v>
      </c>
      <c r="G3" s="1">
        <f>_xlfn.STDEV.S(E2:E7)</f>
        <v>18.049007359593677</v>
      </c>
    </row>
    <row r="4" spans="1:7" x14ac:dyDescent="0.25">
      <c r="A4" s="1">
        <v>71</v>
      </c>
      <c r="B4" s="1">
        <v>60</v>
      </c>
      <c r="E4" s="1">
        <v>170</v>
      </c>
    </row>
    <row r="5" spans="1:7" x14ac:dyDescent="0.25">
      <c r="A5" s="1">
        <v>73</v>
      </c>
      <c r="B5" s="1">
        <v>85</v>
      </c>
      <c r="E5" s="1">
        <v>172</v>
      </c>
    </row>
    <row r="6" spans="1:7" x14ac:dyDescent="0.25">
      <c r="A6" s="1">
        <v>70</v>
      </c>
      <c r="B6" s="1">
        <v>75</v>
      </c>
      <c r="E6" s="1">
        <v>168</v>
      </c>
    </row>
    <row r="7" spans="1:7" x14ac:dyDescent="0.25">
      <c r="A7" s="1">
        <f>_xlfn.STDEV.S(A2:A6)</f>
        <v>1.3038404810405297</v>
      </c>
      <c r="B7" s="1">
        <f>_xlfn.STDEV.S(B2:B6)</f>
        <v>16.80773631397161</v>
      </c>
      <c r="E7" s="1">
        <v>210</v>
      </c>
    </row>
    <row r="8" spans="1:7" x14ac:dyDescent="0.25">
      <c r="A8" s="1" t="s">
        <v>2</v>
      </c>
      <c r="B8" s="1" t="s">
        <v>3</v>
      </c>
    </row>
  </sheetData>
  <conditionalFormatting sqref="A1:XFD1048576">
    <cfRule type="cellIs" dxfId="9" priority="1" operator="equal">
      <formula>" 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05EF4-AE58-470F-8B1B-1D1934C2F6B0}">
  <dimension ref="A1:G19"/>
  <sheetViews>
    <sheetView tabSelected="1" zoomScale="115" zoomScaleNormal="115" workbookViewId="0">
      <selection activeCell="J20" sqref="J20"/>
    </sheetView>
  </sheetViews>
  <sheetFormatPr defaultRowHeight="15" x14ac:dyDescent="0.25"/>
  <cols>
    <col min="1" max="1" width="8" style="1" bestFit="1" customWidth="1"/>
    <col min="2" max="2" width="12" style="1" bestFit="1" customWidth="1"/>
    <col min="3" max="3" width="16.28515625" style="1" bestFit="1" customWidth="1"/>
    <col min="4" max="4" width="16.140625" style="1" bestFit="1" customWidth="1"/>
    <col min="5" max="5" width="10.85546875" style="1" bestFit="1" customWidth="1"/>
    <col min="6" max="6" width="12.28515625" style="1" bestFit="1" customWidth="1"/>
    <col min="7" max="7" width="20.140625" style="1" bestFit="1" customWidth="1"/>
    <col min="8" max="16384" width="9.140625" style="1"/>
  </cols>
  <sheetData>
    <row r="1" spans="1:7" s="2" customFormat="1" x14ac:dyDescent="0.25">
      <c r="A1" s="2" t="s">
        <v>15</v>
      </c>
      <c r="B1" s="2" t="s">
        <v>7</v>
      </c>
      <c r="C1" s="2" t="s">
        <v>29</v>
      </c>
      <c r="D1" s="2" t="s">
        <v>30</v>
      </c>
      <c r="E1" s="2" t="s">
        <v>31</v>
      </c>
      <c r="F1" s="2" t="s">
        <v>37</v>
      </c>
      <c r="G1" s="2" t="s">
        <v>40</v>
      </c>
    </row>
    <row r="2" spans="1:7" x14ac:dyDescent="0.25">
      <c r="A2" s="1" t="s">
        <v>16</v>
      </c>
      <c r="B2" s="1" t="s">
        <v>8</v>
      </c>
      <c r="C2" s="1">
        <v>1</v>
      </c>
      <c r="D2" s="1">
        <v>70</v>
      </c>
      <c r="E2" s="1">
        <v>84</v>
      </c>
      <c r="F2" s="3">
        <f>IF(Students[[#This Row],[Score]]&gt;=60,1,0)</f>
        <v>1</v>
      </c>
      <c r="G2" s="5">
        <f>(Students[[#This Row],[StudyHours]]*0.4) + (Students[[#This Row],[Attendence]]*0.006)</f>
        <v>0.82000000000000006</v>
      </c>
    </row>
    <row r="3" spans="1:7" x14ac:dyDescent="0.25">
      <c r="A3" s="1" t="s">
        <v>17</v>
      </c>
      <c r="B3" s="1" t="s">
        <v>9</v>
      </c>
      <c r="C3" s="1">
        <v>6</v>
      </c>
      <c r="D3" s="1">
        <v>53</v>
      </c>
      <c r="E3" s="1">
        <v>39</v>
      </c>
      <c r="F3" s="1">
        <f>IF(Students[[#This Row],[Score]]&gt;=60,1,0)</f>
        <v>0</v>
      </c>
      <c r="G3" s="5">
        <f>(Students[[#This Row],[StudyHours]]*0.4) + (Students[[#This Row],[Attendence]]*0.006)</f>
        <v>2.7180000000000004</v>
      </c>
    </row>
    <row r="4" spans="1:7" x14ac:dyDescent="0.25">
      <c r="A4" s="1" t="s">
        <v>18</v>
      </c>
      <c r="B4" s="1" t="s">
        <v>10</v>
      </c>
      <c r="C4" s="1">
        <v>10</v>
      </c>
      <c r="D4" s="1">
        <v>54</v>
      </c>
      <c r="E4" s="1">
        <v>63</v>
      </c>
      <c r="F4" s="1">
        <f>IF(Students[[#This Row],[Score]]&gt;=60,1,0)</f>
        <v>1</v>
      </c>
      <c r="G4" s="5">
        <f>(Students[[#This Row],[StudyHours]]*0.4) + (Students[[#This Row],[Attendence]]*0.006)</f>
        <v>4.3239999999999998</v>
      </c>
    </row>
    <row r="5" spans="1:7" x14ac:dyDescent="0.25">
      <c r="A5" s="1" t="s">
        <v>19</v>
      </c>
      <c r="B5" s="1" t="s">
        <v>11</v>
      </c>
      <c r="C5" s="1">
        <v>2</v>
      </c>
      <c r="D5" s="1">
        <v>82</v>
      </c>
      <c r="E5" s="1">
        <v>40</v>
      </c>
      <c r="F5" s="1">
        <f>IF(Students[[#This Row],[Score]]&gt;=60,1,0)</f>
        <v>0</v>
      </c>
      <c r="G5" s="5">
        <f>(Students[[#This Row],[StudyHours]]*0.4) + (Students[[#This Row],[Attendence]]*0.006)</f>
        <v>1.292</v>
      </c>
    </row>
    <row r="6" spans="1:7" x14ac:dyDescent="0.25">
      <c r="A6" s="1" t="s">
        <v>20</v>
      </c>
      <c r="B6" s="1" t="s">
        <v>12</v>
      </c>
      <c r="C6" s="1">
        <v>4</v>
      </c>
      <c r="D6" s="1">
        <v>74</v>
      </c>
      <c r="E6" s="1">
        <v>83</v>
      </c>
      <c r="F6" s="1">
        <f>IF(Students[[#This Row],[Score]]&gt;=60,1,0)</f>
        <v>1</v>
      </c>
      <c r="G6" s="5">
        <f>(Students[[#This Row],[StudyHours]]*0.4) + (Students[[#This Row],[Attendence]]*0.006)</f>
        <v>2.044</v>
      </c>
    </row>
    <row r="7" spans="1:7" x14ac:dyDescent="0.25">
      <c r="A7" s="1" t="s">
        <v>21</v>
      </c>
      <c r="B7" s="1" t="s">
        <v>13</v>
      </c>
      <c r="C7" s="1">
        <v>4</v>
      </c>
      <c r="D7" s="1">
        <v>93</v>
      </c>
      <c r="E7" s="1">
        <v>46</v>
      </c>
      <c r="F7" s="1">
        <f>IF(Students[[#This Row],[Score]]&gt;=60,1,0)</f>
        <v>0</v>
      </c>
      <c r="G7" s="5">
        <f>(Students[[#This Row],[StudyHours]]*0.4) + (Students[[#This Row],[Attendence]]*0.006)</f>
        <v>2.1580000000000004</v>
      </c>
    </row>
    <row r="8" spans="1:7" x14ac:dyDescent="0.25">
      <c r="A8" s="1" t="s">
        <v>22</v>
      </c>
      <c r="B8" s="1" t="s">
        <v>14</v>
      </c>
      <c r="C8" s="1">
        <v>2</v>
      </c>
      <c r="D8" s="1">
        <v>53</v>
      </c>
      <c r="E8" s="1">
        <v>91</v>
      </c>
      <c r="F8" s="1">
        <f>IF(Students[[#This Row],[Score]]&gt;=60,1,0)</f>
        <v>1</v>
      </c>
      <c r="G8" s="5">
        <f>(Students[[#This Row],[StudyHours]]*0.4) + (Students[[#This Row],[Attendence]]*0.006)</f>
        <v>1.1180000000000001</v>
      </c>
    </row>
    <row r="9" spans="1:7" x14ac:dyDescent="0.25">
      <c r="A9" s="1" t="s">
        <v>23</v>
      </c>
      <c r="B9" s="1" t="s">
        <v>26</v>
      </c>
      <c r="C9" s="1">
        <v>5</v>
      </c>
      <c r="D9" s="1">
        <v>64</v>
      </c>
      <c r="E9" s="1">
        <v>66</v>
      </c>
      <c r="F9" s="1">
        <f>IF(Students[[#This Row],[Score]]&gt;=60,1,0)</f>
        <v>1</v>
      </c>
      <c r="G9" s="5">
        <f>(Students[[#This Row],[StudyHours]]*0.4) + (Students[[#This Row],[Attendence]]*0.006)</f>
        <v>2.3839999999999999</v>
      </c>
    </row>
    <row r="10" spans="1:7" x14ac:dyDescent="0.25">
      <c r="A10" s="1" t="s">
        <v>24</v>
      </c>
      <c r="B10" s="1" t="s">
        <v>27</v>
      </c>
      <c r="C10" s="1">
        <v>1</v>
      </c>
      <c r="D10" s="1">
        <v>79</v>
      </c>
      <c r="E10" s="1">
        <v>31</v>
      </c>
      <c r="F10" s="1">
        <f>IF(Students[[#This Row],[Score]]&gt;=60,1,0)</f>
        <v>0</v>
      </c>
      <c r="G10" s="5">
        <f>(Students[[#This Row],[StudyHours]]*0.4) + (Students[[#This Row],[Attendence]]*0.006)</f>
        <v>0.87400000000000011</v>
      </c>
    </row>
    <row r="11" spans="1:7" x14ac:dyDescent="0.25">
      <c r="A11" s="1" t="s">
        <v>25</v>
      </c>
      <c r="B11" s="1" t="s">
        <v>28</v>
      </c>
      <c r="C11" s="1">
        <v>2</v>
      </c>
      <c r="D11" s="1">
        <v>69</v>
      </c>
      <c r="E11" s="1">
        <v>36</v>
      </c>
      <c r="F11" s="1">
        <f>IF(Students[[#This Row],[Score]]&gt;=60,1,0)</f>
        <v>0</v>
      </c>
      <c r="G11" s="5">
        <f>(Students[[#This Row],[StudyHours]]*0.4) + (Students[[#This Row],[Attendence]]*0.006)</f>
        <v>1.214</v>
      </c>
    </row>
    <row r="13" spans="1:7" x14ac:dyDescent="0.25">
      <c r="B13" s="1" t="s">
        <v>32</v>
      </c>
      <c r="C13" s="4">
        <f>AVERAGE(Students[Score])</f>
        <v>57.9</v>
      </c>
    </row>
    <row r="14" spans="1:7" x14ac:dyDescent="0.25">
      <c r="B14" s="1" t="s">
        <v>33</v>
      </c>
      <c r="C14" s="4">
        <f>MEDIAN(Students[Score])</f>
        <v>54.5</v>
      </c>
    </row>
    <row r="15" spans="1:7" x14ac:dyDescent="0.25">
      <c r="B15" s="1" t="s">
        <v>34</v>
      </c>
      <c r="C15" s="4">
        <f>_xlfn.STDEV.S(Students[Score])</f>
        <v>22.412546089684287</v>
      </c>
    </row>
    <row r="16" spans="1:7" x14ac:dyDescent="0.25">
      <c r="B16" s="1" t="s">
        <v>35</v>
      </c>
      <c r="C16" s="4">
        <f>CORREL(Students[StudyHours],Students[Score])</f>
        <v>2.9665045021094426E-2</v>
      </c>
      <c r="D16" s="4">
        <f>CORREL(Students[Attendence],Students[Score])</f>
        <v>-0.3606529698189932</v>
      </c>
    </row>
    <row r="17" spans="2:4" x14ac:dyDescent="0.25">
      <c r="B17" s="1" t="s">
        <v>36</v>
      </c>
      <c r="C17" s="4">
        <f>SLOPE(Students[Score],Students[StudyHours])</f>
        <v>0.23823109843081314</v>
      </c>
      <c r="D17" s="4">
        <f>INTERCEPT(Students[Score],Students[StudyHours])</f>
        <v>57.018544935805991</v>
      </c>
    </row>
    <row r="18" spans="2:4" x14ac:dyDescent="0.25">
      <c r="B18" s="1" t="s">
        <v>38</v>
      </c>
      <c r="C18" s="1">
        <f>(COUNT(Students[P_Pass]))/10</f>
        <v>1</v>
      </c>
    </row>
    <row r="19" spans="2:4" x14ac:dyDescent="0.25">
      <c r="B19" s="1" t="s">
        <v>39</v>
      </c>
      <c r="C19" s="4">
        <f>SUMPRODUCT(Students[Weighted Score])</f>
        <v>18.945999999999998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Standard Deviation</vt:lpstr>
      <vt:lpstr>Final Task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Batch5</dc:creator>
  <cp:lastModifiedBy>Batch5</cp:lastModifiedBy>
  <dcterms:created xsi:type="dcterms:W3CDTF">2026-05-12T10:21:27Z</dcterms:created>
  <dcterms:modified xsi:type="dcterms:W3CDTF">2026-05-13T10:13:02Z</dcterms:modified>
</cp:coreProperties>
</file>