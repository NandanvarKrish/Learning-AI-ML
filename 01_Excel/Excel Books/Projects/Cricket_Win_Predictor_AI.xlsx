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rish\01_Excel\Excel Books\"/>
    </mc:Choice>
  </mc:AlternateContent>
  <xr:revisionPtr revIDLastSave="0" documentId="13_ncr:1_{C3E45B9B-EE98-476C-96EC-AD4C023DFABE}" xr6:coauthVersionLast="47" xr6:coauthVersionMax="47" xr10:uidLastSave="{00000000-0000-0000-0000-000000000000}"/>
  <bookViews>
    <workbookView xWindow="-120" yWindow="-120" windowWidth="24240" windowHeight="13140" firstSheet="1" activeTab="2" xr2:uid="{A7F21675-D254-420F-BB46-4AAD40F3C2A4}"/>
  </bookViews>
  <sheets>
    <sheet name="List Data" sheetId="2" r:id="rId1"/>
    <sheet name="Match Input" sheetId="1" r:id="rId2"/>
    <sheet name="Scoring Engine" sheetId="6" r:id="rId3"/>
    <sheet name="Prediction Dashboard" sheetId="4" r:id="rId4"/>
    <sheet name="Historical Dat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6" l="1"/>
  <c r="B7" i="6"/>
  <c r="B6" i="6"/>
  <c r="B5" i="6"/>
  <c r="B26" i="1"/>
  <c r="B4" i="6"/>
  <c r="B3" i="6"/>
  <c r="B19" i="1"/>
</calcChain>
</file>

<file path=xl/sharedStrings.xml><?xml version="1.0" encoding="utf-8"?>
<sst xmlns="http://schemas.openxmlformats.org/spreadsheetml/2006/main" count="59" uniqueCount="54">
  <si>
    <t>Batting Team</t>
  </si>
  <si>
    <t>Bowling Team</t>
  </si>
  <si>
    <t>Match Type</t>
  </si>
  <si>
    <t>Pitch Type</t>
  </si>
  <si>
    <t>Toss Winner</t>
  </si>
  <si>
    <t>Elected To</t>
  </si>
  <si>
    <t>Team and Match Info</t>
  </si>
  <si>
    <t>Bat</t>
  </si>
  <si>
    <t>Bowl</t>
  </si>
  <si>
    <t>Batting</t>
  </si>
  <si>
    <t>Bowling</t>
  </si>
  <si>
    <t>Balanced</t>
  </si>
  <si>
    <t>Spin-Friendly</t>
  </si>
  <si>
    <t>Pace-Friendly</t>
  </si>
  <si>
    <t>T20</t>
  </si>
  <si>
    <t>ODI</t>
  </si>
  <si>
    <t>India</t>
  </si>
  <si>
    <t>Australia</t>
  </si>
  <si>
    <t>1st Innings Data</t>
  </si>
  <si>
    <t>Total Runs Scored</t>
  </si>
  <si>
    <t>Total Overs Batted</t>
  </si>
  <si>
    <t>Wickets Lost</t>
  </si>
  <si>
    <t>Extras</t>
  </si>
  <si>
    <t>Top Scorer Runs</t>
  </si>
  <si>
    <t>Last 5 Overs Runs</t>
  </si>
  <si>
    <t>Powerplay Runs</t>
  </si>
  <si>
    <t>2nd Innings Data</t>
  </si>
  <si>
    <t>Target</t>
  </si>
  <si>
    <t>Run Scored So Far</t>
  </si>
  <si>
    <t>Overs Completed</t>
  </si>
  <si>
    <t>Wickets Lost So Far</t>
  </si>
  <si>
    <t>Boundaries Hit(4s &amp; 6s)</t>
  </si>
  <si>
    <t>Dot Balls In Last Five Overs</t>
  </si>
  <si>
    <t>RRR</t>
  </si>
  <si>
    <t>Cricket Win Predictor -AI Scoring Engine</t>
  </si>
  <si>
    <t>Factor</t>
  </si>
  <si>
    <t>Raw Value</t>
  </si>
  <si>
    <t>Score(0-100)</t>
  </si>
  <si>
    <t>Weight</t>
  </si>
  <si>
    <t>Run Rate Advantage</t>
  </si>
  <si>
    <t>Wickets In Hand</t>
  </si>
  <si>
    <t>Required RR v/s Current RR</t>
  </si>
  <si>
    <t>Momentum Last 5 Overs</t>
  </si>
  <si>
    <t>Pitch Advantage</t>
  </si>
  <si>
    <t>Boundary Rate</t>
  </si>
  <si>
    <t>Weight Total (Must 100%)</t>
  </si>
  <si>
    <t>Final Calculation</t>
  </si>
  <si>
    <t>RR Advantage Score x Weight</t>
  </si>
  <si>
    <t>Wickets In Hand Score x Weight</t>
  </si>
  <si>
    <t>RRR v/s CRR Score x Weight</t>
  </si>
  <si>
    <t>Momentum Score x Weight</t>
  </si>
  <si>
    <t>Pitch Advantage Score x Weight</t>
  </si>
  <si>
    <t>Boundary Rate Score x Weight</t>
  </si>
  <si>
    <t>WIN PROBABILITY SCORE (0-100)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</si>
</sst>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1" fillId="3" borderId="2" applyNumberFormat="0" applyFont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3" borderId="2" xfId="3" applyFont="1" applyAlignment="1">
      <alignment horizontal="center" vertical="center"/>
    </xf>
    <xf numFmtId="0" fontId="2" fillId="2" borderId="1" xfId="2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</cellXfs>
  <cellStyles count="4">
    <cellStyle name="Normal" xfId="0" builtinId="0"/>
    <cellStyle name="Note" xfId="3" builtinId="10"/>
    <cellStyle name="Output" xfId="2" builtinId="21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A0AF9-6EE6-4D1F-A9B8-CB6601C6B00B}">
  <dimension ref="A1:C5"/>
  <sheetViews>
    <sheetView workbookViewId="0">
      <selection activeCell="A5" sqref="A5"/>
    </sheetView>
  </sheetViews>
  <sheetFormatPr defaultRowHeight="15" x14ac:dyDescent="0.25"/>
  <sheetData>
    <row r="1" spans="1:3" x14ac:dyDescent="0.25">
      <c r="A1" t="s">
        <v>7</v>
      </c>
      <c r="C1" t="s">
        <v>9</v>
      </c>
    </row>
    <row r="2" spans="1:3" x14ac:dyDescent="0.25">
      <c r="A2" t="s">
        <v>8</v>
      </c>
      <c r="C2" t="s">
        <v>10</v>
      </c>
    </row>
    <row r="3" spans="1:3" x14ac:dyDescent="0.25">
      <c r="C3" t="s">
        <v>11</v>
      </c>
    </row>
    <row r="4" spans="1:3" x14ac:dyDescent="0.25">
      <c r="A4" t="s">
        <v>14</v>
      </c>
      <c r="C4" t="s">
        <v>12</v>
      </c>
    </row>
    <row r="5" spans="1:3" x14ac:dyDescent="0.25">
      <c r="A5" t="s">
        <v>15</v>
      </c>
      <c r="C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4839F-9B35-435A-8FB1-201CF5B4A483}">
  <dimension ref="A1:B26"/>
  <sheetViews>
    <sheetView topLeftCell="A7" zoomScale="115" zoomScaleNormal="115" workbookViewId="0">
      <selection activeCell="A27" sqref="A27"/>
    </sheetView>
  </sheetViews>
  <sheetFormatPr defaultRowHeight="15" x14ac:dyDescent="0.25"/>
  <cols>
    <col min="1" max="1" width="24.85546875" style="1" bestFit="1" customWidth="1"/>
    <col min="2" max="2" width="34.5703125" style="1" customWidth="1"/>
    <col min="3" max="16384" width="9.140625" style="1"/>
  </cols>
  <sheetData>
    <row r="1" spans="1:2" ht="21" x14ac:dyDescent="0.25">
      <c r="A1" s="8" t="s">
        <v>6</v>
      </c>
      <c r="B1" s="8"/>
    </row>
    <row r="2" spans="1:2" x14ac:dyDescent="0.25">
      <c r="A2" s="2" t="s">
        <v>0</v>
      </c>
      <c r="B2" s="3" t="s">
        <v>16</v>
      </c>
    </row>
    <row r="3" spans="1:2" x14ac:dyDescent="0.25">
      <c r="A3" s="2" t="s">
        <v>1</v>
      </c>
      <c r="B3" s="3" t="s">
        <v>17</v>
      </c>
    </row>
    <row r="4" spans="1:2" x14ac:dyDescent="0.25">
      <c r="A4" s="2" t="s">
        <v>2</v>
      </c>
      <c r="B4" s="3" t="s">
        <v>14</v>
      </c>
    </row>
    <row r="5" spans="1:2" x14ac:dyDescent="0.25">
      <c r="A5" s="2" t="s">
        <v>3</v>
      </c>
      <c r="B5" s="3" t="s">
        <v>9</v>
      </c>
    </row>
    <row r="6" spans="1:2" x14ac:dyDescent="0.25">
      <c r="A6" s="2" t="s">
        <v>4</v>
      </c>
      <c r="B6" s="3" t="s">
        <v>16</v>
      </c>
    </row>
    <row r="7" spans="1:2" x14ac:dyDescent="0.25">
      <c r="A7" s="2" t="s">
        <v>5</v>
      </c>
      <c r="B7" s="3" t="s">
        <v>7</v>
      </c>
    </row>
    <row r="9" spans="1:2" ht="21" x14ac:dyDescent="0.25">
      <c r="A9" s="8" t="s">
        <v>18</v>
      </c>
      <c r="B9" s="8"/>
    </row>
    <row r="10" spans="1:2" x14ac:dyDescent="0.25">
      <c r="A10" s="2" t="s">
        <v>19</v>
      </c>
      <c r="B10" s="3">
        <v>187</v>
      </c>
    </row>
    <row r="11" spans="1:2" x14ac:dyDescent="0.25">
      <c r="A11" s="2" t="s">
        <v>20</v>
      </c>
      <c r="B11" s="3">
        <v>20</v>
      </c>
    </row>
    <row r="12" spans="1:2" x14ac:dyDescent="0.25">
      <c r="A12" s="2" t="s">
        <v>21</v>
      </c>
      <c r="B12" s="3">
        <v>5</v>
      </c>
    </row>
    <row r="13" spans="1:2" x14ac:dyDescent="0.25">
      <c r="A13" s="2" t="s">
        <v>22</v>
      </c>
      <c r="B13" s="3">
        <v>12</v>
      </c>
    </row>
    <row r="14" spans="1:2" x14ac:dyDescent="0.25">
      <c r="A14" s="2" t="s">
        <v>23</v>
      </c>
      <c r="B14" s="3">
        <v>72</v>
      </c>
    </row>
    <row r="15" spans="1:2" x14ac:dyDescent="0.25">
      <c r="A15" s="2" t="s">
        <v>24</v>
      </c>
      <c r="B15" s="3">
        <v>68</v>
      </c>
    </row>
    <row r="16" spans="1:2" x14ac:dyDescent="0.25">
      <c r="A16" s="2" t="s">
        <v>25</v>
      </c>
      <c r="B16" s="3">
        <v>52</v>
      </c>
    </row>
    <row r="18" spans="1:2" ht="21" x14ac:dyDescent="0.25">
      <c r="A18" s="8" t="s">
        <v>26</v>
      </c>
      <c r="B18" s="8"/>
    </row>
    <row r="19" spans="1:2" x14ac:dyDescent="0.25">
      <c r="A19" s="2" t="s">
        <v>27</v>
      </c>
      <c r="B19" s="3">
        <f>B10+1</f>
        <v>188</v>
      </c>
    </row>
    <row r="20" spans="1:2" x14ac:dyDescent="0.25">
      <c r="A20" s="2" t="s">
        <v>28</v>
      </c>
      <c r="B20" s="3">
        <v>98</v>
      </c>
    </row>
    <row r="21" spans="1:2" x14ac:dyDescent="0.25">
      <c r="A21" s="2" t="s">
        <v>29</v>
      </c>
      <c r="B21" s="3">
        <v>12.3</v>
      </c>
    </row>
    <row r="22" spans="1:2" x14ac:dyDescent="0.25">
      <c r="A22" s="2" t="s">
        <v>30</v>
      </c>
      <c r="B22" s="3">
        <v>3</v>
      </c>
    </row>
    <row r="23" spans="1:2" x14ac:dyDescent="0.25">
      <c r="A23" s="2" t="s">
        <v>24</v>
      </c>
      <c r="B23" s="3">
        <v>45</v>
      </c>
    </row>
    <row r="24" spans="1:2" x14ac:dyDescent="0.25">
      <c r="A24" s="2" t="s">
        <v>31</v>
      </c>
      <c r="B24" s="3">
        <v>11</v>
      </c>
    </row>
    <row r="25" spans="1:2" x14ac:dyDescent="0.25">
      <c r="A25" s="2" t="s">
        <v>32</v>
      </c>
      <c r="B25" s="3">
        <v>8</v>
      </c>
    </row>
    <row r="26" spans="1:2" x14ac:dyDescent="0.25">
      <c r="A26" s="2" t="s">
        <v>33</v>
      </c>
      <c r="B26" s="3">
        <f>B10/B11</f>
        <v>9.35</v>
      </c>
    </row>
  </sheetData>
  <mergeCells count="3">
    <mergeCell ref="A1:B1"/>
    <mergeCell ref="A9:B9"/>
    <mergeCell ref="A18:B18"/>
  </mergeCells>
  <dataValidations count="1">
    <dataValidation type="list" allowBlank="1" showInputMessage="1" showErrorMessage="1" sqref="B6" xr:uid="{385B9C48-BD5C-4FE2-9231-07A0EC45718D}">
      <formula1>$B$2:$B$3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84D4DE6-EDD4-4C86-8E50-AA2490D373BC}">
          <x14:formula1>
            <xm:f>'List Data'!$A$1:$A$2</xm:f>
          </x14:formula1>
          <xm:sqref>B7</xm:sqref>
        </x14:dataValidation>
        <x14:dataValidation type="list" allowBlank="1" showInputMessage="1" showErrorMessage="1" xr:uid="{BFFD68DB-D6AC-43B3-AAC8-200778F5767D}">
          <x14:formula1>
            <xm:f>'List Data'!$C$1:$C$5</xm:f>
          </x14:formula1>
          <xm:sqref>B5</xm:sqref>
        </x14:dataValidation>
        <x14:dataValidation type="list" allowBlank="1" showInputMessage="1" showErrorMessage="1" xr:uid="{22943F99-4543-4592-806F-5503DDE1104C}">
          <x14:formula1>
            <xm:f>'List Data'!$A$4:$A$5</xm:f>
          </x14:formula1>
          <xm:sqref>B4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A1B66-E302-4930-8B13-AF04A98190F8}">
  <dimension ref="A1:D18"/>
  <sheetViews>
    <sheetView tabSelected="1" zoomScale="130" zoomScaleNormal="130" workbookViewId="0">
      <selection activeCell="C3" sqref="C3"/>
    </sheetView>
  </sheetViews>
  <sheetFormatPr defaultRowHeight="15" x14ac:dyDescent="0.25"/>
  <cols>
    <col min="1" max="1" width="30" bestFit="1" customWidth="1"/>
    <col min="2" max="2" width="10.28515625" bestFit="1" customWidth="1"/>
    <col min="3" max="3" width="12.140625" bestFit="1" customWidth="1"/>
    <col min="4" max="4" width="7.42578125" bestFit="1" customWidth="1"/>
  </cols>
  <sheetData>
    <row r="1" spans="1:4" ht="21" x14ac:dyDescent="0.25">
      <c r="A1" s="9" t="s">
        <v>34</v>
      </c>
      <c r="B1" s="9"/>
      <c r="C1" s="9"/>
      <c r="D1" s="9"/>
    </row>
    <row r="2" spans="1:4" x14ac:dyDescent="0.25">
      <c r="A2" s="4" t="s">
        <v>35</v>
      </c>
      <c r="B2" s="4" t="s">
        <v>36</v>
      </c>
      <c r="C2" s="4" t="s">
        <v>37</v>
      </c>
      <c r="D2" s="4" t="s">
        <v>38</v>
      </c>
    </row>
    <row r="3" spans="1:4" x14ac:dyDescent="0.25">
      <c r="A3" s="5" t="s">
        <v>39</v>
      </c>
      <c r="B3" s="6">
        <f>'Match Input'!B20/'Match Input'!B21</f>
        <v>7.9674796747967473</v>
      </c>
      <c r="C3" s="5"/>
      <c r="D3" s="7">
        <v>0.28000000000000003</v>
      </c>
    </row>
    <row r="4" spans="1:4" x14ac:dyDescent="0.25">
      <c r="A4" s="5" t="s">
        <v>40</v>
      </c>
      <c r="B4" s="5">
        <f>10-'Match Input'!B22</f>
        <v>7</v>
      </c>
      <c r="C4" s="5"/>
      <c r="D4" s="7">
        <v>0.25</v>
      </c>
    </row>
    <row r="5" spans="1:4" x14ac:dyDescent="0.25">
      <c r="A5" s="5" t="s">
        <v>41</v>
      </c>
      <c r="B5" s="6">
        <f>'Match Input'!B26/'Scoring Engine'!B3</f>
        <v>1.1735204081632653</v>
      </c>
      <c r="C5" s="5"/>
      <c r="D5" s="7">
        <v>0.22</v>
      </c>
    </row>
    <row r="6" spans="1:4" x14ac:dyDescent="0.25">
      <c r="A6" s="5" t="s">
        <v>42</v>
      </c>
      <c r="B6" s="5">
        <f>'Match Input'!B23</f>
        <v>45</v>
      </c>
      <c r="C6" s="5"/>
      <c r="D6" s="7">
        <v>0.12</v>
      </c>
    </row>
    <row r="7" spans="1:4" x14ac:dyDescent="0.25">
      <c r="A7" s="5" t="s">
        <v>43</v>
      </c>
      <c r="B7" s="5" t="str">
        <f>'Match Input'!B2</f>
        <v>India</v>
      </c>
      <c r="C7" s="5"/>
      <c r="D7" s="7">
        <v>7.0000000000000007E-2</v>
      </c>
    </row>
    <row r="8" spans="1:4" x14ac:dyDescent="0.25">
      <c r="A8" s="5" t="s">
        <v>44</v>
      </c>
      <c r="B8" s="5">
        <f>'Match Input'!B24</f>
        <v>11</v>
      </c>
      <c r="C8" s="5"/>
      <c r="D8" s="7">
        <v>0.06</v>
      </c>
    </row>
    <row r="9" spans="1:4" x14ac:dyDescent="0.25">
      <c r="A9" s="5" t="s">
        <v>45</v>
      </c>
      <c r="B9" s="5"/>
      <c r="C9" s="7"/>
      <c r="D9" s="7"/>
    </row>
    <row r="11" spans="1:4" x14ac:dyDescent="0.25">
      <c r="A11" s="10" t="s">
        <v>46</v>
      </c>
      <c r="B11" s="10"/>
      <c r="C11" s="10"/>
      <c r="D11" s="10"/>
    </row>
    <row r="12" spans="1:4" x14ac:dyDescent="0.25">
      <c r="A12" s="5" t="s">
        <v>47</v>
      </c>
      <c r="B12" s="5"/>
      <c r="C12" s="5"/>
      <c r="D12" s="5"/>
    </row>
    <row r="13" spans="1:4" x14ac:dyDescent="0.25">
      <c r="A13" s="5" t="s">
        <v>48</v>
      </c>
      <c r="B13" s="5"/>
      <c r="C13" s="5"/>
      <c r="D13" s="5"/>
    </row>
    <row r="14" spans="1:4" x14ac:dyDescent="0.25">
      <c r="A14" s="5" t="s">
        <v>49</v>
      </c>
      <c r="B14" s="5"/>
      <c r="C14" s="5"/>
      <c r="D14" s="5"/>
    </row>
    <row r="15" spans="1:4" x14ac:dyDescent="0.25">
      <c r="A15" s="5" t="s">
        <v>50</v>
      </c>
      <c r="B15" s="5"/>
      <c r="C15" s="5"/>
      <c r="D15" s="5"/>
    </row>
    <row r="16" spans="1:4" x14ac:dyDescent="0.25">
      <c r="A16" s="5" t="s">
        <v>51</v>
      </c>
      <c r="B16" s="5"/>
      <c r="C16" s="5"/>
      <c r="D16" s="5"/>
    </row>
    <row r="17" spans="1:4" x14ac:dyDescent="0.25">
      <c r="A17" s="5" t="s">
        <v>52</v>
      </c>
      <c r="B17" s="5"/>
      <c r="C17" s="5"/>
      <c r="D17" s="5"/>
    </row>
    <row r="18" spans="1:4" x14ac:dyDescent="0.25">
      <c r="A18" s="5" t="s">
        <v>53</v>
      </c>
      <c r="B18" s="5"/>
      <c r="C18" s="5"/>
      <c r="D18" s="5"/>
    </row>
  </sheetData>
  <mergeCells count="2">
    <mergeCell ref="A1:D1"/>
    <mergeCell ref="A11:D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37DC6-42E1-41F8-BDC3-72477C48A2E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52666-9A58-4BEB-A12B-623E092CF64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 Data</vt:lpstr>
      <vt:lpstr>Match Input</vt:lpstr>
      <vt:lpstr>Scoring Engine</vt:lpstr>
      <vt:lpstr>Prediction Dashboard</vt:lpstr>
      <vt:lpstr>Historical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Batch3</dc:creator>
  <cp:lastModifiedBy>Batch3</cp:lastModifiedBy>
  <dcterms:created xsi:type="dcterms:W3CDTF">2026-05-22T10:20:53Z</dcterms:created>
  <dcterms:modified xsi:type="dcterms:W3CDTF">2026-05-23T11:33:05Z</dcterms:modified>
</cp:coreProperties>
</file>