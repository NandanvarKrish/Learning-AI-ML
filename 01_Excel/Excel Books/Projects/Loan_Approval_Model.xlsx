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learning\Ai and Ml\Excel\Project\"/>
    </mc:Choice>
  </mc:AlternateContent>
  <xr:revisionPtr revIDLastSave="0" documentId="13_ncr:1_{D288FAAD-E736-4564-859D-57B3C70130B5}" xr6:coauthVersionLast="47" xr6:coauthVersionMax="47" xr10:uidLastSave="{00000000-0000-0000-0000-000000000000}"/>
  <bookViews>
    <workbookView xWindow="12000" yWindow="0" windowWidth="12000" windowHeight="12900" firstSheet="1" activeTab="2" xr2:uid="{BCBB7FE4-1EFE-4C05-B489-183EA89247E0}"/>
  </bookViews>
  <sheets>
    <sheet name="Applicant Data" sheetId="1" r:id="rId1"/>
    <sheet name="Scoring Engine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3" i="3"/>
  <c r="B12" i="3"/>
  <c r="B11" i="3"/>
  <c r="B10" i="3"/>
  <c r="B9" i="3"/>
  <c r="B8" i="3"/>
  <c r="B7" i="3"/>
  <c r="B4" i="3"/>
  <c r="B6" i="3"/>
  <c r="B5" i="3"/>
  <c r="B3" i="3"/>
  <c r="E3" i="2"/>
  <c r="F3" i="2"/>
  <c r="G3" i="2"/>
  <c r="H3" i="2"/>
  <c r="I3" i="2" s="1"/>
  <c r="E4" i="2"/>
  <c r="I4" i="2" s="1"/>
  <c r="F4" i="2"/>
  <c r="G4" i="2"/>
  <c r="H4" i="2"/>
  <c r="E5" i="2"/>
  <c r="F5" i="2"/>
  <c r="I5" i="2" s="1"/>
  <c r="G5" i="2"/>
  <c r="H5" i="2"/>
  <c r="E6" i="2"/>
  <c r="F6" i="2"/>
  <c r="G6" i="2"/>
  <c r="I6" i="2" s="1"/>
  <c r="H6" i="2"/>
  <c r="E7" i="2"/>
  <c r="F7" i="2"/>
  <c r="I7" i="2" s="1"/>
  <c r="G7" i="2"/>
  <c r="H7" i="2"/>
  <c r="E8" i="2"/>
  <c r="I8" i="2" s="1"/>
  <c r="F8" i="2"/>
  <c r="G8" i="2"/>
  <c r="H8" i="2"/>
  <c r="E9" i="2"/>
  <c r="F9" i="2"/>
  <c r="I9" i="2" s="1"/>
  <c r="G9" i="2"/>
  <c r="H9" i="2"/>
  <c r="E10" i="2"/>
  <c r="F10" i="2"/>
  <c r="G10" i="2"/>
  <c r="I10" i="2" s="1"/>
  <c r="H10" i="2"/>
  <c r="E11" i="2"/>
  <c r="F11" i="2"/>
  <c r="G11" i="2"/>
  <c r="H11" i="2"/>
  <c r="I11" i="2" s="1"/>
  <c r="K2" i="2"/>
  <c r="J2" i="2"/>
  <c r="I2" i="2"/>
  <c r="H2" i="2"/>
  <c r="G2" i="2"/>
  <c r="F2" i="2"/>
  <c r="E2" i="2"/>
  <c r="D3" i="2"/>
  <c r="D4" i="2"/>
  <c r="D5" i="2"/>
  <c r="D6" i="2"/>
  <c r="D7" i="2"/>
  <c r="D8" i="2"/>
  <c r="D9" i="2"/>
  <c r="D10" i="2"/>
  <c r="D11" i="2"/>
  <c r="D2" i="2"/>
  <c r="C3" i="2" a="1"/>
  <c r="C3" i="2" s="1"/>
  <c r="C4" i="2" a="1"/>
  <c r="C4" i="2"/>
  <c r="C5" i="2" a="1"/>
  <c r="C5" i="2" s="1"/>
  <c r="C6" i="2" a="1"/>
  <c r="C6" i="2"/>
  <c r="C7" i="2" a="1"/>
  <c r="C7" i="2" s="1"/>
  <c r="C8" i="2" a="1"/>
  <c r="C8" i="2"/>
  <c r="C9" i="2" a="1"/>
  <c r="C9" i="2" s="1"/>
  <c r="C10" i="2" a="1"/>
  <c r="C10" i="2"/>
  <c r="C11" i="2" a="1"/>
  <c r="C11" i="2" s="1"/>
  <c r="C2" i="2" a="1"/>
  <c r="C2" i="2" s="1"/>
  <c r="B3" i="2"/>
  <c r="B4" i="2"/>
  <c r="B5" i="2"/>
  <c r="B6" i="2"/>
  <c r="B7" i="2"/>
  <c r="B8" i="2"/>
  <c r="B9" i="2"/>
  <c r="B10" i="2"/>
  <c r="B11" i="2"/>
  <c r="B2" i="2"/>
  <c r="A4" i="2"/>
  <c r="A5" i="2"/>
  <c r="A6" i="2"/>
  <c r="A7" i="2"/>
  <c r="A8" i="2"/>
  <c r="A9" i="2"/>
  <c r="A10" i="2"/>
  <c r="A11" i="2"/>
  <c r="A3" i="2"/>
  <c r="A2" i="2"/>
  <c r="J11" i="2" l="1"/>
  <c r="K11" i="2"/>
  <c r="J10" i="2"/>
  <c r="K10" i="2"/>
  <c r="K6" i="2"/>
  <c r="J6" i="2"/>
  <c r="J3" i="2"/>
  <c r="K3" i="2"/>
  <c r="K9" i="2"/>
  <c r="J9" i="2"/>
  <c r="J7" i="2"/>
  <c r="K7" i="2"/>
  <c r="K5" i="2"/>
  <c r="J5" i="2"/>
  <c r="J8" i="2"/>
  <c r="K8" i="2"/>
  <c r="J4" i="2"/>
  <c r="K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<sst xmlns="http://schemas.openxmlformats.org/spreadsheetml/2006/main" count="88" uniqueCount="72">
  <si>
    <t>ID</t>
  </si>
  <si>
    <t>NAME</t>
  </si>
  <si>
    <t>AGE</t>
  </si>
  <si>
    <t>INCOME</t>
  </si>
  <si>
    <t>CREDIT</t>
  </si>
  <si>
    <t>LOANS</t>
  </si>
  <si>
    <t>EMPLOYMENT</t>
  </si>
  <si>
    <t>LOAN AMT</t>
  </si>
  <si>
    <t>PURPOSE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</si>
  <si>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</si>
  <si>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</si>
  <si>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</si>
  <si>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</si>
  <si>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</si>
  <si>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</si>
  <si>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</si>
  <si>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</si>
  <si>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</si>
  <si>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</si>
  <si>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Ramesh Kumar</t>
  </si>
  <si>
    <t>Priya Sharma</t>
  </si>
  <si>
    <t>Suresh Patel</t>
  </si>
  <si>
    <t>Anita Singh</t>
  </si>
  <si>
    <t>Vikram Rao</t>
  </si>
  <si>
    <t>Meena Joshi</t>
  </si>
  <si>
    <t>Rajesh Nair</t>
  </si>
  <si>
    <t>Sunita Verma</t>
  </si>
  <si>
    <t>Arun Gupta</t>
  </si>
  <si>
    <t>Kavya Reddy</t>
  </si>
  <si>
    <t>Salaried</t>
  </si>
  <si>
    <t>Government</t>
  </si>
  <si>
    <t>Self-Employed</t>
  </si>
  <si>
    <t>Unemployed</t>
  </si>
  <si>
    <t>Home</t>
  </si>
  <si>
    <t>Education</t>
  </si>
  <si>
    <t>Business</t>
  </si>
  <si>
    <t>Personal</t>
  </si>
  <si>
    <t>Car</t>
  </si>
  <si>
    <t>Applicant ID</t>
  </si>
  <si>
    <t>Full Name</t>
  </si>
  <si>
    <t>Age Score</t>
  </si>
  <si>
    <t>Income Score</t>
  </si>
  <si>
    <t>Credit Score</t>
  </si>
  <si>
    <t>Loans Score</t>
  </si>
  <si>
    <t>Employment Score</t>
  </si>
  <si>
    <t>Loan Ratio Score</t>
  </si>
  <si>
    <t>FINAL WEIGHTED SCORE</t>
  </si>
  <si>
    <t>DECISION</t>
  </si>
  <si>
    <t>RISK LEVEL</t>
  </si>
  <si>
    <t>Total Applications</t>
  </si>
  <si>
    <t>Approval Rate %</t>
  </si>
  <si>
    <t>Average Score</t>
  </si>
  <si>
    <t>Highest Score</t>
  </si>
  <si>
    <t>Lowest Score</t>
  </si>
  <si>
    <t>Best Applicant</t>
  </si>
  <si>
    <t>Very High Risk Count</t>
  </si>
  <si>
    <t>Riskiest Applicant</t>
  </si>
  <si>
    <t>INDEX-MATCH</t>
  </si>
  <si>
    <t>FORMULA USED</t>
  </si>
  <si>
    <t>COUNTA</t>
  </si>
  <si>
    <t>COUNTIF</t>
  </si>
  <si>
    <t>COUNTIF/COUNTA</t>
  </si>
  <si>
    <t>AVERAGE</t>
  </si>
  <si>
    <t>MAX</t>
  </si>
  <si>
    <t>MIN</t>
  </si>
  <si>
    <t>METRIC</t>
  </si>
  <si>
    <t>Total APPROVED</t>
  </si>
  <si>
    <t>Total REJECTED</t>
  </si>
  <si>
    <t>Total CONDITIONAL</t>
  </si>
  <si>
    <t>Very Low Risk Count</t>
  </si>
  <si>
    <t>VALUE</t>
  </si>
  <si>
    <t>LOAN APPROVAL AI —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</si>
</sst>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6" tint="-0.499984740745262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0F9F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5F5F5"/>
        <bgColor rgb="FFE8F4EA"/>
      </patternFill>
    </fill>
    <fill>
      <patternFill patternType="solid">
        <fgColor rgb="FFE8F4EA"/>
        <bgColor rgb="FFF5F5F5"/>
      </patternFill>
    </fill>
    <fill>
      <patternFill patternType="solid">
        <fgColor rgb="FF1A3657"/>
        <bgColor rgb="FF3A2060"/>
      </patternFill>
    </fill>
    <fill>
      <patternFill patternType="solid">
        <fgColor rgb="FFFFFFFF"/>
        <bgColor rgb="FFF5F5F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44" fontId="0" fillId="0" borderId="0" xfId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E20FF-59CE-4154-8C16-C15D497D8670}" name="AppData" displayName="AppData" ref="A1:I11" totalsRowShown="0" headerRowDxfId="8" dataDxfId="9">
  <autoFilter ref="A1:I11" xr:uid="{C94E20FF-59CE-4154-8C16-C15D497D8670}"/>
  <tableColumns count="9">
    <tableColumn id="1" xr3:uid="{33788615-3792-4CC2-8F9D-ABF7A4CAD1F8}" name="ID" dataDxfId="18"/>
    <tableColumn id="2" xr3:uid="{5D8D81ED-CA9C-4B28-9CAD-2D1F1575357C}" name="NAME" dataDxfId="17"/>
    <tableColumn id="3" xr3:uid="{BDE7D1CB-F741-40BC-B471-ABC7C7DAEFFD}" name="AGE" dataDxfId="16"/>
    <tableColumn id="4" xr3:uid="{1AF94DED-864A-4800-B89A-C4A47045776C}" name="INCOME" dataDxfId="15" dataCellStyle="Currency"/>
    <tableColumn id="5" xr3:uid="{D9432A67-D7AF-4F85-943E-DFBB6B2593C8}" name="CREDIT" dataDxfId="14"/>
    <tableColumn id="6" xr3:uid="{34BB68C8-A999-4194-B6D3-75C844C4F8C2}" name="LOANS" dataDxfId="13"/>
    <tableColumn id="7" xr3:uid="{AE8191F0-9F6F-4432-8604-866C33D6A70E}" name="EMPLOYMENT" dataDxfId="12"/>
    <tableColumn id="8" xr3:uid="{3A79EBE1-1241-48F0-BB5B-CD6E9FBC57CF}" name="LOAN AMT" dataDxfId="11" dataCellStyle="Currency"/>
    <tableColumn id="9" xr3:uid="{4C4B8013-F91B-48BF-BC2B-B872B4519F12}" name="PURPOSE" dataDxfId="1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209E-3E1D-45AF-B320-483A718CA035}">
  <dimension ref="A1:I11"/>
  <sheetViews>
    <sheetView topLeftCell="B1" zoomScale="115" zoomScaleNormal="115" workbookViewId="0">
      <pane ySplit="1" topLeftCell="A2" activePane="bottomLeft" state="frozen"/>
      <selection pane="bottomLeft"/>
    </sheetView>
  </sheetViews>
  <sheetFormatPr defaultRowHeight="15" x14ac:dyDescent="0.25"/>
  <cols>
    <col min="1" max="1" width="5.5703125" bestFit="1" customWidth="1"/>
    <col min="2" max="2" width="14.5703125" bestFit="1" customWidth="1"/>
    <col min="3" max="3" width="6.7109375" customWidth="1"/>
    <col min="4" max="4" width="13.85546875" bestFit="1" customWidth="1"/>
    <col min="5" max="5" width="9.85546875" customWidth="1"/>
    <col min="6" max="6" width="9" customWidth="1"/>
    <col min="7" max="7" width="15.28515625" customWidth="1"/>
    <col min="8" max="8" width="15" bestFit="1" customWidth="1"/>
    <col min="9" max="9" width="11.5703125" customWidth="1"/>
  </cols>
  <sheetData>
    <row r="1" spans="1:9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1" t="s">
        <v>9</v>
      </c>
      <c r="B2" s="1" t="s">
        <v>19</v>
      </c>
      <c r="C2" s="1">
        <v>35</v>
      </c>
      <c r="D2" s="3">
        <v>55000</v>
      </c>
      <c r="E2" s="1">
        <v>750</v>
      </c>
      <c r="F2" s="1">
        <v>1</v>
      </c>
      <c r="G2" s="1" t="s">
        <v>29</v>
      </c>
      <c r="H2" s="3">
        <v>300000</v>
      </c>
      <c r="I2" s="1" t="s">
        <v>33</v>
      </c>
    </row>
    <row r="3" spans="1:9" x14ac:dyDescent="0.25">
      <c r="A3" s="1" t="s">
        <v>10</v>
      </c>
      <c r="B3" s="1" t="s">
        <v>20</v>
      </c>
      <c r="C3" s="1">
        <v>28</v>
      </c>
      <c r="D3" s="3">
        <v>32000</v>
      </c>
      <c r="E3" s="1">
        <v>680</v>
      </c>
      <c r="F3" s="1">
        <v>0</v>
      </c>
      <c r="G3" s="1" t="s">
        <v>30</v>
      </c>
      <c r="H3" s="3">
        <v>150000</v>
      </c>
      <c r="I3" s="1" t="s">
        <v>34</v>
      </c>
    </row>
    <row r="4" spans="1:9" x14ac:dyDescent="0.25">
      <c r="A4" s="1" t="s">
        <v>11</v>
      </c>
      <c r="B4" s="1" t="s">
        <v>21</v>
      </c>
      <c r="C4" s="1">
        <v>52</v>
      </c>
      <c r="D4" s="3">
        <v>18000</v>
      </c>
      <c r="E4" s="1">
        <v>590</v>
      </c>
      <c r="F4" s="1">
        <v>3</v>
      </c>
      <c r="G4" s="1" t="s">
        <v>31</v>
      </c>
      <c r="H4" s="3">
        <v>500000</v>
      </c>
      <c r="I4" s="1" t="s">
        <v>35</v>
      </c>
    </row>
    <row r="5" spans="1:9" x14ac:dyDescent="0.25">
      <c r="A5" s="1" t="s">
        <v>12</v>
      </c>
      <c r="B5" s="1" t="s">
        <v>22</v>
      </c>
      <c r="C5" s="1">
        <v>23</v>
      </c>
      <c r="D5" s="3">
        <v>12000</v>
      </c>
      <c r="E5" s="1">
        <v>450</v>
      </c>
      <c r="F5" s="1">
        <v>2</v>
      </c>
      <c r="G5" s="1" t="s">
        <v>32</v>
      </c>
      <c r="H5" s="3">
        <v>200000</v>
      </c>
      <c r="I5" s="1" t="s">
        <v>36</v>
      </c>
    </row>
    <row r="6" spans="1:9" x14ac:dyDescent="0.25">
      <c r="A6" s="1" t="s">
        <v>13</v>
      </c>
      <c r="B6" s="1" t="s">
        <v>23</v>
      </c>
      <c r="C6" s="1">
        <v>41</v>
      </c>
      <c r="D6" s="3">
        <v>85000</v>
      </c>
      <c r="E6" s="1">
        <v>800</v>
      </c>
      <c r="F6" s="1">
        <v>0</v>
      </c>
      <c r="G6" s="1" t="s">
        <v>29</v>
      </c>
      <c r="H6" s="3">
        <v>800000</v>
      </c>
      <c r="I6" s="1" t="s">
        <v>33</v>
      </c>
    </row>
    <row r="7" spans="1:9" x14ac:dyDescent="0.25">
      <c r="A7" s="1" t="s">
        <v>14</v>
      </c>
      <c r="B7" s="1" t="s">
        <v>24</v>
      </c>
      <c r="C7" s="1">
        <v>30</v>
      </c>
      <c r="D7" s="3">
        <v>40000</v>
      </c>
      <c r="E7" s="1">
        <v>710</v>
      </c>
      <c r="F7" s="1">
        <v>1</v>
      </c>
      <c r="G7" s="1" t="s">
        <v>30</v>
      </c>
      <c r="H7" s="3">
        <v>250000</v>
      </c>
      <c r="I7" s="1" t="s">
        <v>37</v>
      </c>
    </row>
    <row r="8" spans="1:9" x14ac:dyDescent="0.25">
      <c r="A8" s="1" t="s">
        <v>15</v>
      </c>
      <c r="B8" s="1" t="s">
        <v>25</v>
      </c>
      <c r="C8" s="1">
        <v>47</v>
      </c>
      <c r="D8" s="3">
        <v>25000</v>
      </c>
      <c r="E8" s="1">
        <v>620</v>
      </c>
      <c r="F8" s="1">
        <v>4</v>
      </c>
      <c r="G8" s="1" t="s">
        <v>31</v>
      </c>
      <c r="H8" s="3">
        <v>400000</v>
      </c>
      <c r="I8" s="1" t="s">
        <v>35</v>
      </c>
    </row>
    <row r="9" spans="1:9" x14ac:dyDescent="0.25">
      <c r="A9" s="1" t="s">
        <v>16</v>
      </c>
      <c r="B9" s="1" t="s">
        <v>26</v>
      </c>
      <c r="C9" s="1">
        <v>33</v>
      </c>
      <c r="D9" s="3">
        <v>60000</v>
      </c>
      <c r="E9" s="1">
        <v>780</v>
      </c>
      <c r="F9" s="1">
        <v>0</v>
      </c>
      <c r="G9" s="1" t="s">
        <v>29</v>
      </c>
      <c r="H9" s="3">
        <v>350000</v>
      </c>
      <c r="I9" s="1" t="s">
        <v>33</v>
      </c>
    </row>
    <row r="10" spans="1:9" x14ac:dyDescent="0.25">
      <c r="A10" s="1" t="s">
        <v>17</v>
      </c>
      <c r="B10" s="1" t="s">
        <v>27</v>
      </c>
      <c r="C10" s="1">
        <v>19</v>
      </c>
      <c r="D10" s="3">
        <v>8000</v>
      </c>
      <c r="E10" s="1">
        <v>300</v>
      </c>
      <c r="F10" s="1">
        <v>0</v>
      </c>
      <c r="G10" s="1" t="s">
        <v>32</v>
      </c>
      <c r="H10" s="3">
        <v>100000</v>
      </c>
      <c r="I10" s="1" t="s">
        <v>36</v>
      </c>
    </row>
    <row r="11" spans="1:9" x14ac:dyDescent="0.25">
      <c r="A11" s="1" t="s">
        <v>18</v>
      </c>
      <c r="B11" s="1" t="s">
        <v>28</v>
      </c>
      <c r="C11" s="1">
        <v>38</v>
      </c>
      <c r="D11" s="3">
        <v>120000</v>
      </c>
      <c r="E11" s="1">
        <v>820</v>
      </c>
      <c r="F11" s="1">
        <v>2</v>
      </c>
      <c r="G11" s="1" t="s">
        <v>29</v>
      </c>
      <c r="H11" s="3">
        <v>1500000</v>
      </c>
      <c r="I11" s="1" t="s">
        <v>33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4F8D-ED45-4567-82AF-F203707A67D4}">
  <dimension ref="A1:K11"/>
  <sheetViews>
    <sheetView topLeftCell="E1" zoomScaleNormal="100" workbookViewId="0">
      <pane ySplit="1" topLeftCell="A2" activePane="bottomLeft" state="frozen"/>
      <selection pane="bottomLeft" activeCell="A12" sqref="A12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9.42578125" bestFit="1" customWidth="1"/>
    <col min="4" max="4" width="12.85546875" bestFit="1" customWidth="1"/>
    <col min="5" max="5" width="11.42578125" bestFit="1" customWidth="1"/>
    <col min="6" max="6" width="11.5703125" bestFit="1" customWidth="1"/>
    <col min="7" max="7" width="17.42578125" bestFit="1" customWidth="1"/>
    <col min="8" max="8" width="15.7109375" bestFit="1" customWidth="1"/>
    <col min="9" max="9" width="22.140625" bestFit="1" customWidth="1"/>
    <col min="10" max="10" width="13.5703125" bestFit="1" customWidth="1"/>
    <col min="11" max="11" width="13.7109375" bestFit="1" customWidth="1"/>
  </cols>
  <sheetData>
    <row r="1" spans="1:11" x14ac:dyDescent="0.25">
      <c r="A1" s="8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  <c r="G1" s="8" t="s">
        <v>44</v>
      </c>
      <c r="H1" s="8" t="s">
        <v>45</v>
      </c>
      <c r="I1" s="8" t="s">
        <v>46</v>
      </c>
      <c r="J1" s="8" t="s">
        <v>47</v>
      </c>
      <c r="K1" s="8" t="s">
        <v>48</v>
      </c>
    </row>
    <row r="2" spans="1:11" x14ac:dyDescent="0.25">
      <c r="A2" s="9" t="str">
        <f>AppData[[#This Row],[ID]]</f>
        <v>A001</v>
      </c>
      <c r="B2" s="9" t="str">
        <f>AppData[[#This Row],[NAME]]</f>
        <v>Ramesh Kumar</v>
      </c>
      <c r="C2" s="5" cm="1">
        <f t="array" ref="C2">_xlfn.IFS(AppData[[#This Row],[AGE]]&lt;18,0,AppData[[#This Row],[AGE]]&lt;=25,60,AppData[[#This Row],[AGE]]&lt;=35,100,AppData[[#This Row],[AGE]]&lt;=45,90,AppData[[#This Row],[AGE]]&lt;=55,75,AppData[[#This Row],[AGE]]&lt;=60,50,AppData[[#This Row],[AGE]]&gt;60,20)</f>
        <v>100</v>
      </c>
      <c r="D2" s="6">
        <f>IF('Applicant Data'!D2&lt;10000,10,IF('Applicant Data'!D2&lt;20000,30,IF('Applicant Data'!D2&lt;35000,55, IF('Applicant Data'!D2&lt;50000,75,IF('Applicant Data'!D2&lt;75000,88,IF('Applicant Data'!D2&lt;=100000,95,100))))))</f>
        <v>88</v>
      </c>
      <c r="E2" s="6">
        <f>IF('Applicant Data'!E2&lt;300,0,IF('Applicant Data'!E2&lt;500,15,IF('Applicant Data'!E2&lt;600,35, IF('Applicant Data'!E2&lt;700,60,IF('Applicant Data'!E2&lt;750,80,IF('Applicant Data'!E2&lt;800,92,100))))))</f>
        <v>92</v>
      </c>
      <c r="F2" s="6">
        <f>IF('Applicant Data'!F2=0,100,IF('Applicant Data'!F2=1,80,IF('Applicant Data'!F2=2,55, IF('Applicant Data'!F2=3,30,IF('Applicant Data'!F2=4,15,0)))))</f>
        <v>80</v>
      </c>
      <c r="G2" s="7">
        <f>IF('Applicant Data'!G2="Government",100,IF('Applicant Data'!G2="Salaried",85, IF('Applicant Data'!G2="Self-Employed",65,IF('Applicant Data'!G2="Unemployed",10,50))))</f>
        <v>85</v>
      </c>
      <c r="H2" s="7">
        <f>IF('Applicant Data'!H2/('Applicant Data'!D2*12)&lt;=2,100, IF('Applicant Data'!H2/('Applicant Data'!D2*12)&lt;=4,80, IF('Applicant Data'!H2/('Applicant Data'!D2*12)&lt;=6,60, IF('Applicant Data'!H2/('Applicant Data'!D2*12)&lt;=8,35,10))))</f>
        <v>100</v>
      </c>
      <c r="I2" s="6">
        <f>(C2*0.15) + (D2*0.25) + (E2*0.3) + (F2*0.15) + (G2*0.1) + (H2*0.05)</f>
        <v>90.1</v>
      </c>
      <c r="J2" s="6" t="str">
        <f>IF(I2&gt;=71,"APPROVED",IF(I2&gt;=56,"CONDITIONAL","REJECTED"))</f>
        <v>APPROVED</v>
      </c>
      <c r="K2" s="7" t="str">
        <f>IF(I2&gt;=86,"Very Low Risk",IF(I2&gt;=71,"Low Risk",IF(I2&gt;=56,"Medium Risk", IF(I2&gt;=41,"High Risk","Very High Risk"))))</f>
        <v>Very Low Risk</v>
      </c>
    </row>
    <row r="3" spans="1:11" x14ac:dyDescent="0.25">
      <c r="A3" s="9" t="str">
        <f>AppData[[#This Row],[ID]]</f>
        <v>A002</v>
      </c>
      <c r="B3" s="9" t="str">
        <f>AppData[[#This Row],[NAME]]</f>
        <v>Priya Sharma</v>
      </c>
      <c r="C3" s="5" cm="1">
        <f t="array" ref="C3">_xlfn.IFS(AppData[[#This Row],[AGE]]&lt;18,0,AppData[[#This Row],[AGE]]&lt;=25,60,AppData[[#This Row],[AGE]]&lt;=35,100,AppData[[#This Row],[AGE]]&lt;=45,90,AppData[[#This Row],[AGE]]&lt;=55,75,AppData[[#This Row],[AGE]]&lt;=60,50,AppData[[#This Row],[AGE]]&gt;60,20)</f>
        <v>100</v>
      </c>
      <c r="D3" s="6">
        <f>IF('Applicant Data'!D3&lt;10000,10,IF('Applicant Data'!D3&lt;20000,30,IF('Applicant Data'!D3&lt;35000,55, IF('Applicant Data'!D3&lt;50000,75,IF('Applicant Data'!D3&lt;75000,88,IF('Applicant Data'!D3&lt;=100000,95,100))))))</f>
        <v>55</v>
      </c>
      <c r="E3" s="6">
        <f>IF('Applicant Data'!E3&lt;300,0,IF('Applicant Data'!E3&lt;500,15,IF('Applicant Data'!E3&lt;600,35, IF('Applicant Data'!E3&lt;700,60,IF('Applicant Data'!E3&lt;750,80,IF('Applicant Data'!E3&lt;800,92,100))))))</f>
        <v>60</v>
      </c>
      <c r="F3" s="6">
        <f>IF('Applicant Data'!F3=0,100,IF('Applicant Data'!F3=1,80,IF('Applicant Data'!F3=2,55, IF('Applicant Data'!F3=3,30,IF('Applicant Data'!F3=4,15,0)))))</f>
        <v>100</v>
      </c>
      <c r="G3" s="7">
        <f>IF('Applicant Data'!G3="Government",100,IF('Applicant Data'!G3="Salaried",85, IF('Applicant Data'!G3="Self-Employed",65,IF('Applicant Data'!G3="Unemployed",10,50))))</f>
        <v>100</v>
      </c>
      <c r="H3" s="7">
        <f>IF('Applicant Data'!H3/('Applicant Data'!D3*12)&lt;=2,100, IF('Applicant Data'!H3/('Applicant Data'!D3*12)&lt;=4,80, IF('Applicant Data'!H3/('Applicant Data'!D3*12)&lt;=6,60, IF('Applicant Data'!H3/('Applicant Data'!D3*12)&lt;=8,35,10))))</f>
        <v>100</v>
      </c>
      <c r="I3" s="6">
        <f t="shared" ref="I3:I11" si="0">(C3*0.15) + (D3*0.25) + (E3*0.3) + (F3*0.15) + (G3*0.1) + (H3*0.05)</f>
        <v>76.75</v>
      </c>
      <c r="J3" s="6" t="str">
        <f t="shared" ref="J3:J11" si="1">IF(I3&gt;=71,"APPROVED",IF(I3&gt;=56,"CONDITIONAL","REJECTED"))</f>
        <v>APPROVED</v>
      </c>
      <c r="K3" s="7" t="str">
        <f t="shared" ref="K3:K11" si="2">IF(I3&gt;=86,"Very Low Risk",IF(I3&gt;=71,"Low Risk",IF(I3&gt;=56,"Medium Risk", IF(I3&gt;=41,"High Risk","Very High Risk"))))</f>
        <v>Low Risk</v>
      </c>
    </row>
    <row r="4" spans="1:11" x14ac:dyDescent="0.25">
      <c r="A4" s="9" t="str">
        <f>AppData[[#This Row],[ID]]</f>
        <v>A003</v>
      </c>
      <c r="B4" s="9" t="str">
        <f>AppData[[#This Row],[NAME]]</f>
        <v>Suresh Patel</v>
      </c>
      <c r="C4" s="5" cm="1">
        <f t="array" ref="C4">_xlfn.IFS(AppData[[#This Row],[AGE]]&lt;18,0,AppData[[#This Row],[AGE]]&lt;=25,60,AppData[[#This Row],[AGE]]&lt;=35,100,AppData[[#This Row],[AGE]]&lt;=45,90,AppData[[#This Row],[AGE]]&lt;=55,75,AppData[[#This Row],[AGE]]&lt;=60,50,AppData[[#This Row],[AGE]]&gt;60,20)</f>
        <v>75</v>
      </c>
      <c r="D4" s="6">
        <f>IF('Applicant Data'!D4&lt;10000,10,IF('Applicant Data'!D4&lt;20000,30,IF('Applicant Data'!D4&lt;35000,55, IF('Applicant Data'!D4&lt;50000,75,IF('Applicant Data'!D4&lt;75000,88,IF('Applicant Data'!D4&lt;=100000,95,100))))))</f>
        <v>30</v>
      </c>
      <c r="E4" s="6">
        <f>IF('Applicant Data'!E4&lt;300,0,IF('Applicant Data'!E4&lt;500,15,IF('Applicant Data'!E4&lt;600,35, IF('Applicant Data'!E4&lt;700,60,IF('Applicant Data'!E4&lt;750,80,IF('Applicant Data'!E4&lt;800,92,100))))))</f>
        <v>35</v>
      </c>
      <c r="F4" s="6">
        <f>IF('Applicant Data'!F4=0,100,IF('Applicant Data'!F4=1,80,IF('Applicant Data'!F4=2,55, IF('Applicant Data'!F4=3,30,IF('Applicant Data'!F4=4,15,0)))))</f>
        <v>30</v>
      </c>
      <c r="G4" s="7">
        <f>IF('Applicant Data'!G4="Government",100,IF('Applicant Data'!G4="Salaried",85, IF('Applicant Data'!G4="Self-Employed",65,IF('Applicant Data'!G4="Unemployed",10,50))))</f>
        <v>65</v>
      </c>
      <c r="H4" s="7">
        <f>IF('Applicant Data'!H4/('Applicant Data'!D4*12)&lt;=2,100, IF('Applicant Data'!H4/('Applicant Data'!D4*12)&lt;=4,80, IF('Applicant Data'!H4/('Applicant Data'!D4*12)&lt;=6,60, IF('Applicant Data'!H4/('Applicant Data'!D4*12)&lt;=8,35,10))))</f>
        <v>80</v>
      </c>
      <c r="I4" s="6">
        <f t="shared" si="0"/>
        <v>44.25</v>
      </c>
      <c r="J4" s="6" t="str">
        <f t="shared" si="1"/>
        <v>REJECTED</v>
      </c>
      <c r="K4" s="7" t="str">
        <f t="shared" si="2"/>
        <v>High Risk</v>
      </c>
    </row>
    <row r="5" spans="1:11" x14ac:dyDescent="0.25">
      <c r="A5" s="9" t="str">
        <f>AppData[[#This Row],[ID]]</f>
        <v>A004</v>
      </c>
      <c r="B5" s="9" t="str">
        <f>AppData[[#This Row],[NAME]]</f>
        <v>Anita Singh</v>
      </c>
      <c r="C5" s="5" cm="1">
        <f t="array" ref="C5">_xlfn.IFS(AppData[[#This Row],[AGE]]&lt;18,0,AppData[[#This Row],[AGE]]&lt;=25,60,AppData[[#This Row],[AGE]]&lt;=35,100,AppData[[#This Row],[AGE]]&lt;=45,90,AppData[[#This Row],[AGE]]&lt;=55,75,AppData[[#This Row],[AGE]]&lt;=60,50,AppData[[#This Row],[AGE]]&gt;60,20)</f>
        <v>60</v>
      </c>
      <c r="D5" s="6">
        <f>IF('Applicant Data'!D5&lt;10000,10,IF('Applicant Data'!D5&lt;20000,30,IF('Applicant Data'!D5&lt;35000,55, IF('Applicant Data'!D5&lt;50000,75,IF('Applicant Data'!D5&lt;75000,88,IF('Applicant Data'!D5&lt;=100000,95,100))))))</f>
        <v>30</v>
      </c>
      <c r="E5" s="6">
        <f>IF('Applicant Data'!E5&lt;300,0,IF('Applicant Data'!E5&lt;500,15,IF('Applicant Data'!E5&lt;600,35, IF('Applicant Data'!E5&lt;700,60,IF('Applicant Data'!E5&lt;750,80,IF('Applicant Data'!E5&lt;800,92,100))))))</f>
        <v>15</v>
      </c>
      <c r="F5" s="6">
        <f>IF('Applicant Data'!F5=0,100,IF('Applicant Data'!F5=1,80,IF('Applicant Data'!F5=2,55, IF('Applicant Data'!F5=3,30,IF('Applicant Data'!F5=4,15,0)))))</f>
        <v>55</v>
      </c>
      <c r="G5" s="7">
        <f>IF('Applicant Data'!G5="Government",100,IF('Applicant Data'!G5="Salaried",85, IF('Applicant Data'!G5="Self-Employed",65,IF('Applicant Data'!G5="Unemployed",10,50))))</f>
        <v>10</v>
      </c>
      <c r="H5" s="7">
        <f>IF('Applicant Data'!H5/('Applicant Data'!D5*12)&lt;=2,100, IF('Applicant Data'!H5/('Applicant Data'!D5*12)&lt;=4,80, IF('Applicant Data'!H5/('Applicant Data'!D5*12)&lt;=6,60, IF('Applicant Data'!H5/('Applicant Data'!D5*12)&lt;=8,35,10))))</f>
        <v>100</v>
      </c>
      <c r="I5" s="6">
        <f t="shared" si="0"/>
        <v>35.25</v>
      </c>
      <c r="J5" s="6" t="str">
        <f t="shared" si="1"/>
        <v>REJECTED</v>
      </c>
      <c r="K5" s="7" t="str">
        <f t="shared" si="2"/>
        <v>Very High Risk</v>
      </c>
    </row>
    <row r="6" spans="1:11" x14ac:dyDescent="0.25">
      <c r="A6" s="9" t="str">
        <f>AppData[[#This Row],[ID]]</f>
        <v>A005</v>
      </c>
      <c r="B6" s="9" t="str">
        <f>AppData[[#This Row],[NAME]]</f>
        <v>Vikram Rao</v>
      </c>
      <c r="C6" s="5" cm="1">
        <f t="array" ref="C6">_xlfn.IFS(AppData[[#This Row],[AGE]]&lt;18,0,AppData[[#This Row],[AGE]]&lt;=25,60,AppData[[#This Row],[AGE]]&lt;=35,100,AppData[[#This Row],[AGE]]&lt;=45,90,AppData[[#This Row],[AGE]]&lt;=55,75,AppData[[#This Row],[AGE]]&lt;=60,50,AppData[[#This Row],[AGE]]&gt;60,20)</f>
        <v>90</v>
      </c>
      <c r="D6" s="6">
        <f>IF('Applicant Data'!D6&lt;10000,10,IF('Applicant Data'!D6&lt;20000,30,IF('Applicant Data'!D6&lt;35000,55, IF('Applicant Data'!D6&lt;50000,75,IF('Applicant Data'!D6&lt;75000,88,IF('Applicant Data'!D6&lt;=100000,95,100))))))</f>
        <v>95</v>
      </c>
      <c r="E6" s="6">
        <f>IF('Applicant Data'!E6&lt;300,0,IF('Applicant Data'!E6&lt;500,15,IF('Applicant Data'!E6&lt;600,35, IF('Applicant Data'!E6&lt;700,60,IF('Applicant Data'!E6&lt;750,80,IF('Applicant Data'!E6&lt;800,92,100))))))</f>
        <v>100</v>
      </c>
      <c r="F6" s="6">
        <f>IF('Applicant Data'!F6=0,100,IF('Applicant Data'!F6=1,80,IF('Applicant Data'!F6=2,55, IF('Applicant Data'!F6=3,30,IF('Applicant Data'!F6=4,15,0)))))</f>
        <v>100</v>
      </c>
      <c r="G6" s="7">
        <f>IF('Applicant Data'!G6="Government",100,IF('Applicant Data'!G6="Salaried",85, IF('Applicant Data'!G6="Self-Employed",65,IF('Applicant Data'!G6="Unemployed",10,50))))</f>
        <v>85</v>
      </c>
      <c r="H6" s="7">
        <f>IF('Applicant Data'!H6/('Applicant Data'!D6*12)&lt;=2,100, IF('Applicant Data'!H6/('Applicant Data'!D6*12)&lt;=4,80, IF('Applicant Data'!H6/('Applicant Data'!D6*12)&lt;=6,60, IF('Applicant Data'!H6/('Applicant Data'!D6*12)&lt;=8,35,10))))</f>
        <v>100</v>
      </c>
      <c r="I6" s="6">
        <f t="shared" si="0"/>
        <v>95.75</v>
      </c>
      <c r="J6" s="6" t="str">
        <f t="shared" si="1"/>
        <v>APPROVED</v>
      </c>
      <c r="K6" s="7" t="str">
        <f t="shared" si="2"/>
        <v>Very Low Risk</v>
      </c>
    </row>
    <row r="7" spans="1:11" x14ac:dyDescent="0.25">
      <c r="A7" s="9" t="str">
        <f>AppData[[#This Row],[ID]]</f>
        <v>A006</v>
      </c>
      <c r="B7" s="9" t="str">
        <f>AppData[[#This Row],[NAME]]</f>
        <v>Meena Joshi</v>
      </c>
      <c r="C7" s="5" cm="1">
        <f t="array" ref="C7">_xlfn.IFS(AppData[[#This Row],[AGE]]&lt;18,0,AppData[[#This Row],[AGE]]&lt;=25,60,AppData[[#This Row],[AGE]]&lt;=35,100,AppData[[#This Row],[AGE]]&lt;=45,90,AppData[[#This Row],[AGE]]&lt;=55,75,AppData[[#This Row],[AGE]]&lt;=60,50,AppData[[#This Row],[AGE]]&gt;60,20)</f>
        <v>100</v>
      </c>
      <c r="D7" s="6">
        <f>IF('Applicant Data'!D7&lt;10000,10,IF('Applicant Data'!D7&lt;20000,30,IF('Applicant Data'!D7&lt;35000,55, IF('Applicant Data'!D7&lt;50000,75,IF('Applicant Data'!D7&lt;75000,88,IF('Applicant Data'!D7&lt;=100000,95,100))))))</f>
        <v>75</v>
      </c>
      <c r="E7" s="6">
        <f>IF('Applicant Data'!E7&lt;300,0,IF('Applicant Data'!E7&lt;500,15,IF('Applicant Data'!E7&lt;600,35, IF('Applicant Data'!E7&lt;700,60,IF('Applicant Data'!E7&lt;750,80,IF('Applicant Data'!E7&lt;800,92,100))))))</f>
        <v>80</v>
      </c>
      <c r="F7" s="6">
        <f>IF('Applicant Data'!F7=0,100,IF('Applicant Data'!F7=1,80,IF('Applicant Data'!F7=2,55, IF('Applicant Data'!F7=3,30,IF('Applicant Data'!F7=4,15,0)))))</f>
        <v>80</v>
      </c>
      <c r="G7" s="7">
        <f>IF('Applicant Data'!G7="Government",100,IF('Applicant Data'!G7="Salaried",85, IF('Applicant Data'!G7="Self-Employed",65,IF('Applicant Data'!G7="Unemployed",10,50))))</f>
        <v>100</v>
      </c>
      <c r="H7" s="7">
        <f>IF('Applicant Data'!H7/('Applicant Data'!D7*12)&lt;=2,100, IF('Applicant Data'!H7/('Applicant Data'!D7*12)&lt;=4,80, IF('Applicant Data'!H7/('Applicant Data'!D7*12)&lt;=6,60, IF('Applicant Data'!H7/('Applicant Data'!D7*12)&lt;=8,35,10))))</f>
        <v>100</v>
      </c>
      <c r="I7" s="6">
        <f t="shared" si="0"/>
        <v>84.75</v>
      </c>
      <c r="J7" s="6" t="str">
        <f t="shared" si="1"/>
        <v>APPROVED</v>
      </c>
      <c r="K7" s="7" t="str">
        <f t="shared" si="2"/>
        <v>Low Risk</v>
      </c>
    </row>
    <row r="8" spans="1:11" x14ac:dyDescent="0.25">
      <c r="A8" s="9" t="str">
        <f>AppData[[#This Row],[ID]]</f>
        <v>A007</v>
      </c>
      <c r="B8" s="9" t="str">
        <f>AppData[[#This Row],[NAME]]</f>
        <v>Rajesh Nair</v>
      </c>
      <c r="C8" s="5" cm="1">
        <f t="array" ref="C8">_xlfn.IFS(AppData[[#This Row],[AGE]]&lt;18,0,AppData[[#This Row],[AGE]]&lt;=25,60,AppData[[#This Row],[AGE]]&lt;=35,100,AppData[[#This Row],[AGE]]&lt;=45,90,AppData[[#This Row],[AGE]]&lt;=55,75,AppData[[#This Row],[AGE]]&lt;=60,50,AppData[[#This Row],[AGE]]&gt;60,20)</f>
        <v>75</v>
      </c>
      <c r="D8" s="6">
        <f>IF('Applicant Data'!D8&lt;10000,10,IF('Applicant Data'!D8&lt;20000,30,IF('Applicant Data'!D8&lt;35000,55, IF('Applicant Data'!D8&lt;50000,75,IF('Applicant Data'!D8&lt;75000,88,IF('Applicant Data'!D8&lt;=100000,95,100))))))</f>
        <v>55</v>
      </c>
      <c r="E8" s="6">
        <f>IF('Applicant Data'!E8&lt;300,0,IF('Applicant Data'!E8&lt;500,15,IF('Applicant Data'!E8&lt;600,35, IF('Applicant Data'!E8&lt;700,60,IF('Applicant Data'!E8&lt;750,80,IF('Applicant Data'!E8&lt;800,92,100))))))</f>
        <v>60</v>
      </c>
      <c r="F8" s="6">
        <f>IF('Applicant Data'!F8=0,100,IF('Applicant Data'!F8=1,80,IF('Applicant Data'!F8=2,55, IF('Applicant Data'!F8=3,30,IF('Applicant Data'!F8=4,15,0)))))</f>
        <v>15</v>
      </c>
      <c r="G8" s="7">
        <f>IF('Applicant Data'!G8="Government",100,IF('Applicant Data'!G8="Salaried",85, IF('Applicant Data'!G8="Self-Employed",65,IF('Applicant Data'!G8="Unemployed",10,50))))</f>
        <v>65</v>
      </c>
      <c r="H8" s="7">
        <f>IF('Applicant Data'!H8/('Applicant Data'!D8*12)&lt;=2,100, IF('Applicant Data'!H8/('Applicant Data'!D8*12)&lt;=4,80, IF('Applicant Data'!H8/('Applicant Data'!D8*12)&lt;=6,60, IF('Applicant Data'!H8/('Applicant Data'!D8*12)&lt;=8,35,10))))</f>
        <v>100</v>
      </c>
      <c r="I8" s="6">
        <f t="shared" si="0"/>
        <v>56.75</v>
      </c>
      <c r="J8" s="6" t="str">
        <f t="shared" si="1"/>
        <v>CONDITIONAL</v>
      </c>
      <c r="K8" s="7" t="str">
        <f t="shared" si="2"/>
        <v>Medium Risk</v>
      </c>
    </row>
    <row r="9" spans="1:11" x14ac:dyDescent="0.25">
      <c r="A9" s="9" t="str">
        <f>AppData[[#This Row],[ID]]</f>
        <v>A008</v>
      </c>
      <c r="B9" s="9" t="str">
        <f>AppData[[#This Row],[NAME]]</f>
        <v>Sunita Verma</v>
      </c>
      <c r="C9" s="5" cm="1">
        <f t="array" ref="C9">_xlfn.IFS(AppData[[#This Row],[AGE]]&lt;18,0,AppData[[#This Row],[AGE]]&lt;=25,60,AppData[[#This Row],[AGE]]&lt;=35,100,AppData[[#This Row],[AGE]]&lt;=45,90,AppData[[#This Row],[AGE]]&lt;=55,75,AppData[[#This Row],[AGE]]&lt;=60,50,AppData[[#This Row],[AGE]]&gt;60,20)</f>
        <v>100</v>
      </c>
      <c r="D9" s="6">
        <f>IF('Applicant Data'!D9&lt;10000,10,IF('Applicant Data'!D9&lt;20000,30,IF('Applicant Data'!D9&lt;35000,55, IF('Applicant Data'!D9&lt;50000,75,IF('Applicant Data'!D9&lt;75000,88,IF('Applicant Data'!D9&lt;=100000,95,100))))))</f>
        <v>88</v>
      </c>
      <c r="E9" s="6">
        <f>IF('Applicant Data'!E9&lt;300,0,IF('Applicant Data'!E9&lt;500,15,IF('Applicant Data'!E9&lt;600,35, IF('Applicant Data'!E9&lt;700,60,IF('Applicant Data'!E9&lt;750,80,IF('Applicant Data'!E9&lt;800,92,100))))))</f>
        <v>92</v>
      </c>
      <c r="F9" s="6">
        <f>IF('Applicant Data'!F9=0,100,IF('Applicant Data'!F9=1,80,IF('Applicant Data'!F9=2,55, IF('Applicant Data'!F9=3,30,IF('Applicant Data'!F9=4,15,0)))))</f>
        <v>100</v>
      </c>
      <c r="G9" s="7">
        <f>IF('Applicant Data'!G9="Government",100,IF('Applicant Data'!G9="Salaried",85, IF('Applicant Data'!G9="Self-Employed",65,IF('Applicant Data'!G9="Unemployed",10,50))))</f>
        <v>85</v>
      </c>
      <c r="H9" s="7">
        <f>IF('Applicant Data'!H9/('Applicant Data'!D9*12)&lt;=2,100, IF('Applicant Data'!H9/('Applicant Data'!D9*12)&lt;=4,80, IF('Applicant Data'!H9/('Applicant Data'!D9*12)&lt;=6,60, IF('Applicant Data'!H9/('Applicant Data'!D9*12)&lt;=8,35,10))))</f>
        <v>100</v>
      </c>
      <c r="I9" s="6">
        <f t="shared" si="0"/>
        <v>93.1</v>
      </c>
      <c r="J9" s="6" t="str">
        <f t="shared" si="1"/>
        <v>APPROVED</v>
      </c>
      <c r="K9" s="7" t="str">
        <f t="shared" si="2"/>
        <v>Very Low Risk</v>
      </c>
    </row>
    <row r="10" spans="1:11" x14ac:dyDescent="0.25">
      <c r="A10" s="9" t="str">
        <f>AppData[[#This Row],[ID]]</f>
        <v>A009</v>
      </c>
      <c r="B10" s="9" t="str">
        <f>AppData[[#This Row],[NAME]]</f>
        <v>Arun Gupta</v>
      </c>
      <c r="C10" s="5" cm="1">
        <f t="array" ref="C10">_xlfn.IFS(AppData[[#This Row],[AGE]]&lt;18,0,AppData[[#This Row],[AGE]]&lt;=25,60,AppData[[#This Row],[AGE]]&lt;=35,100,AppData[[#This Row],[AGE]]&lt;=45,90,AppData[[#This Row],[AGE]]&lt;=55,75,AppData[[#This Row],[AGE]]&lt;=60,50,AppData[[#This Row],[AGE]]&gt;60,20)</f>
        <v>60</v>
      </c>
      <c r="D10" s="6">
        <f>IF('Applicant Data'!D10&lt;10000,10,IF('Applicant Data'!D10&lt;20000,30,IF('Applicant Data'!D10&lt;35000,55, IF('Applicant Data'!D10&lt;50000,75,IF('Applicant Data'!D10&lt;75000,88,IF('Applicant Data'!D10&lt;=100000,95,100))))))</f>
        <v>10</v>
      </c>
      <c r="E10" s="6">
        <f>IF('Applicant Data'!E10&lt;300,0,IF('Applicant Data'!E10&lt;500,15,IF('Applicant Data'!E10&lt;600,35, IF('Applicant Data'!E10&lt;700,60,IF('Applicant Data'!E10&lt;750,80,IF('Applicant Data'!E10&lt;800,92,100))))))</f>
        <v>15</v>
      </c>
      <c r="F10" s="6">
        <f>IF('Applicant Data'!F10=0,100,IF('Applicant Data'!F10=1,80,IF('Applicant Data'!F10=2,55, IF('Applicant Data'!F10=3,30,IF('Applicant Data'!F10=4,15,0)))))</f>
        <v>100</v>
      </c>
      <c r="G10" s="7">
        <f>IF('Applicant Data'!G10="Government",100,IF('Applicant Data'!G10="Salaried",85, IF('Applicant Data'!G10="Self-Employed",65,IF('Applicant Data'!G10="Unemployed",10,50))))</f>
        <v>10</v>
      </c>
      <c r="H10" s="7">
        <f>IF('Applicant Data'!H10/('Applicant Data'!D10*12)&lt;=2,100, IF('Applicant Data'!H10/('Applicant Data'!D10*12)&lt;=4,80, IF('Applicant Data'!H10/('Applicant Data'!D10*12)&lt;=6,60, IF('Applicant Data'!H10/('Applicant Data'!D10*12)&lt;=8,35,10))))</f>
        <v>100</v>
      </c>
      <c r="I10" s="6">
        <f t="shared" si="0"/>
        <v>37</v>
      </c>
      <c r="J10" s="6" t="str">
        <f t="shared" si="1"/>
        <v>REJECTED</v>
      </c>
      <c r="K10" s="7" t="str">
        <f t="shared" si="2"/>
        <v>Very High Risk</v>
      </c>
    </row>
    <row r="11" spans="1:11" x14ac:dyDescent="0.25">
      <c r="A11" s="9" t="str">
        <f>AppData[[#This Row],[ID]]</f>
        <v>A010</v>
      </c>
      <c r="B11" s="9" t="str">
        <f>AppData[[#This Row],[NAME]]</f>
        <v>Kavya Reddy</v>
      </c>
      <c r="C11" s="5" cm="1">
        <f t="array" ref="C11">_xlfn.IFS(AppData[[#This Row],[AGE]]&lt;18,0,AppData[[#This Row],[AGE]]&lt;=25,60,AppData[[#This Row],[AGE]]&lt;=35,100,AppData[[#This Row],[AGE]]&lt;=45,90,AppData[[#This Row],[AGE]]&lt;=55,75,AppData[[#This Row],[AGE]]&lt;=60,50,AppData[[#This Row],[AGE]]&gt;60,20)</f>
        <v>90</v>
      </c>
      <c r="D11" s="6">
        <f>IF('Applicant Data'!D11&lt;10000,10,IF('Applicant Data'!D11&lt;20000,30,IF('Applicant Data'!D11&lt;35000,55, IF('Applicant Data'!D11&lt;50000,75,IF('Applicant Data'!D11&lt;75000,88,IF('Applicant Data'!D11&lt;=100000,95,100))))))</f>
        <v>100</v>
      </c>
      <c r="E11" s="6">
        <f>IF('Applicant Data'!E11&lt;300,0,IF('Applicant Data'!E11&lt;500,15,IF('Applicant Data'!E11&lt;600,35, IF('Applicant Data'!E11&lt;700,60,IF('Applicant Data'!E11&lt;750,80,IF('Applicant Data'!E11&lt;800,92,100))))))</f>
        <v>100</v>
      </c>
      <c r="F11" s="6">
        <f>IF('Applicant Data'!F11=0,100,IF('Applicant Data'!F11=1,80,IF('Applicant Data'!F11=2,55, IF('Applicant Data'!F11=3,30,IF('Applicant Data'!F11=4,15,0)))))</f>
        <v>55</v>
      </c>
      <c r="G11" s="7">
        <f>IF('Applicant Data'!G11="Government",100,IF('Applicant Data'!G11="Salaried",85, IF('Applicant Data'!G11="Self-Employed",65,IF('Applicant Data'!G11="Unemployed",10,50))))</f>
        <v>85</v>
      </c>
      <c r="H11" s="7">
        <f>IF('Applicant Data'!H11/('Applicant Data'!D11*12)&lt;=2,100, IF('Applicant Data'!H11/('Applicant Data'!D11*12)&lt;=4,80, IF('Applicant Data'!H11/('Applicant Data'!D11*12)&lt;=6,60, IF('Applicant Data'!H11/('Applicant Data'!D11*12)&lt;=8,35,10))))</f>
        <v>100</v>
      </c>
      <c r="I11" s="6">
        <f t="shared" si="0"/>
        <v>90.25</v>
      </c>
      <c r="J11" s="6" t="str">
        <f t="shared" si="1"/>
        <v>APPROVED</v>
      </c>
      <c r="K11" s="7" t="str">
        <f t="shared" si="2"/>
        <v>Very Low Risk</v>
      </c>
    </row>
  </sheetData>
  <conditionalFormatting sqref="K2:K11">
    <cfRule type="cellIs" dxfId="7" priority="8" operator="equal">
      <formula>"Medium Risk"</formula>
    </cfRule>
    <cfRule type="cellIs" dxfId="6" priority="9" operator="equal">
      <formula>"Low Risk"</formula>
    </cfRule>
    <cfRule type="cellIs" dxfId="5" priority="10" operator="equal">
      <formula>"Very High Risk"</formula>
    </cfRule>
    <cfRule type="cellIs" dxfId="4" priority="11" operator="equal">
      <formula>"High Risk"</formula>
    </cfRule>
    <cfRule type="cellIs" dxfId="3" priority="12" operator="equal">
      <formula>"Very Low Risk"</formula>
    </cfRule>
  </conditionalFormatting>
  <conditionalFormatting sqref="D2:H1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{96ADFC17-6D23-4540-9DF6-B8ECE790F9DB}</x14:id>
        </ext>
      </extLst>
    </cfRule>
  </conditionalFormatting>
  <conditionalFormatting sqref="I2:I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{BCD8586A-0CA7-4907-A532-E5060F599B4D}</x14:id>
        </ext>
      </extLst>
    </cfRule>
  </conditionalFormatting>
  <conditionalFormatting sqref="D2:I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{AB67F99A-3FE0-4CCD-B15B-58D46BE00DE5}</x14:id>
        </ext>
      </extLst>
    </cfRule>
  </conditionalFormatting>
  <conditionalFormatting sqref="J2:J11">
    <cfRule type="cellIs" dxfId="2" priority="2" operator="equal">
      <formula>"CONDITIONAL"</formula>
    </cfRule>
    <cfRule type="cellIs" dxfId="1" priority="3" operator="equal">
      <formula>"REJECTED"</formula>
    </cfRule>
    <cfRule type="cellIs" dxfId="0" priority="4" operator="equal">
      <formula>"APPROVED"</formula>
    </cfRule>
  </conditionalFormatting>
  <conditionalFormatting sqref="C2:C1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{F74C9963-1C75-4E43-951E-AD165A5216C4}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ADFC17-6D23-4540-9DF6-B8ECE790F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D2:H11</xm:sqref>
        </x14:conditionalFormatting>
        <x14:conditionalFormatting xmlns:xm="http://schemas.microsoft.com/office/excel/2006/main">
          <x14:cfRule type="dataBar" id="{BCD8586A-0CA7-4907-A532-E5060F599B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I2:I11</xm:sqref>
        </x14:conditionalFormatting>
        <x14:conditionalFormatting xmlns:xm="http://schemas.microsoft.com/office/excel/2006/main">
          <x14:cfRule type="dataBar" id="{AB67F99A-3FE0-4CCD-B15B-58D46BE00D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D2:I11</xm:sqref>
        </x14:conditionalFormatting>
        <x14:conditionalFormatting xmlns:xm="http://schemas.microsoft.com/office/excel/2006/main">
          <x14:cfRule type="dataBar" id="{F74C9963-1C75-4E43-951E-AD165A5216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3A13-C27E-49E1-9096-E04C0597B909}">
  <dimension ref="A1:C14"/>
  <sheetViews>
    <sheetView tabSelected="1" zoomScale="130" zoomScaleNormal="130" workbookViewId="0">
      <selection activeCell="D7" sqref="D7"/>
    </sheetView>
  </sheetViews>
  <sheetFormatPr defaultRowHeight="15" x14ac:dyDescent="0.25"/>
  <cols>
    <col min="1" max="1" width="19.140625" style="1" bestFit="1" customWidth="1"/>
    <col min="2" max="2" width="11" style="1" customWidth="1"/>
    <col min="3" max="3" width="32.42578125" style="1" customWidth="1"/>
    <col min="4" max="16384" width="9.140625" style="1"/>
  </cols>
  <sheetData>
    <row r="1" spans="1:3" s="1" customFormat="1" ht="20.25" x14ac:dyDescent="0.25">
      <c r="A1" s="17" t="s">
        <v>71</v>
      </c>
      <c r="B1" s="17"/>
      <c r="C1" s="17"/>
    </row>
    <row r="2" spans="1:3" s="1" customFormat="1" x14ac:dyDescent="0.25">
      <c r="A2" s="14" t="s">
        <v>65</v>
      </c>
      <c r="B2" s="14" t="s">
        <v>70</v>
      </c>
      <c r="C2" s="14" t="s">
        <v>58</v>
      </c>
    </row>
    <row r="3" spans="1:3" s="1" customFormat="1" x14ac:dyDescent="0.25">
      <c r="A3" s="16" t="s">
        <v>49</v>
      </c>
      <c r="B3" s="10">
        <f>COUNTA('Scoring Engine'!A2:A11)</f>
        <v>10</v>
      </c>
      <c r="C3" s="16" t="s">
        <v>59</v>
      </c>
    </row>
    <row r="4" spans="1:3" s="1" customFormat="1" x14ac:dyDescent="0.25">
      <c r="A4" s="15" t="s">
        <v>66</v>
      </c>
      <c r="B4" s="10">
        <f>COUNTIF('Scoring Engine'!J2:J11,"APPROVED")</f>
        <v>6</v>
      </c>
      <c r="C4" s="15" t="s">
        <v>60</v>
      </c>
    </row>
    <row r="5" spans="1:3" s="1" customFormat="1" ht="15.75" thickBot="1" x14ac:dyDescent="0.3">
      <c r="A5" s="16" t="s">
        <v>67</v>
      </c>
      <c r="B5" s="10">
        <f>COUNTIF('Scoring Engine'!J2:J11,"REJECTED")</f>
        <v>3</v>
      </c>
      <c r="C5" s="16" t="s">
        <v>60</v>
      </c>
    </row>
    <row r="6" spans="1:3" s="1" customFormat="1" ht="15.75" thickBot="1" x14ac:dyDescent="0.3">
      <c r="A6" s="15" t="s">
        <v>68</v>
      </c>
      <c r="B6" s="12">
        <f>COUNTIF('Scoring Engine'!J2:J11,"cONDITIONAL")</f>
        <v>1</v>
      </c>
      <c r="C6" s="15" t="s">
        <v>60</v>
      </c>
    </row>
    <row r="7" spans="1:3" s="1" customFormat="1" ht="15.75" customHeight="1" thickBot="1" x14ac:dyDescent="0.3">
      <c r="A7" s="16" t="s">
        <v>50</v>
      </c>
      <c r="B7" s="11">
        <f>Dashboard!B4/Dashboard!B3*100</f>
        <v>60</v>
      </c>
      <c r="C7" s="16" t="s">
        <v>61</v>
      </c>
    </row>
    <row r="8" spans="1:3" s="1" customFormat="1" ht="15.75" thickBot="1" x14ac:dyDescent="0.3">
      <c r="A8" s="15" t="s">
        <v>51</v>
      </c>
      <c r="B8" s="12">
        <f>AVERAGE('Scoring Engine'!I2:I11)</f>
        <v>70.39500000000001</v>
      </c>
      <c r="C8" s="15" t="s">
        <v>62</v>
      </c>
    </row>
    <row r="9" spans="1:3" s="1" customFormat="1" ht="15.75" thickBot="1" x14ac:dyDescent="0.3">
      <c r="A9" s="16" t="s">
        <v>52</v>
      </c>
      <c r="B9" s="11">
        <f>MAX('Scoring Engine'!I2:I11)</f>
        <v>95.75</v>
      </c>
      <c r="C9" s="16" t="s">
        <v>63</v>
      </c>
    </row>
    <row r="10" spans="1:3" s="1" customFormat="1" ht="15.75" thickBot="1" x14ac:dyDescent="0.3">
      <c r="A10" s="15" t="s">
        <v>53</v>
      </c>
      <c r="B10" s="12">
        <f>MIN('Scoring Engine'!I2:I11)</f>
        <v>35.25</v>
      </c>
      <c r="C10" s="15" t="s">
        <v>64</v>
      </c>
    </row>
    <row r="11" spans="1:3" s="1" customFormat="1" ht="15" customHeight="1" x14ac:dyDescent="0.25">
      <c r="A11" s="16" t="s">
        <v>54</v>
      </c>
      <c r="B11" s="13" t="str">
        <f>INDEX('Scoring Engine'!B2:B11,MATCH(MAX('Scoring Engine'!I2:I11),'Scoring Engine'!I2:I11,0))</f>
        <v>Vikram Rao</v>
      </c>
      <c r="C11" s="16" t="s">
        <v>57</v>
      </c>
    </row>
    <row r="12" spans="1:3" s="1" customFormat="1" ht="18.75" customHeight="1" x14ac:dyDescent="0.25">
      <c r="A12" s="15" t="s">
        <v>56</v>
      </c>
      <c r="B12" s="10" t="str">
        <f>INDEX('Scoring Engine'!B2:B11,MATCH(MIN('Scoring Engine'!I2:I11),'Scoring Engine'!I2:I11,0))</f>
        <v>Anita Singh</v>
      </c>
      <c r="C12" s="15" t="s">
        <v>57</v>
      </c>
    </row>
    <row r="13" spans="1:3" s="1" customFormat="1" x14ac:dyDescent="0.25">
      <c r="A13" s="16" t="s">
        <v>69</v>
      </c>
      <c r="B13" s="1">
        <f>COUNTIF('Scoring Engine'!K2:K11,"Very Low Risk")</f>
        <v>4</v>
      </c>
      <c r="C13" s="16" t="s">
        <v>60</v>
      </c>
    </row>
    <row r="14" spans="1:3" s="1" customFormat="1" x14ac:dyDescent="0.25">
      <c r="A14" s="15" t="s">
        <v>55</v>
      </c>
      <c r="B14" s="1">
        <f>COUNTIF('Scoring Engine'!K2:K11,"Very High Risk")</f>
        <v>2</v>
      </c>
      <c r="C14" s="15" t="s">
        <v>60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Applicant Data</vt:lpstr>
      <vt:lpstr>Scoring Engine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IICL Faculty</dc:creator>
  <cp:lastModifiedBy>IICL Faculty</cp:lastModifiedBy>
  <dcterms:created xsi:type="dcterms:W3CDTF">2026-05-21T09:50:24Z</dcterms:created>
  <dcterms:modified xsi:type="dcterms:W3CDTF">2026-05-21T10:54:34Z</dcterms:modified>
</cp:coreProperties>
</file>