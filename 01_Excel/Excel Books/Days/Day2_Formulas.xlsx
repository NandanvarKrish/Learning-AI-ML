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G:\Krish\01_Excel\Excel Books\"/>
    </mc:Choice>
  </mc:AlternateContent>
  <xr:revisionPtr revIDLastSave="0" documentId="13_ncr:1_{E8111514-CB24-441E-B559-C6F7488C7ED7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LookupLab" sheetId="1" r:id="rId1"/>
    <sheet name="LogicLab" sheetId="2" r:id="rId2"/>
    <sheet name="AggLab" sheetId="4" r:id="rId3"/>
    <sheet name="TextLab" sheetId="5" r:id="rId4"/>
    <sheet name="SumProductLab" sheetId="6" r:id="rId5"/>
    <sheet name="Day_2 Summar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C4" i="7"/>
  <c r="B4" i="7"/>
  <c r="A4" i="7"/>
  <c r="B2" i="7"/>
  <c r="E4" i="7" s="1"/>
  <c r="L16" i="6" a="1"/>
  <c r="L16" i="6" s="1"/>
  <c r="K2" i="6" a="1"/>
  <c r="K2" i="6" s="1"/>
  <c r="K3" i="6" a="1"/>
  <c r="K3" i="6" s="1"/>
  <c r="K4" i="6" a="1"/>
  <c r="K4" i="6" s="1"/>
  <c r="K5" i="6" a="1"/>
  <c r="K5" i="6" s="1"/>
  <c r="K6" i="6" a="1"/>
  <c r="K6" i="6" s="1"/>
  <c r="K7" i="6" a="1"/>
  <c r="K7" i="6" s="1"/>
  <c r="K8" i="6" a="1"/>
  <c r="K8" i="6"/>
  <c r="K9" i="6" a="1"/>
  <c r="K9" i="6" s="1"/>
  <c r="K10" i="6" a="1"/>
  <c r="K10" i="6"/>
  <c r="K11" i="6" a="1"/>
  <c r="K11" i="6" s="1"/>
  <c r="K12" i="6" a="1"/>
  <c r="K12" i="6" s="1"/>
  <c r="K13" i="6" a="1"/>
  <c r="K13" i="6" s="1"/>
  <c r="K14" i="6" a="1"/>
  <c r="K14" i="6" s="1"/>
  <c r="K15" i="6" a="1"/>
  <c r="K15" i="6" s="1"/>
  <c r="K16" i="6" a="1"/>
  <c r="K16" i="6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2" i="6" a="1"/>
  <c r="J2" i="6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2" i="6"/>
  <c r="H3" i="6"/>
  <c r="H4" i="6"/>
  <c r="H5" i="6"/>
  <c r="H6" i="6"/>
  <c r="H7" i="6"/>
  <c r="H8" i="6"/>
  <c r="H9" i="6"/>
  <c r="L9" i="6" s="1" a="1"/>
  <c r="L9" i="6" s="1"/>
  <c r="H10" i="6"/>
  <c r="H11" i="6"/>
  <c r="H12" i="6"/>
  <c r="H13" i="6"/>
  <c r="H14" i="6"/>
  <c r="H15" i="6"/>
  <c r="H16" i="6"/>
  <c r="H2" i="6"/>
  <c r="L2" i="6" s="1" a="1"/>
  <c r="L2" i="6" s="1"/>
  <c r="H5" i="5"/>
  <c r="H9" i="5"/>
  <c r="H13" i="5"/>
  <c r="H17" i="5"/>
  <c r="H2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D2" i="5"/>
  <c r="E2" i="5"/>
  <c r="H2" i="5" s="1"/>
  <c r="E3" i="5"/>
  <c r="H3" i="5" s="1"/>
  <c r="E4" i="5"/>
  <c r="H4" i="5" s="1"/>
  <c r="E5" i="5"/>
  <c r="E6" i="5"/>
  <c r="H6" i="5" s="1"/>
  <c r="E7" i="5"/>
  <c r="H7" i="5" s="1"/>
  <c r="E8" i="5"/>
  <c r="H8" i="5" s="1"/>
  <c r="E9" i="5"/>
  <c r="E10" i="5"/>
  <c r="H10" i="5" s="1"/>
  <c r="E11" i="5"/>
  <c r="H11" i="5" s="1"/>
  <c r="E12" i="5"/>
  <c r="H12" i="5" s="1"/>
  <c r="E13" i="5"/>
  <c r="E14" i="5"/>
  <c r="H14" i="5" s="1"/>
  <c r="E15" i="5"/>
  <c r="H15" i="5" s="1"/>
  <c r="E16" i="5"/>
  <c r="H16" i="5" s="1"/>
  <c r="E17" i="5"/>
  <c r="E18" i="5"/>
  <c r="H18" i="5" s="1"/>
  <c r="E19" i="5"/>
  <c r="H19" i="5" s="1"/>
  <c r="E20" i="5"/>
  <c r="H20" i="5" s="1"/>
  <c r="E2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Q2" i="4" a="1"/>
  <c r="Q2" i="4" s="1"/>
  <c r="Q3" i="4" a="1"/>
  <c r="Q3" i="4" s="1"/>
  <c r="Q4" i="4" a="1"/>
  <c r="Q4" i="4" s="1"/>
  <c r="Q5" i="4" a="1"/>
  <c r="Q5" i="4" s="1"/>
  <c r="P2" i="4"/>
  <c r="P3" i="4"/>
  <c r="P4" i="4"/>
  <c r="P5" i="4"/>
  <c r="N2" i="4"/>
  <c r="N3" i="4"/>
  <c r="N4" i="4"/>
  <c r="N5" i="4"/>
  <c r="M2" i="4"/>
  <c r="M3" i="4"/>
  <c r="M4" i="4"/>
  <c r="M5" i="4"/>
  <c r="O2" i="4"/>
  <c r="O3" i="4"/>
  <c r="O4" i="4"/>
  <c r="O5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G2" i="1" a="1"/>
  <c r="G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5" i="1"/>
  <c r="E6" i="1"/>
  <c r="E13" i="1"/>
  <c r="E14" i="1"/>
  <c r="E7" i="1"/>
  <c r="E8" i="1"/>
  <c r="E9" i="1"/>
  <c r="E15" i="1"/>
  <c r="E16" i="1"/>
  <c r="E10" i="1"/>
  <c r="E11" i="1"/>
  <c r="E12" i="1"/>
  <c r="E17" i="1"/>
  <c r="E18" i="1"/>
  <c r="E19" i="1"/>
  <c r="E20" i="1"/>
  <c r="E21" i="1"/>
  <c r="E2" i="1"/>
  <c r="E3" i="1"/>
  <c r="E4" i="1"/>
  <c r="J22" i="1"/>
  <c r="L4" i="6" l="1" a="1"/>
  <c r="L4" i="6" s="1"/>
  <c r="L13" i="6" a="1"/>
  <c r="L13" i="6" s="1"/>
  <c r="L11" i="6" a="1"/>
  <c r="L11" i="6" s="1"/>
  <c r="L7" i="6" a="1"/>
  <c r="L7" i="6" s="1"/>
  <c r="L3" i="6" a="1"/>
  <c r="L3" i="6" s="1"/>
  <c r="L12" i="6" a="1"/>
  <c r="L12" i="6" s="1"/>
  <c r="L14" i="6" a="1"/>
  <c r="L14" i="6" s="1"/>
  <c r="L10" i="6" a="1"/>
  <c r="L10" i="6" s="1"/>
  <c r="L6" i="6" a="1"/>
  <c r="L6" i="6" s="1"/>
  <c r="L5" i="6" a="1"/>
  <c r="L5" i="6" s="1"/>
  <c r="L15" i="6" a="1"/>
  <c r="L15" i="6" s="1"/>
  <c r="L8" i="6" a="1"/>
  <c r="L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<sst xmlns="http://schemas.openxmlformats.org/spreadsheetml/2006/main" count="478" uniqueCount="196">
  <si>
    <t>Department</t>
  </si>
  <si>
    <t>StudentID</t>
  </si>
  <si>
    <t>Name</t>
  </si>
  <si>
    <t>Score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</si>
  <si>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</si>
  <si>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</si>
  <si>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</si>
  <si>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</si>
  <si>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</si>
  <si>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</si>
  <si>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</si>
  <si>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</si>
  <si>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</si>
  <si>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</si>
  <si>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</si>
  <si>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</si>
  <si>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</si>
  <si>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</si>
  <si>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</si>
  <si>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</si>
  <si>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</si>
  <si>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</si>
  <si>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</si>
  <si>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ML20</t>
  </si>
  <si>
    <t>Liam</t>
  </si>
  <si>
    <t>Noah</t>
  </si>
  <si>
    <t>Oliver</t>
  </si>
  <si>
    <t>James</t>
  </si>
  <si>
    <t>Ethan</t>
  </si>
  <si>
    <t>Lucas</t>
  </si>
  <si>
    <t>Mason</t>
  </si>
  <si>
    <t>Logan</t>
  </si>
  <si>
    <t>Aiden</t>
  </si>
  <si>
    <t>Carter</t>
  </si>
  <si>
    <t>Jayden</t>
  </si>
  <si>
    <t>Elijah</t>
  </si>
  <si>
    <t>Ryan</t>
  </si>
  <si>
    <t>Nathan</t>
  </si>
  <si>
    <t>Dylan</t>
  </si>
  <si>
    <t>Emma</t>
  </si>
  <si>
    <t>Olivia</t>
  </si>
  <si>
    <t>Ava</t>
  </si>
  <si>
    <t>Isabella</t>
  </si>
  <si>
    <t>Sophia</t>
  </si>
  <si>
    <t>Science</t>
  </si>
  <si>
    <t>Engineering</t>
  </si>
  <si>
    <t>Finance</t>
  </si>
  <si>
    <t>Email</t>
  </si>
  <si>
    <t>Scholarship</t>
  </si>
  <si>
    <t>YES</t>
  </si>
  <si>
    <t>NO</t>
  </si>
  <si>
    <t>Column1</t>
  </si>
  <si>
    <t>liam@gmail.com</t>
  </si>
  <si>
    <t>noah@gmail.com</t>
  </si>
  <si>
    <t>oliver@gmail.com</t>
  </si>
  <si>
    <t>james@gmail.com</t>
  </si>
  <si>
    <t>ethan@gmail.com</t>
  </si>
  <si>
    <t>lucas@gmail.com</t>
  </si>
  <si>
    <t>mason@gmail.com</t>
  </si>
  <si>
    <t>logan@gmail.com</t>
  </si>
  <si>
    <t>aiden@gmail.com</t>
  </si>
  <si>
    <t>carter@gmail.com</t>
  </si>
  <si>
    <t>jayden@gmail.com</t>
  </si>
  <si>
    <t>elijah@gmail.com</t>
  </si>
  <si>
    <t>ryan@gmail.com</t>
  </si>
  <si>
    <t>nathan@gmail.com</t>
  </si>
  <si>
    <t>dylan@gmail.com</t>
  </si>
  <si>
    <t>emma@gmail.com</t>
  </si>
  <si>
    <t>olivia@gmail.com</t>
  </si>
  <si>
    <t>ava@gmail.com</t>
  </si>
  <si>
    <t>isabella@gmail.com</t>
  </si>
  <si>
    <t>sophia@gmail.com</t>
  </si>
  <si>
    <t>Score (0–100)</t>
  </si>
  <si>
    <t xml:space="preserve"> Attendance (%)</t>
  </si>
  <si>
    <t xml:space="preserve"> PreviousFail (TRUE/FALSE)</t>
  </si>
  <si>
    <t>Grade</t>
  </si>
  <si>
    <t>Grade with IFS</t>
  </si>
  <si>
    <t>Risk Flag</t>
  </si>
  <si>
    <t>Numeric Risk Encoding</t>
  </si>
  <si>
    <t>Engineer</t>
  </si>
  <si>
    <t>Marketing</t>
  </si>
  <si>
    <t>Department with switch</t>
  </si>
  <si>
    <t>Region</t>
  </si>
  <si>
    <t>Quarter</t>
  </si>
  <si>
    <t>Product</t>
  </si>
  <si>
    <t>Target</t>
  </si>
  <si>
    <t>SalesRep</t>
  </si>
  <si>
    <t>Revenue</t>
  </si>
  <si>
    <t>Units</t>
  </si>
  <si>
    <t>NORTH</t>
  </si>
  <si>
    <t>SOUTH</t>
  </si>
  <si>
    <t>EAST</t>
  </si>
  <si>
    <t>WEST</t>
  </si>
  <si>
    <t>PC</t>
  </si>
  <si>
    <t>LAPTOP</t>
  </si>
  <si>
    <t>ACCESSORIES</t>
  </si>
  <si>
    <t>Q1</t>
  </si>
  <si>
    <t>Q4</t>
  </si>
  <si>
    <t>Q2</t>
  </si>
  <si>
    <t>Q3</t>
  </si>
  <si>
    <t>COUNT</t>
  </si>
  <si>
    <t>SUM REVENUE</t>
  </si>
  <si>
    <t>AVG REVENUE</t>
  </si>
  <si>
    <t>REGION</t>
  </si>
  <si>
    <t>COUNTIFS</t>
  </si>
  <si>
    <t>SUMPRODUCT</t>
  </si>
  <si>
    <t>Regional Avg</t>
  </si>
  <si>
    <t>Target attainment %</t>
  </si>
  <si>
    <t> Flag over-attainment</t>
  </si>
  <si>
    <t>liam@GMAIL.COM</t>
  </si>
  <si>
    <t>noah@GMAIL.COM</t>
  </si>
  <si>
    <t>oliver@GMAIL.COM</t>
  </si>
  <si>
    <t>james@GMAIL.COM</t>
  </si>
  <si>
    <t>lucas@GMAIL.COM</t>
  </si>
  <si>
    <t>logan@GMAIL.COM</t>
  </si>
  <si>
    <t>aiden@GMAIL.COM</t>
  </si>
  <si>
    <t>carter@GMAIL.COM</t>
  </si>
  <si>
    <t>jayden@GMAIL.COM</t>
  </si>
  <si>
    <t>elijah@GMAIL.COM</t>
  </si>
  <si>
    <t>nathan@GMAIL.COM</t>
  </si>
  <si>
    <t>dylan@GMAIL.COM</t>
  </si>
  <si>
    <t>emma@GMAIL.COM</t>
  </si>
  <si>
    <t>olivia@GMAIL.COM</t>
  </si>
  <si>
    <t>ava@GMAIL.COM</t>
  </si>
  <si>
    <t>isabella@GMAIL.COM</t>
  </si>
  <si>
    <t>sophia@GMAIL.COM</t>
  </si>
  <si>
    <t>SORTED NAME</t>
  </si>
  <si>
    <t>Ethan@GMAIL.COM</t>
  </si>
  <si>
    <t>mason@GAMIL.COM</t>
  </si>
  <si>
    <t>ryan@GMAIL.COM'</t>
  </si>
  <si>
    <t>SORTED EMAIL</t>
  </si>
  <si>
    <t>NAMES</t>
  </si>
  <si>
    <t>EMAIL</t>
  </si>
  <si>
    <t>PRODUCTS</t>
  </si>
  <si>
    <t>PRODUCT CODE</t>
  </si>
  <si>
    <t>PRODUCT NAME</t>
  </si>
  <si>
    <t>PRD001 RedWidget</t>
  </si>
  <si>
    <t>PRD002 BlueWidget</t>
  </si>
  <si>
    <t>PRD003 RedWidget</t>
  </si>
  <si>
    <t>PRD004 RedWidget</t>
  </si>
  <si>
    <t>PRD005 BlueWidget</t>
  </si>
  <si>
    <t>PRD006 RedWidget</t>
  </si>
  <si>
    <t>PRD007 BlueWidget</t>
  </si>
  <si>
    <t>PRD008 RedWidget</t>
  </si>
  <si>
    <t>PRD009 RedWidget</t>
  </si>
  <si>
    <t>PRD010 BlueWidget</t>
  </si>
  <si>
    <t>PRD011 RedWidget</t>
  </si>
  <si>
    <t>PRD012 RedWidget</t>
  </si>
  <si>
    <t>PRD013 BlueWidget</t>
  </si>
  <si>
    <t>PRD014 BlueWidget</t>
  </si>
  <si>
    <t>PRD015 BlueWidget</t>
  </si>
  <si>
    <t>PRD016 BlueWidget</t>
  </si>
  <si>
    <t>PRD017 RedWidget</t>
  </si>
  <si>
    <t>PRD018 BlueWidget</t>
  </si>
  <si>
    <t>PRD019 RedWidget</t>
  </si>
  <si>
    <t>PRD020 BlueWidget</t>
  </si>
  <si>
    <t>Gmail Type</t>
  </si>
  <si>
    <t>Quiz1</t>
  </si>
  <si>
    <t>Quiz2</t>
  </si>
  <si>
    <t>Midterm</t>
  </si>
  <si>
    <t>Final</t>
  </si>
  <si>
    <t>Attendance </t>
  </si>
  <si>
    <t>ML001</t>
  </si>
  <si>
    <t>ML002</t>
  </si>
  <si>
    <t>ML003</t>
  </si>
  <si>
    <t>ML004</t>
  </si>
  <si>
    <t>ML005</t>
  </si>
  <si>
    <t>ML006</t>
  </si>
  <si>
    <t>ML007</t>
  </si>
  <si>
    <t>ML008</t>
  </si>
  <si>
    <t>ML009</t>
  </si>
  <si>
    <t>ML010</t>
  </si>
  <si>
    <t>ML011</t>
  </si>
  <si>
    <t>ML012</t>
  </si>
  <si>
    <t>ML013</t>
  </si>
  <si>
    <t>ML014</t>
  </si>
  <si>
    <t>ML015</t>
  </si>
  <si>
    <t>Dotproduct</t>
  </si>
  <si>
    <t>Weighted Final Score</t>
  </si>
  <si>
    <t>Weights Sum</t>
  </si>
  <si>
    <t>Multi Condition Analysis</t>
  </si>
  <si>
    <t>% of class</t>
  </si>
  <si>
    <t>Grade Distribution</t>
  </si>
  <si>
    <t>Student Name</t>
  </si>
  <si>
    <t>Krish</t>
  </si>
  <si>
    <t>Cleaned Name</t>
  </si>
  <si>
    <t>ML016</t>
  </si>
  <si>
    <t>ML017</t>
  </si>
  <si>
    <t>ML018</t>
  </si>
  <si>
    <t>ML019</t>
  </si>
  <si>
    <t>ML020</t>
  </si>
  <si>
    <t>ML021</t>
  </si>
  <si>
    <t>ML022</t>
  </si>
  <si>
    <t>ML023</t>
  </si>
  <si>
    <t>ML024</t>
  </si>
  <si>
    <t>ML025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</si>
</sst>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8243A"/>
      <name val="Arial"/>
      <family val="2"/>
    </font>
    <font>
      <sz val="8"/>
      <name val="Calibri"/>
      <family val="2"/>
      <scheme val="minor"/>
    </font>
    <font>
      <sz val="10"/>
      <color rgb="FF18243A"/>
      <name val="Courier New"/>
      <family val="3"/>
    </font>
    <font>
      <b/>
      <sz val="10"/>
      <color theme="0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0"/>
      <color rgb="FF212121"/>
      <name val="Courier New"/>
      <family val="3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ourier New"/>
      <family val="3"/>
    </font>
    <font>
      <sz val="11"/>
      <color rgb="FF18243A"/>
      <name val="Courier New"/>
      <family val="3"/>
    </font>
    <font>
      <sz val="10"/>
      <color rgb="FF18243A"/>
      <name val="Arial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18243A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53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4" fillId="3" borderId="0" xfId="2" applyFont="1" applyFill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3" fillId="0" borderId="0" xfId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243A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243A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243A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243A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36292-8D9C-435B-A40B-CDFA7B3AE13D}" name="Students" displayName="Students" ref="A1:D21" totalsRowShown="0" headerRowDxfId="75" dataDxfId="73" headerRowBorderDxfId="74" tableBorderDxfId="72" totalsRowBorderDxfId="71">
  <autoFilter ref="A1:D21" xr:uid="{4A236292-8D9C-435B-A40B-CDFA7B3AE13D}"/>
  <tableColumns count="4">
    <tableColumn id="1" xr3:uid="{B9C7F68C-AB3B-4A11-84B0-180DD941D16D}" name="StudentID" dataDxfId="70"/>
    <tableColumn id="2" xr3:uid="{C440B805-3358-4AA9-85EA-18A263ED1F28}" name="Name" dataDxfId="69"/>
    <tableColumn id="3" xr3:uid="{F49AF20B-DDA0-414A-B176-D0359A5E0582}" name="Score" dataDxfId="68"/>
    <tableColumn id="4" xr3:uid="{9162D8D6-972E-4994-91E2-D83BF41A9220}" name="Department" dataDxfId="6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640BEE-70CB-43BA-8266-706E78D7602A}" name="Extras" displayName="Extras" ref="H1:K21" totalsRowShown="0" headerRowDxfId="66" dataDxfId="64" headerRowBorderDxfId="65" tableBorderDxfId="63" totalsRowBorderDxfId="62">
  <autoFilter ref="H1:K21" xr:uid="{BC640BEE-70CB-43BA-8266-706E78D7602A}"/>
  <tableColumns count="4">
    <tableColumn id="1" xr3:uid="{5D4B057C-162E-46D9-B18F-3B9C5E2407F5}" name="StudentID" dataDxfId="61"/>
    <tableColumn id="5" xr3:uid="{B05BF698-F1AA-4881-880C-EDB659A3F560}" name="Column1" dataDxfId="60"/>
    <tableColumn id="2" xr3:uid="{4570913B-D069-4483-B492-E8133901829A}" name="Email" dataDxfId="59"/>
    <tableColumn id="3" xr3:uid="{BBE3712F-59A9-4527-B9AA-40C020AF52F1}" name="Scholarship" dataDxfId="5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D09F5F-154A-4DE1-B92E-E6CEFD4736EE}" name="Student1" displayName="Student1" ref="A1:J26" totalsRowShown="0" headerRowDxfId="3" dataDxfId="4">
  <autoFilter ref="A1:J26" xr:uid="{EAD09F5F-154A-4DE1-B92E-E6CEFD4736EE}"/>
  <tableColumns count="10">
    <tableColumn id="1" xr3:uid="{676331F5-4B97-499F-9C5A-FE48CCE5E100}" name="StudentID" dataDxfId="14"/>
    <tableColumn id="2" xr3:uid="{78617D18-253F-4764-BD4F-548778B732F6}" name="Score (0–100)" dataDxfId="13"/>
    <tableColumn id="3" xr3:uid="{CC60762A-4630-4E9D-97FA-16A2CEC40BE4}" name=" Attendance (%)" dataDxfId="12"/>
    <tableColumn id="4" xr3:uid="{444BF768-9C08-4098-B2BF-19E1F0858761}" name="Department" dataDxfId="11"/>
    <tableColumn id="5" xr3:uid="{330EAD54-2759-4819-AC00-32A45274DEFC}" name=" PreviousFail (TRUE/FALSE)" dataDxfId="10"/>
    <tableColumn id="6" xr3:uid="{C3E1492A-CB43-4825-80FB-CB64C3E6FBCF}" name="Grade" dataDxfId="9">
      <calculatedColumnFormula>IF(B2:B26&gt;=90,"A",IF(B2:B26&gt;=80,"B",IF(B2:B26&gt;=70,"C",IF(B2:B26&gt;=60,"D","F"))))</calculatedColumnFormula>
    </tableColumn>
    <tableColumn id="7" xr3:uid="{C9C94743-D81D-4B15-B879-2FBA52224638}" name="Grade with IFS" dataDxfId="8">
      <calculatedColumnFormula>_xlfn.IFS(B2:B26&gt;=90,"A",B2:B26&gt;=80,"B",B2:B26&gt;=70,"C",B2:B26&gt;=60,"D",TRUE,"F")</calculatedColumnFormula>
    </tableColumn>
    <tableColumn id="8" xr3:uid="{0C49BCC0-D8F5-4769-9F69-37629088B695}" name="Department with switch" dataDxfId="7">
      <calculatedColumnFormula>_xlfn.SWITCH(D2:D26,"Eng","Engineering","Mkt","Marketing","Sci","Science","Fin","Finance","Other")</calculatedColumnFormula>
    </tableColumn>
    <tableColumn id="9" xr3:uid="{510D5F44-620E-4FBD-84DC-2923F8163A8E}" name="Risk Flag" dataDxfId="6">
      <calculatedColumnFormula>IF(AND(B2:B26&lt;70,C2:C26&lt;0.75,E2:E26=TRUE),"HIGH",IF(OR(B2:B26&lt;70,C2:C26&lt;0.75),"MEDIUM","LOW"))</calculatedColumnFormula>
    </tableColumn>
    <tableColumn id="10" xr3:uid="{97475D62-F704-42A1-98CD-EA9B74A4E948}" name="Numeric Risk Encoding" dataDxfId="5">
      <calculatedColumnFormula>IF(I2:I26="HIGH",3,IF(I2:I26="MEDIUM",2,1))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219679-CD83-44DC-8986-81309C6D2DC1}" name="SalesTable" displayName="SalesTable" ref="A1:J51" totalsRowShown="0" headerRowDxfId="49" dataDxfId="48">
  <autoFilter ref="A1:J51" xr:uid="{44219679-CD83-44DC-8986-81309C6D2DC1}"/>
  <tableColumns count="10">
    <tableColumn id="1" xr3:uid="{143D38B9-7BD9-4B91-95E3-29465709C12B}" name="SalesRep" dataDxfId="57"/>
    <tableColumn id="2" xr3:uid="{612995EE-8E38-41BB-883A-B681F92C455A}" name="Region" dataDxfId="56"/>
    <tableColumn id="3" xr3:uid="{0E17CE22-3582-4B37-9EA9-A77B4FCB9F70}" name="Quarter" dataDxfId="55"/>
    <tableColumn id="4" xr3:uid="{5389C8C6-0822-46E1-8644-C62F5FAD70F8}" name="Product" dataDxfId="54"/>
    <tableColumn id="5" xr3:uid="{2011888A-3D02-401B-9A44-463B7DBE6270}" name="Revenue" dataDxfId="53"/>
    <tableColumn id="6" xr3:uid="{9A5262D8-08C8-453C-8250-483B0ABFA60F}" name="Units" dataDxfId="52"/>
    <tableColumn id="7" xr3:uid="{70671BB9-F98B-488F-AED7-3D3FB69FB508}" name="Target" dataDxfId="51"/>
    <tableColumn id="8" xr3:uid="{FABCA62A-E571-4984-B591-E0E43CCE3865}" name="Regional Avg" dataDxfId="50">
      <calculatedColumnFormula>IF(SalesTable[[#This Row],[Revenue]]&gt;AVERAGEIF(SalesTable[Region],SalesTable[[#This Row],[Region]],SalesTable[Revenue]),"Above","Below")</calculatedColumnFormula>
    </tableColumn>
    <tableColumn id="9" xr3:uid="{0E448668-79FB-424A-982B-B16A704B677A}" name="Target attainment %" dataDxfId="38">
      <calculatedColumnFormula>(SalesTable[[#This Row],[Revenue]]/SalesTable[[#This Row],[Target]]-1)%</calculatedColumnFormula>
    </tableColumn>
    <tableColumn id="10" xr3:uid="{322E584B-9C59-4CFB-9A1F-1C3D4E42D11B}" name=" Flag over-attainment" dataDxfId="39">
      <calculatedColumnFormula>IF(SalesTable[[#This Row],[Revenue]]&gt;=SalesTable[[#This Row],[Target]],"Hit","Miss")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D479A9-8FF8-4F55-B4C7-1040F8194415}" name="RegionSummary" displayName="RegionSummary" ref="L1:Q5" totalsRowShown="0" headerRowDxfId="41" dataDxfId="40">
  <autoFilter ref="L1:Q5" xr:uid="{B7D479A9-8FF8-4F55-B4C7-1040F8194415}"/>
  <tableColumns count="6">
    <tableColumn id="1" xr3:uid="{8EAE7EB2-A0B3-4DA2-94F0-403379457DBD}" name="REGION" dataDxfId="47"/>
    <tableColumn id="2" xr3:uid="{48B72828-1BFC-4309-B203-7919D00D799F}" name="COUNT" dataDxfId="46">
      <calculatedColumnFormula>COUNTIF(SalesTable[Region], L2)</calculatedColumnFormula>
    </tableColumn>
    <tableColumn id="3" xr3:uid="{F3EBA608-E4BD-4189-BEA3-8929A3D8FFE6}" name="SUM REVENUE" dataDxfId="45">
      <calculatedColumnFormula>SUMIF(SalesTable[Region], L2, SalesTable[Revenue])</calculatedColumnFormula>
    </tableColumn>
    <tableColumn id="4" xr3:uid="{767EBD3A-FFD5-4580-A7A0-DB6C4362A215}" name="AVG REVENUE" dataDxfId="44">
      <calculatedColumnFormula>AVERAGEIF(SalesTable[Region],L2,SalesTable[Revenue])</calculatedColumnFormula>
    </tableColumn>
    <tableColumn id="6" xr3:uid="{EEF1F61E-4DB3-4622-AAFD-D7E44CBCBA23}" name="COUNTIFS" dataDxfId="43">
      <calculatedColumnFormula>COUNTIFS(SalesTable[Region],L2, SalesTable[Quarter],"Q1", SalesTable[Revenue],"&gt;"&amp;10000)</calculatedColumnFormula>
    </tableColumn>
    <tableColumn id="7" xr3:uid="{CFDB1604-BDB8-4948-B50E-71104A0DFE49}" name="SUMPRODUCT" dataDxfId="42">
      <calculatedColumnFormula array="1">SUMPRODUCT((SalesTable[Region]=L2)*(SalesTable[Quarter]="Q1")*(SalesTable[Revenue]&gt;10000))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5CEFF5-F446-4CD9-8E0F-74F0AF708C01}" name="DirtyData" displayName="DirtyData" ref="A1:I21" totalsRowShown="0" headerRowDxfId="30" dataDxfId="29">
  <autoFilter ref="A1:I21" xr:uid="{B85CEFF5-F446-4CD9-8E0F-74F0AF708C01}"/>
  <tableColumns count="9">
    <tableColumn id="1" xr3:uid="{0B875784-4137-4E5D-955F-8EA9ADB11C23}" name="NAMES" dataDxfId="37"/>
    <tableColumn id="2" xr3:uid="{014770F7-6E7E-4EBF-A876-4D1C7C9F4488}" name="EMAIL" dataDxfId="36" dataCellStyle="Hyperlink"/>
    <tableColumn id="3" xr3:uid="{288050D7-E398-40AA-8C63-ADFC0FDC931C}" name="PRODUCTS" dataDxfId="35"/>
    <tableColumn id="4" xr3:uid="{29E63451-9649-47E4-BD68-53A8C75E460D}" name="SORTED NAME" dataDxfId="34">
      <calculatedColumnFormula>PROPER(TRIM(A2))</calculatedColumnFormula>
    </tableColumn>
    <tableColumn id="5" xr3:uid="{84066B60-1CE5-4A3A-A197-ED70FEFC33AD}" name="SORTED EMAIL" dataDxfId="33">
      <calculatedColumnFormula>LOWER(TRIM(B2))</calculatedColumnFormula>
    </tableColumn>
    <tableColumn id="6" xr3:uid="{A3552548-87D3-42E5-A4E5-0BF07E02A1A8}" name="PRODUCT CODE" dataDxfId="32">
      <calculatedColumnFormula>LEFT(C2,FIND(" ",C2)-1)</calculatedColumnFormula>
    </tableColumn>
    <tableColumn id="7" xr3:uid="{CDED342A-C196-418E-ADFA-27D8E83C348E}" name="PRODUCT NAME" dataDxfId="31">
      <calculatedColumnFormula>TRIM(MID(C2, FIND(" ",C2)+1, 100))</calculatedColumnFormula>
    </tableColumn>
    <tableColumn id="8" xr3:uid="{51406994-F3E5-4455-9C6E-B96ED9CE09BC}" name="Gmail Type" dataDxfId="28">
      <calculatedColumnFormula>MID(E2, FIND("@",E2)+1, LEN(E2))</calculatedColumnFormula>
    </tableColumn>
    <tableColumn id="9" xr3:uid="{C5DF69AB-44A8-45C2-A8EE-96F0B9EC2651}" name="Column1" dataDxfId="2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BE6162-EFCD-41F0-B381-1F35DEB9267C}" name="Student" displayName="Student" ref="A1:L16" totalsRowShown="0" headerRowDxfId="15">
  <autoFilter ref="A1:L16" xr:uid="{F6BE6162-EFCD-41F0-B381-1F35DEB9267C}"/>
  <tableColumns count="12">
    <tableColumn id="1" xr3:uid="{A1ED6AB8-F4C0-48BF-A41D-B35B76A4CB48}" name="StudentID" dataDxfId="26"/>
    <tableColumn id="2" xr3:uid="{9C2E90B0-246E-4F43-8110-3068817DBDE7}" name="Student Name"/>
    <tableColumn id="3" xr3:uid="{D8497119-233F-42E6-B8E3-BAB1FAC4F737}" name="Quiz1" dataDxfId="25"/>
    <tableColumn id="4" xr3:uid="{3DB4FDCF-955D-4C82-B6C0-F512D50A6B8A}" name="Quiz2" dataDxfId="24"/>
    <tableColumn id="5" xr3:uid="{69D2F9C6-0ED4-4E3F-9912-4E255D1936ED}" name="Midterm" dataDxfId="23"/>
    <tableColumn id="6" xr3:uid="{448563C2-163B-42DC-A483-44B2BA022F0B}" name="Final" dataDxfId="22"/>
    <tableColumn id="7" xr3:uid="{3E4A643F-F495-4EF3-A0BF-9007EF040350}" name="Attendance " dataDxfId="21"/>
    <tableColumn id="8" xr3:uid="{E0C0766C-AC9F-4CE2-B182-7229482EF458}" name="Weighted Final Score" dataDxfId="20">
      <calculatedColumnFormula>SUMPRODUCT(C2:G2,$N$2:$R$2)</calculatedColumnFormula>
    </tableColumn>
    <tableColumn id="9" xr3:uid="{FD0B1C3F-9C65-4EA0-A636-B00BB319FBCE}" name="Weights Sum" dataDxfId="19">
      <calculatedColumnFormula>SUM($N$2:$R$2)</calculatedColumnFormula>
    </tableColumn>
    <tableColumn id="10" xr3:uid="{215C8193-4AFD-499F-A47D-4468480B909A}" name="Multi Condition Analysis" dataDxfId="18">
      <calculatedColumnFormula array="1">SUMPRODUCT((D2:D16&gt;80)*(E2:E16&gt;80))</calculatedColumnFormula>
    </tableColumn>
    <tableColumn id="11" xr3:uid="{91AF3F0E-85BE-4CC9-85A5-F5F49D066C34}" name="% of class" dataDxfId="17" dataCellStyle="Percent">
      <calculatedColumnFormula array="1">SUMPRODUCT((D2:D16&gt;80)*(E2:E16&gt;80))/COUNT(D2:D16)</calculatedColumnFormula>
    </tableColumn>
    <tableColumn id="12" xr3:uid="{92AA77FA-C18E-4FA0-B38B-55ACBA0FEC81}" name="Grade Distribution" dataDxfId="16">
      <calculatedColumnFormula array="1">SUMPRODUCT((H2:H16&gt;=80)*(H2:H16&lt;90))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iden@GMAIL.COM" TargetMode="External"/><Relationship Id="rId13" Type="http://schemas.openxmlformats.org/officeDocument/2006/relationships/hyperlink" Target="mailto:nathan@GMAIL.COM" TargetMode="External"/><Relationship Id="rId18" Type="http://schemas.openxmlformats.org/officeDocument/2006/relationships/hyperlink" Target="mailto:isabella@GMAIL.COM" TargetMode="External"/><Relationship Id="rId3" Type="http://schemas.openxmlformats.org/officeDocument/2006/relationships/hyperlink" Target="mailto:james@GMAIL.COM" TargetMode="External"/><Relationship Id="rId7" Type="http://schemas.openxmlformats.org/officeDocument/2006/relationships/hyperlink" Target="mailto:logan@GMAIL.COM" TargetMode="External"/><Relationship Id="rId12" Type="http://schemas.openxmlformats.org/officeDocument/2006/relationships/hyperlink" Target="mailto:ryan@GMAIL.COM'" TargetMode="External"/><Relationship Id="rId17" Type="http://schemas.openxmlformats.org/officeDocument/2006/relationships/hyperlink" Target="mailto:ava@GMAIL.COM" TargetMode="External"/><Relationship Id="rId2" Type="http://schemas.openxmlformats.org/officeDocument/2006/relationships/hyperlink" Target="mailto:noah@GMAIL.COM" TargetMode="External"/><Relationship Id="rId16" Type="http://schemas.openxmlformats.org/officeDocument/2006/relationships/hyperlink" Target="mailto:olivia@GMAIL.COM" TargetMode="External"/><Relationship Id="rId20" Type="http://schemas.openxmlformats.org/officeDocument/2006/relationships/table" Target="../tables/table6.xml"/><Relationship Id="rId1" Type="http://schemas.openxmlformats.org/officeDocument/2006/relationships/hyperlink" Target="mailto:liam@GMAIL.COM" TargetMode="External"/><Relationship Id="rId6" Type="http://schemas.openxmlformats.org/officeDocument/2006/relationships/hyperlink" Target="mailto:mason@GAMIL.COM" TargetMode="External"/><Relationship Id="rId11" Type="http://schemas.openxmlformats.org/officeDocument/2006/relationships/hyperlink" Target="mailto:elijah@GMAIL.COM" TargetMode="External"/><Relationship Id="rId5" Type="http://schemas.openxmlformats.org/officeDocument/2006/relationships/hyperlink" Target="mailto:lucas@GMAIL.COM" TargetMode="External"/><Relationship Id="rId15" Type="http://schemas.openxmlformats.org/officeDocument/2006/relationships/hyperlink" Target="mailto:emma@GMAIL.COM" TargetMode="External"/><Relationship Id="rId10" Type="http://schemas.openxmlformats.org/officeDocument/2006/relationships/hyperlink" Target="mailto:jayden@GMAIL.COM" TargetMode="External"/><Relationship Id="rId19" Type="http://schemas.openxmlformats.org/officeDocument/2006/relationships/hyperlink" Target="mailto:sophia@GMAIL.COM" TargetMode="External"/><Relationship Id="rId4" Type="http://schemas.openxmlformats.org/officeDocument/2006/relationships/hyperlink" Target="mailto:Ethan@GMAIL.COM" TargetMode="External"/><Relationship Id="rId9" Type="http://schemas.openxmlformats.org/officeDocument/2006/relationships/hyperlink" Target="mailto:carter@GMAIL.COM" TargetMode="External"/><Relationship Id="rId14" Type="http://schemas.openxmlformats.org/officeDocument/2006/relationships/hyperlink" Target="mailto:dyla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3.5703125" style="9" bestFit="1" customWidth="1"/>
    <col min="2" max="2" width="10.140625" style="9" bestFit="1" customWidth="1"/>
    <col min="3" max="3" width="10" style="9" bestFit="1" customWidth="1"/>
    <col min="4" max="4" width="16.5703125" style="9" bestFit="1" customWidth="1"/>
    <col min="5" max="5" width="12.85546875" style="9" customWidth="1"/>
    <col min="6" max="6" width="22" style="9" bestFit="1" customWidth="1"/>
    <col min="7" max="7" width="9.42578125" style="9" customWidth="1"/>
    <col min="8" max="8" width="15.140625" style="9" bestFit="1" customWidth="1"/>
    <col min="9" max="9" width="12.5703125" style="9" bestFit="1" customWidth="1"/>
    <col min="10" max="10" width="22" style="9" bestFit="1" customWidth="1"/>
    <col min="11" max="11" width="17.85546875" style="9" bestFit="1" customWidth="1"/>
    <col min="12" max="16384" width="9.140625" style="9"/>
  </cols>
  <sheetData>
    <row r="1" spans="1:11" ht="15.75" x14ac:dyDescent="0.25">
      <c r="A1" s="5" t="s">
        <v>1</v>
      </c>
      <c r="B1" s="6" t="s">
        <v>2</v>
      </c>
      <c r="C1" s="6" t="s">
        <v>3</v>
      </c>
      <c r="D1" s="7" t="s">
        <v>0</v>
      </c>
      <c r="E1" s="8"/>
      <c r="H1" s="10" t="s">
        <v>1</v>
      </c>
      <c r="I1" s="10" t="s">
        <v>51</v>
      </c>
      <c r="J1" s="11" t="s">
        <v>47</v>
      </c>
      <c r="K1" s="12" t="s">
        <v>48</v>
      </c>
    </row>
    <row r="2" spans="1:11" x14ac:dyDescent="0.25">
      <c r="A2" s="13" t="s">
        <v>4</v>
      </c>
      <c r="B2" s="1" t="s">
        <v>24</v>
      </c>
      <c r="C2" s="14">
        <v>54</v>
      </c>
      <c r="D2" s="15" t="s">
        <v>44</v>
      </c>
      <c r="E2" s="8">
        <f>IFERROR(VLOOKUP(Students[[#This Row],[StudentID]], Extras[], 2, FALSE), "Missing")</f>
        <v>0</v>
      </c>
      <c r="F2" s="8" t="str">
        <f>IFERROR(INDEX(Extras[Email], MATCH(Students[[#This Row],[StudentID]], Extras[StudentID], 0)), "Missing")</f>
        <v>liam@gmail.com</v>
      </c>
      <c r="G2" s="8" t="str" cm="1">
        <f t="array" ref="G2:G21">_xlfn.XLOOKUP(Students[StudentID], Extras[StudentID], Extras[Email], "Not Found", 0)</f>
        <v>liam@gmail.com</v>
      </c>
      <c r="H2" s="16" t="s">
        <v>7</v>
      </c>
      <c r="I2" s="16"/>
      <c r="J2" s="2" t="s">
        <v>55</v>
      </c>
      <c r="K2" s="15" t="s">
        <v>49</v>
      </c>
    </row>
    <row r="3" spans="1:11" x14ac:dyDescent="0.25">
      <c r="A3" s="13" t="s">
        <v>5</v>
      </c>
      <c r="B3" s="2" t="s">
        <v>25</v>
      </c>
      <c r="C3" s="14">
        <v>31</v>
      </c>
      <c r="D3" s="15" t="s">
        <v>45</v>
      </c>
      <c r="E3" s="8">
        <f>IFERROR(VLOOKUP(Students[[#This Row],[StudentID]], Extras[], 2, FALSE), "Missing")</f>
        <v>0</v>
      </c>
      <c r="F3" s="8" t="str">
        <f>IFERROR(INDEX(Extras[Email], MATCH(Students[[#This Row],[StudentID]], Extras[StudentID], 0)), "Missing")</f>
        <v>noah@gmail.com</v>
      </c>
      <c r="G3" s="9" t="str">
        <v>noah@gmail.com</v>
      </c>
      <c r="H3" s="17" t="s">
        <v>8</v>
      </c>
      <c r="I3" s="17"/>
      <c r="J3" s="2" t="s">
        <v>56</v>
      </c>
      <c r="K3" s="15" t="s">
        <v>50</v>
      </c>
    </row>
    <row r="4" spans="1:11" x14ac:dyDescent="0.25">
      <c r="A4" s="13" t="s">
        <v>6</v>
      </c>
      <c r="B4" s="1" t="s">
        <v>26</v>
      </c>
      <c r="C4" s="14">
        <v>93</v>
      </c>
      <c r="D4" s="15" t="s">
        <v>46</v>
      </c>
      <c r="E4" s="8">
        <f>IFERROR(VLOOKUP(Students[[#This Row],[StudentID]], Extras[], 2, FALSE), "Missing")</f>
        <v>0</v>
      </c>
      <c r="F4" s="8" t="str">
        <f>IFERROR(INDEX(Extras[Email], MATCH(Students[[#This Row],[StudentID]], Extras[StudentID], 0)), "Missing")</f>
        <v>oliver@gmail.com</v>
      </c>
      <c r="G4" s="9" t="str">
        <v>oliver@gmail.com</v>
      </c>
      <c r="H4" s="16" t="s">
        <v>15</v>
      </c>
      <c r="I4" s="16"/>
      <c r="J4" s="2" t="s">
        <v>63</v>
      </c>
      <c r="K4" s="15" t="s">
        <v>50</v>
      </c>
    </row>
    <row r="5" spans="1:11" x14ac:dyDescent="0.25">
      <c r="A5" s="13" t="s">
        <v>7</v>
      </c>
      <c r="B5" s="2" t="s">
        <v>27</v>
      </c>
      <c r="C5" s="14">
        <v>45</v>
      </c>
      <c r="D5" s="15" t="s">
        <v>44</v>
      </c>
      <c r="E5" s="8">
        <f>IFERROR(VLOOKUP(Students[[#This Row],[StudentID]], Extras[], 2, FALSE), "Missing")</f>
        <v>0</v>
      </c>
      <c r="F5" s="8" t="str">
        <f>IFERROR(INDEX(Extras[Email], MATCH(Students[[#This Row],[StudentID]], Extras[StudentID], 0)), "Missing")</f>
        <v>james@gmail.com</v>
      </c>
      <c r="G5" s="9" t="str">
        <v>james@gmail.com</v>
      </c>
      <c r="H5" s="17" t="s">
        <v>16</v>
      </c>
      <c r="I5" s="17"/>
      <c r="J5" s="2" t="s">
        <v>64</v>
      </c>
      <c r="K5" s="15" t="s">
        <v>50</v>
      </c>
    </row>
    <row r="6" spans="1:11" x14ac:dyDescent="0.25">
      <c r="A6" s="13" t="s">
        <v>8</v>
      </c>
      <c r="B6" s="1" t="s">
        <v>28</v>
      </c>
      <c r="C6" s="14">
        <v>100</v>
      </c>
      <c r="D6" s="15" t="s">
        <v>45</v>
      </c>
      <c r="E6" s="8">
        <f>IFERROR(VLOOKUP(Students[[#This Row],[StudentID]], Extras[], 2, FALSE), "Missing")</f>
        <v>0</v>
      </c>
      <c r="F6" s="8" t="str">
        <f>IFERROR(INDEX(Extras[Email], MATCH(Students[[#This Row],[StudentID]], Extras[StudentID], 0)), "Missing")</f>
        <v>ethan@gmail.com</v>
      </c>
      <c r="G6" s="9" t="str">
        <v>ethan@gmail.com</v>
      </c>
      <c r="H6" s="16" t="s">
        <v>9</v>
      </c>
      <c r="I6" s="16"/>
      <c r="J6" s="2" t="s">
        <v>57</v>
      </c>
      <c r="K6" s="15" t="s">
        <v>49</v>
      </c>
    </row>
    <row r="7" spans="1:11" x14ac:dyDescent="0.25">
      <c r="A7" s="13" t="s">
        <v>9</v>
      </c>
      <c r="B7" s="2" t="s">
        <v>29</v>
      </c>
      <c r="C7" s="14">
        <v>60</v>
      </c>
      <c r="D7" s="15" t="s">
        <v>46</v>
      </c>
      <c r="E7" s="8">
        <f>IFERROR(VLOOKUP(Students[[#This Row],[StudentID]], Extras[], 2, FALSE), "Missing")</f>
        <v>0</v>
      </c>
      <c r="F7" s="8" t="str">
        <f>IFERROR(INDEX(Extras[Email], MATCH(Students[[#This Row],[StudentID]], Extras[StudentID], 0)), "Missing")</f>
        <v>lucas@gmail.com</v>
      </c>
      <c r="G7" s="9" t="str">
        <v>lucas@gmail.com</v>
      </c>
      <c r="H7" s="17" t="s">
        <v>10</v>
      </c>
      <c r="I7" s="17"/>
      <c r="J7" s="2" t="s">
        <v>58</v>
      </c>
      <c r="K7" s="15" t="s">
        <v>50</v>
      </c>
    </row>
    <row r="8" spans="1:11" x14ac:dyDescent="0.25">
      <c r="A8" s="13" t="s">
        <v>10</v>
      </c>
      <c r="B8" s="1" t="s">
        <v>30</v>
      </c>
      <c r="C8" s="14">
        <v>59</v>
      </c>
      <c r="D8" s="15" t="s">
        <v>45</v>
      </c>
      <c r="E8" s="8">
        <f>IFERROR(VLOOKUP(Students[[#This Row],[StudentID]], Extras[], 2, FALSE), "Missing")</f>
        <v>0</v>
      </c>
      <c r="F8" s="8" t="str">
        <f>IFERROR(INDEX(Extras[Email], MATCH(Students[[#This Row],[StudentID]], Extras[StudentID], 0)), "Missing")</f>
        <v>mason@gmail.com</v>
      </c>
      <c r="G8" s="9" t="str">
        <v>mason@gmail.com</v>
      </c>
      <c r="H8" s="16" t="s">
        <v>11</v>
      </c>
      <c r="I8" s="16"/>
      <c r="J8" s="2" t="s">
        <v>59</v>
      </c>
      <c r="K8" s="15" t="s">
        <v>49</v>
      </c>
    </row>
    <row r="9" spans="1:11" x14ac:dyDescent="0.25">
      <c r="A9" s="13" t="s">
        <v>11</v>
      </c>
      <c r="B9" s="2" t="s">
        <v>31</v>
      </c>
      <c r="C9" s="14">
        <v>30</v>
      </c>
      <c r="D9" s="15" t="s">
        <v>46</v>
      </c>
      <c r="E9" s="8">
        <f>IFERROR(VLOOKUP(Students[[#This Row],[StudentID]], Extras[], 2, FALSE), "Missing")</f>
        <v>0</v>
      </c>
      <c r="F9" s="8" t="str">
        <f>IFERROR(INDEX(Extras[Email], MATCH(Students[[#This Row],[StudentID]], Extras[StudentID], 0)), "Missing")</f>
        <v>logan@gmail.com</v>
      </c>
      <c r="G9" s="9" t="str">
        <v>logan@gmail.com</v>
      </c>
      <c r="H9" s="16" t="s">
        <v>17</v>
      </c>
      <c r="I9" s="16"/>
      <c r="J9" s="2" t="s">
        <v>65</v>
      </c>
      <c r="K9" s="15" t="s">
        <v>49</v>
      </c>
    </row>
    <row r="10" spans="1:11" x14ac:dyDescent="0.25">
      <c r="A10" s="13" t="s">
        <v>12</v>
      </c>
      <c r="B10" s="1" t="s">
        <v>32</v>
      </c>
      <c r="C10" s="14">
        <v>32</v>
      </c>
      <c r="D10" s="15" t="s">
        <v>46</v>
      </c>
      <c r="E10" s="8">
        <f>IFERROR(VLOOKUP(Students[[#This Row],[StudentID]], Extras[], 2, FALSE), "Missing")</f>
        <v>0</v>
      </c>
      <c r="F10" s="8" t="str">
        <f>IFERROR(INDEX(Extras[Email], MATCH(Students[[#This Row],[StudentID]], Extras[StudentID], 0)), "Missing")</f>
        <v>aiden@gmail.com</v>
      </c>
      <c r="G10" s="9" t="str">
        <v>aiden@gmail.com</v>
      </c>
      <c r="H10" s="17" t="s">
        <v>18</v>
      </c>
      <c r="I10" s="17"/>
      <c r="J10" s="2" t="s">
        <v>66</v>
      </c>
      <c r="K10" s="15" t="s">
        <v>50</v>
      </c>
    </row>
    <row r="11" spans="1:11" x14ac:dyDescent="0.25">
      <c r="A11" s="13" t="s">
        <v>13</v>
      </c>
      <c r="B11" s="2" t="s">
        <v>33</v>
      </c>
      <c r="C11" s="14">
        <v>71</v>
      </c>
      <c r="D11" s="15" t="s">
        <v>44</v>
      </c>
      <c r="E11" s="8">
        <f>IFERROR(VLOOKUP(Students[[#This Row],[StudentID]], Extras[], 2, FALSE), "Missing")</f>
        <v>0</v>
      </c>
      <c r="F11" s="8" t="str">
        <f>IFERROR(INDEX(Extras[Email], MATCH(Students[[#This Row],[StudentID]], Extras[StudentID], 0)), "Missing")</f>
        <v>carter@gmail.com</v>
      </c>
      <c r="G11" s="9" t="str">
        <v>carter@gmail.com</v>
      </c>
      <c r="H11" s="17" t="s">
        <v>12</v>
      </c>
      <c r="I11" s="17"/>
      <c r="J11" s="2" t="s">
        <v>60</v>
      </c>
      <c r="K11" s="15" t="s">
        <v>50</v>
      </c>
    </row>
    <row r="12" spans="1:11" x14ac:dyDescent="0.25">
      <c r="A12" s="13" t="s">
        <v>14</v>
      </c>
      <c r="B12" s="1" t="s">
        <v>34</v>
      </c>
      <c r="C12" s="14">
        <v>35</v>
      </c>
      <c r="D12" s="15" t="s">
        <v>46</v>
      </c>
      <c r="E12" s="8">
        <f>IFERROR(VLOOKUP(Students[[#This Row],[StudentID]], Extras[], 2, FALSE), "Missing")</f>
        <v>0</v>
      </c>
      <c r="F12" s="8" t="str">
        <f>IFERROR(INDEX(Extras[Email], MATCH(Students[[#This Row],[StudentID]], Extras[StudentID], 0)), "Missing")</f>
        <v>jayden@gmail.com</v>
      </c>
      <c r="G12" s="9" t="str">
        <v>jayden@gmail.com</v>
      </c>
      <c r="H12" s="16" t="s">
        <v>13</v>
      </c>
      <c r="I12" s="16"/>
      <c r="J12" s="2" t="s">
        <v>61</v>
      </c>
      <c r="K12" s="15" t="s">
        <v>50</v>
      </c>
    </row>
    <row r="13" spans="1:11" x14ac:dyDescent="0.25">
      <c r="A13" s="13" t="s">
        <v>15</v>
      </c>
      <c r="B13" s="2" t="s">
        <v>35</v>
      </c>
      <c r="C13" s="14">
        <v>52</v>
      </c>
      <c r="D13" s="15" t="s">
        <v>45</v>
      </c>
      <c r="E13" s="8">
        <f>IFERROR(VLOOKUP(Students[[#This Row],[StudentID]], Extras[], 2, FALSE), "Missing")</f>
        <v>0</v>
      </c>
      <c r="F13" s="8" t="str">
        <f>IFERROR(INDEX(Extras[Email], MATCH(Students[[#This Row],[StudentID]], Extras[StudentID], 0)), "Missing")</f>
        <v>elijah@gmail.com</v>
      </c>
      <c r="G13" s="9" t="str">
        <v>elijah@gmail.com</v>
      </c>
      <c r="H13" s="17" t="s">
        <v>14</v>
      </c>
      <c r="I13" s="17"/>
      <c r="J13" s="2" t="s">
        <v>62</v>
      </c>
      <c r="K13" s="15" t="s">
        <v>50</v>
      </c>
    </row>
    <row r="14" spans="1:11" x14ac:dyDescent="0.25">
      <c r="A14" s="13" t="s">
        <v>16</v>
      </c>
      <c r="B14" s="1" t="s">
        <v>36</v>
      </c>
      <c r="C14" s="14">
        <v>49</v>
      </c>
      <c r="D14" s="15" t="s">
        <v>44</v>
      </c>
      <c r="E14" s="8">
        <f>IFERROR(VLOOKUP(Students[[#This Row],[StudentID]], Extras[], 2, FALSE), "Missing")</f>
        <v>0</v>
      </c>
      <c r="F14" s="8" t="str">
        <f>IFERROR(INDEX(Extras[Email], MATCH(Students[[#This Row],[StudentID]], Extras[StudentID], 0)), "Missing")</f>
        <v>ryan@gmail.com</v>
      </c>
      <c r="G14" s="9" t="str">
        <v>ryan@gmail.com</v>
      </c>
      <c r="H14" s="16" t="s">
        <v>19</v>
      </c>
      <c r="I14" s="16"/>
      <c r="J14" s="2" t="s">
        <v>67</v>
      </c>
      <c r="K14" s="15" t="s">
        <v>50</v>
      </c>
    </row>
    <row r="15" spans="1:11" x14ac:dyDescent="0.25">
      <c r="A15" s="13" t="s">
        <v>17</v>
      </c>
      <c r="B15" s="2" t="s">
        <v>37</v>
      </c>
      <c r="C15" s="14">
        <v>77</v>
      </c>
      <c r="D15" s="15" t="s">
        <v>46</v>
      </c>
      <c r="E15" s="8">
        <f>IFERROR(VLOOKUP(Students[[#This Row],[StudentID]], Extras[], 2, FALSE), "Missing")</f>
        <v>0</v>
      </c>
      <c r="F15" s="8" t="str">
        <f>IFERROR(INDEX(Extras[Email], MATCH(Students[[#This Row],[StudentID]], Extras[StudentID], 0)), "Missing")</f>
        <v>nathan@gmail.com</v>
      </c>
      <c r="G15" s="9" t="str">
        <v>nathan@gmail.com</v>
      </c>
      <c r="H15" s="17" t="s">
        <v>20</v>
      </c>
      <c r="I15" s="17"/>
      <c r="J15" s="2" t="s">
        <v>68</v>
      </c>
      <c r="K15" s="15" t="s">
        <v>49</v>
      </c>
    </row>
    <row r="16" spans="1:11" x14ac:dyDescent="0.25">
      <c r="A16" s="13" t="s">
        <v>18</v>
      </c>
      <c r="B16" s="1" t="s">
        <v>38</v>
      </c>
      <c r="C16" s="14">
        <v>65</v>
      </c>
      <c r="D16" s="15" t="s">
        <v>45</v>
      </c>
      <c r="E16" s="8">
        <f>IFERROR(VLOOKUP(Students[[#This Row],[StudentID]], Extras[], 2, FALSE), "Missing")</f>
        <v>0</v>
      </c>
      <c r="F16" s="8" t="str">
        <f>IFERROR(INDEX(Extras[Email], MATCH(Students[[#This Row],[StudentID]], Extras[StudentID], 0)), "Missing")</f>
        <v>dylan@gmail.com</v>
      </c>
      <c r="G16" s="9" t="str">
        <v>dylan@gmail.com</v>
      </c>
      <c r="H16" s="16" t="s">
        <v>21</v>
      </c>
      <c r="I16" s="16"/>
      <c r="J16" s="2" t="s">
        <v>69</v>
      </c>
      <c r="K16" s="15" t="s">
        <v>50</v>
      </c>
    </row>
    <row r="17" spans="1:11" x14ac:dyDescent="0.25">
      <c r="A17" s="13" t="s">
        <v>19</v>
      </c>
      <c r="B17" s="2" t="s">
        <v>39</v>
      </c>
      <c r="C17" s="14">
        <v>88</v>
      </c>
      <c r="D17" s="15" t="s">
        <v>44</v>
      </c>
      <c r="E17" s="8">
        <f>IFERROR(VLOOKUP(Students[[#This Row],[StudentID]], Extras[], 2, FALSE), "Missing")</f>
        <v>0</v>
      </c>
      <c r="F17" s="8" t="str">
        <f>IFERROR(INDEX(Extras[Email], MATCH(Students[[#This Row],[StudentID]], Extras[StudentID], 0)), "Missing")</f>
        <v>emma@gmail.com</v>
      </c>
      <c r="G17" s="9" t="str">
        <v>emma@gmail.com</v>
      </c>
      <c r="H17" s="17" t="s">
        <v>22</v>
      </c>
      <c r="I17" s="17"/>
      <c r="J17" s="2" t="s">
        <v>70</v>
      </c>
      <c r="K17" s="15" t="s">
        <v>50</v>
      </c>
    </row>
    <row r="18" spans="1:11" x14ac:dyDescent="0.25">
      <c r="A18" s="13" t="s">
        <v>20</v>
      </c>
      <c r="B18" s="1" t="s">
        <v>40</v>
      </c>
      <c r="C18" s="14">
        <v>78</v>
      </c>
      <c r="D18" s="15" t="s">
        <v>45</v>
      </c>
      <c r="E18" s="8">
        <f>IFERROR(VLOOKUP(Students[[#This Row],[StudentID]], Extras[], 2, FALSE), "Missing")</f>
        <v>0</v>
      </c>
      <c r="F18" s="8" t="str">
        <f>IFERROR(INDEX(Extras[Email], MATCH(Students[[#This Row],[StudentID]], Extras[StudentID], 0)), "Missing")</f>
        <v>olivia@gmail.com</v>
      </c>
      <c r="G18" s="9" t="str">
        <v>olivia@gmail.com</v>
      </c>
      <c r="H18" s="16" t="s">
        <v>23</v>
      </c>
      <c r="I18" s="16"/>
      <c r="J18" s="2" t="s">
        <v>71</v>
      </c>
      <c r="K18" s="15" t="s">
        <v>50</v>
      </c>
    </row>
    <row r="19" spans="1:11" x14ac:dyDescent="0.25">
      <c r="A19" s="13" t="s">
        <v>21</v>
      </c>
      <c r="B19" s="2" t="s">
        <v>41</v>
      </c>
      <c r="C19" s="14">
        <v>40</v>
      </c>
      <c r="D19" s="15" t="s">
        <v>46</v>
      </c>
      <c r="E19" s="8">
        <f>IFERROR(VLOOKUP(Students[[#This Row],[StudentID]], Extras[], 2, FALSE), "Missing")</f>
        <v>0</v>
      </c>
      <c r="F19" s="8" t="str">
        <f>IFERROR(INDEX(Extras[Email], MATCH(Students[[#This Row],[StudentID]], Extras[StudentID], 0)), "Missing")</f>
        <v>ava@gmail.com</v>
      </c>
      <c r="G19" s="9" t="str">
        <v>ava@gmail.com</v>
      </c>
      <c r="H19" s="17" t="s">
        <v>4</v>
      </c>
      <c r="I19" s="17"/>
      <c r="J19" s="2" t="s">
        <v>52</v>
      </c>
      <c r="K19" s="15" t="s">
        <v>49</v>
      </c>
    </row>
    <row r="20" spans="1:11" x14ac:dyDescent="0.25">
      <c r="A20" s="13" t="s">
        <v>22</v>
      </c>
      <c r="B20" s="1" t="s">
        <v>42</v>
      </c>
      <c r="C20" s="14">
        <v>85</v>
      </c>
      <c r="D20" s="15" t="s">
        <v>46</v>
      </c>
      <c r="E20" s="8">
        <f>IFERROR(VLOOKUP(Students[[#This Row],[StudentID]], Extras[], 2, FALSE), "Missing")</f>
        <v>0</v>
      </c>
      <c r="F20" s="8" t="str">
        <f>IFERROR(INDEX(Extras[Email], MATCH(Students[[#This Row],[StudentID]], Extras[StudentID], 0)), "Missing")</f>
        <v>isabella@gmail.com</v>
      </c>
      <c r="G20" s="9" t="str">
        <v>isabella@gmail.com</v>
      </c>
      <c r="H20" s="16" t="s">
        <v>5</v>
      </c>
      <c r="I20" s="16"/>
      <c r="J20" s="2" t="s">
        <v>53</v>
      </c>
      <c r="K20" s="15" t="s">
        <v>49</v>
      </c>
    </row>
    <row r="21" spans="1:11" x14ac:dyDescent="0.25">
      <c r="A21" s="18" t="s">
        <v>23</v>
      </c>
      <c r="B21" s="3" t="s">
        <v>43</v>
      </c>
      <c r="C21" s="19">
        <v>75</v>
      </c>
      <c r="D21" s="20" t="s">
        <v>45</v>
      </c>
      <c r="E21" s="8">
        <f>IFERROR(VLOOKUP(Students[[#This Row],[StudentID]], Extras[], 2, FALSE), "Missing")</f>
        <v>0</v>
      </c>
      <c r="F21" s="8" t="str">
        <f>IFERROR(INDEX(Extras[Email], MATCH(Students[[#This Row],[StudentID]], Extras[StudentID], 0)), "Missing")</f>
        <v>sophia@gmail.com</v>
      </c>
      <c r="G21" s="9" t="str">
        <v>sophia@gmail.com</v>
      </c>
      <c r="H21" s="21" t="s">
        <v>6</v>
      </c>
      <c r="I21" s="21"/>
      <c r="J21" s="3" t="s">
        <v>54</v>
      </c>
      <c r="K21" s="20" t="s">
        <v>50</v>
      </c>
    </row>
    <row r="22" spans="1:11" x14ac:dyDescent="0.25">
      <c r="H22" s="22"/>
      <c r="I22" s="22"/>
      <c r="J22" s="4" t="str">
        <f>IF(H22="","",VLOOKUP(H22,Students[#All],2,FALSE))</f>
        <v/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59C4-60B4-4CD7-8ABE-8D1F6AC187FF}">
  <dimension ref="A1:J26"/>
  <sheetViews>
    <sheetView zoomScaleNormal="100" workbookViewId="0">
      <selection activeCell="M15" sqref="M15"/>
    </sheetView>
  </sheetViews>
  <sheetFormatPr defaultRowHeight="15" x14ac:dyDescent="0.25"/>
  <cols>
    <col min="1" max="1" width="12" style="25" customWidth="1"/>
    <col min="2" max="2" width="14.85546875" style="25" customWidth="1"/>
    <col min="3" max="3" width="17.28515625" style="25" customWidth="1"/>
    <col min="4" max="4" width="13.85546875" style="25" customWidth="1"/>
    <col min="5" max="5" width="26.85546875" style="25" customWidth="1"/>
    <col min="6" max="6" width="8.5703125" style="25" customWidth="1"/>
    <col min="7" max="7" width="16" style="25" customWidth="1"/>
    <col min="8" max="8" width="24.42578125" style="25" customWidth="1"/>
    <col min="9" max="9" width="10.7109375" style="25" customWidth="1"/>
    <col min="10" max="10" width="23.140625" style="25" customWidth="1"/>
    <col min="11" max="16384" width="9.140625" style="25"/>
  </cols>
  <sheetData>
    <row r="1" spans="1:10" s="24" customFormat="1" x14ac:dyDescent="0.25">
      <c r="A1" s="23" t="s">
        <v>1</v>
      </c>
      <c r="B1" s="24" t="s">
        <v>72</v>
      </c>
      <c r="C1" s="24" t="s">
        <v>73</v>
      </c>
      <c r="D1" s="24" t="s">
        <v>0</v>
      </c>
      <c r="E1" s="24" t="s">
        <v>74</v>
      </c>
      <c r="F1" s="24" t="s">
        <v>75</v>
      </c>
      <c r="G1" s="24" t="s">
        <v>76</v>
      </c>
      <c r="H1" s="24" t="s">
        <v>81</v>
      </c>
      <c r="I1" s="24" t="s">
        <v>77</v>
      </c>
      <c r="J1" s="24" t="s">
        <v>78</v>
      </c>
    </row>
    <row r="2" spans="1:10" x14ac:dyDescent="0.25">
      <c r="A2" s="25" t="s">
        <v>162</v>
      </c>
      <c r="B2" s="25">
        <v>76</v>
      </c>
      <c r="C2" s="26">
        <v>0.77</v>
      </c>
      <c r="D2" s="25" t="s">
        <v>79</v>
      </c>
      <c r="E2" s="25" t="b">
        <v>0</v>
      </c>
      <c r="F2" s="25" t="str">
        <f>IF(B2:B26&gt;=90,"A",IF(B2:B26&gt;=80,"B",IF(B2:B26&gt;=70,"C",IF(B2:B26&gt;=60,"D","F"))))</f>
        <v>C</v>
      </c>
      <c r="G2" s="25" t="str">
        <f>_xlfn.IFS(B2:B26&gt;=90,"A",B2:B26&gt;=80,"B",B2:B26&gt;=70,"C",B2:B26&gt;=60,"D",TRUE,"F")</f>
        <v>C</v>
      </c>
      <c r="H2" s="25" t="str">
        <f>_xlfn.SWITCH(D2:D26,"Eng","Engineering","Mkt","Marketing","Sci","Science","Fin","Finance","Other")</f>
        <v>Other</v>
      </c>
      <c r="I2" s="25" t="str">
        <f>IF(AND(B2:B26&lt;70,C2:C26&lt;0.75,E2:E26=TRUE),"HIGH",IF(OR(B2:B26&lt;70,C2:C26&lt;0.75),"MEDIUM","LOW"))</f>
        <v>LOW</v>
      </c>
      <c r="J2" s="25">
        <f>IF(I2:I26="HIGH",3,IF(I2:I26="MEDIUM",2,1))</f>
        <v>1</v>
      </c>
    </row>
    <row r="3" spans="1:10" x14ac:dyDescent="0.25">
      <c r="A3" s="25" t="s">
        <v>163</v>
      </c>
      <c r="B3" s="25">
        <v>62</v>
      </c>
      <c r="C3" s="26">
        <v>0.8</v>
      </c>
      <c r="D3" s="25" t="s">
        <v>46</v>
      </c>
      <c r="E3" s="25" t="b">
        <v>1</v>
      </c>
      <c r="F3" s="25" t="str">
        <f t="shared" ref="F3:F26" si="0">IF(B3:B27&gt;=90,"A",IF(B3:B27&gt;=80,"B",IF(B3:B27&gt;=70,"C",IF(B3:B27&gt;=60,"D","F"))))</f>
        <v>D</v>
      </c>
      <c r="G3" s="25" t="str">
        <f t="shared" ref="G3:G26" si="1">_xlfn.IFS(B3:B27&gt;=90,"A",B3:B27&gt;=80,"B",B3:B27&gt;=70,"C",B3:B27&gt;=60,"D",TRUE,"F")</f>
        <v>D</v>
      </c>
      <c r="H3" s="25" t="str">
        <f t="shared" ref="H3:H26" si="2">_xlfn.SWITCH(D3:D27,"Eng","Engineering","Mkt","Marketing","Sci","Science","Fin","Finance","Other")</f>
        <v>Other</v>
      </c>
      <c r="I3" s="25" t="str">
        <f t="shared" ref="I3:I26" si="3">IF(AND(B3:B27&lt;70,C3:C27&lt;0.75,E3:E27=TRUE),"HIGH",IF(OR(B3:B27&lt;70,C3:C27&lt;0.75),"MEDIUM","LOW"))</f>
        <v>MEDIUM</v>
      </c>
      <c r="J3" s="25">
        <f t="shared" ref="J3:J26" si="4">IF(I3:I27="HIGH",3,IF(I3:I27="MEDIUM",2,1))</f>
        <v>2</v>
      </c>
    </row>
    <row r="4" spans="1:10" x14ac:dyDescent="0.25">
      <c r="A4" s="25" t="s">
        <v>164</v>
      </c>
      <c r="B4" s="25">
        <v>75</v>
      </c>
      <c r="C4" s="26">
        <v>0.6</v>
      </c>
      <c r="D4" s="25" t="s">
        <v>80</v>
      </c>
      <c r="E4" s="25" t="b">
        <v>1</v>
      </c>
      <c r="F4" s="25" t="str">
        <f t="shared" si="0"/>
        <v>C</v>
      </c>
      <c r="G4" s="25" t="str">
        <f t="shared" si="1"/>
        <v>C</v>
      </c>
      <c r="H4" s="25" t="str">
        <f t="shared" si="2"/>
        <v>Other</v>
      </c>
      <c r="I4" s="25" t="str">
        <f t="shared" si="3"/>
        <v>MEDIUM</v>
      </c>
      <c r="J4" s="25">
        <f t="shared" si="4"/>
        <v>2</v>
      </c>
    </row>
    <row r="5" spans="1:10" x14ac:dyDescent="0.25">
      <c r="A5" s="25" t="s">
        <v>165</v>
      </c>
      <c r="B5" s="25">
        <v>69</v>
      </c>
      <c r="C5" s="26">
        <v>0.82</v>
      </c>
      <c r="D5" s="25" t="s">
        <v>44</v>
      </c>
      <c r="E5" s="25" t="b">
        <v>0</v>
      </c>
      <c r="F5" s="25" t="str">
        <f t="shared" si="0"/>
        <v>D</v>
      </c>
      <c r="G5" s="25" t="str">
        <f t="shared" si="1"/>
        <v>D</v>
      </c>
      <c r="H5" s="25" t="str">
        <f t="shared" si="2"/>
        <v>Other</v>
      </c>
      <c r="I5" s="25" t="str">
        <f t="shared" si="3"/>
        <v>MEDIUM</v>
      </c>
      <c r="J5" s="25">
        <f t="shared" si="4"/>
        <v>2</v>
      </c>
    </row>
    <row r="6" spans="1:10" x14ac:dyDescent="0.25">
      <c r="A6" s="25" t="s">
        <v>166</v>
      </c>
      <c r="B6" s="25">
        <v>54</v>
      </c>
      <c r="C6" s="26">
        <v>0.78</v>
      </c>
      <c r="D6" s="25" t="s">
        <v>46</v>
      </c>
      <c r="E6" s="25" t="b">
        <v>0</v>
      </c>
      <c r="F6" s="25" t="str">
        <f t="shared" si="0"/>
        <v>F</v>
      </c>
      <c r="G6" s="25" t="str">
        <f t="shared" si="1"/>
        <v>F</v>
      </c>
      <c r="H6" s="25" t="str">
        <f t="shared" si="2"/>
        <v>Other</v>
      </c>
      <c r="I6" s="25" t="str">
        <f t="shared" si="3"/>
        <v>MEDIUM</v>
      </c>
      <c r="J6" s="25">
        <f t="shared" si="4"/>
        <v>2</v>
      </c>
    </row>
    <row r="7" spans="1:10" x14ac:dyDescent="0.25">
      <c r="A7" s="25" t="s">
        <v>167</v>
      </c>
      <c r="B7" s="25">
        <v>50</v>
      </c>
      <c r="C7" s="26">
        <v>0.8</v>
      </c>
      <c r="D7" s="25" t="s">
        <v>44</v>
      </c>
      <c r="E7" s="25" t="b">
        <v>0</v>
      </c>
      <c r="F7" s="25" t="str">
        <f t="shared" si="0"/>
        <v>F</v>
      </c>
      <c r="G7" s="25" t="str">
        <f t="shared" si="1"/>
        <v>F</v>
      </c>
      <c r="H7" s="25" t="str">
        <f t="shared" si="2"/>
        <v>Other</v>
      </c>
      <c r="I7" s="25" t="str">
        <f t="shared" si="3"/>
        <v>MEDIUM</v>
      </c>
      <c r="J7" s="25">
        <f t="shared" si="4"/>
        <v>2</v>
      </c>
    </row>
    <row r="8" spans="1:10" x14ac:dyDescent="0.25">
      <c r="A8" s="25" t="s">
        <v>168</v>
      </c>
      <c r="B8" s="25">
        <v>44</v>
      </c>
      <c r="C8" s="26">
        <v>0.69</v>
      </c>
      <c r="D8" s="25" t="s">
        <v>44</v>
      </c>
      <c r="E8" s="25" t="b">
        <v>0</v>
      </c>
      <c r="F8" s="25" t="str">
        <f t="shared" si="0"/>
        <v>F</v>
      </c>
      <c r="G8" s="25" t="str">
        <f t="shared" si="1"/>
        <v>F</v>
      </c>
      <c r="H8" s="25" t="str">
        <f t="shared" si="2"/>
        <v>Other</v>
      </c>
      <c r="I8" s="25" t="str">
        <f t="shared" si="3"/>
        <v>MEDIUM</v>
      </c>
      <c r="J8" s="25">
        <f t="shared" si="4"/>
        <v>2</v>
      </c>
    </row>
    <row r="9" spans="1:10" x14ac:dyDescent="0.25">
      <c r="A9" s="25" t="s">
        <v>169</v>
      </c>
      <c r="B9" s="25">
        <v>84</v>
      </c>
      <c r="C9" s="26">
        <v>0.83</v>
      </c>
      <c r="D9" s="25" t="s">
        <v>46</v>
      </c>
      <c r="E9" s="25" t="b">
        <v>1</v>
      </c>
      <c r="F9" s="25" t="str">
        <f t="shared" si="0"/>
        <v>B</v>
      </c>
      <c r="G9" s="25" t="str">
        <f t="shared" si="1"/>
        <v>B</v>
      </c>
      <c r="H9" s="25" t="str">
        <f t="shared" si="2"/>
        <v>Other</v>
      </c>
      <c r="I9" s="25" t="str">
        <f t="shared" si="3"/>
        <v>LOW</v>
      </c>
      <c r="J9" s="25">
        <f t="shared" si="4"/>
        <v>1</v>
      </c>
    </row>
    <row r="10" spans="1:10" x14ac:dyDescent="0.25">
      <c r="A10" s="25" t="s">
        <v>170</v>
      </c>
      <c r="B10" s="25">
        <v>43</v>
      </c>
      <c r="C10" s="26">
        <v>0.88</v>
      </c>
      <c r="D10" s="25" t="s">
        <v>79</v>
      </c>
      <c r="E10" s="25" t="b">
        <v>0</v>
      </c>
      <c r="F10" s="25" t="str">
        <f t="shared" si="0"/>
        <v>F</v>
      </c>
      <c r="G10" s="25" t="str">
        <f t="shared" si="1"/>
        <v>F</v>
      </c>
      <c r="H10" s="25" t="str">
        <f t="shared" si="2"/>
        <v>Other</v>
      </c>
      <c r="I10" s="25" t="str">
        <f t="shared" si="3"/>
        <v>MEDIUM</v>
      </c>
      <c r="J10" s="25">
        <f t="shared" si="4"/>
        <v>2</v>
      </c>
    </row>
    <row r="11" spans="1:10" x14ac:dyDescent="0.25">
      <c r="A11" s="25" t="s">
        <v>171</v>
      </c>
      <c r="B11" s="25">
        <v>100</v>
      </c>
      <c r="C11" s="26">
        <v>0.87</v>
      </c>
      <c r="D11" s="25" t="s">
        <v>79</v>
      </c>
      <c r="E11" s="25" t="b">
        <v>0</v>
      </c>
      <c r="F11" s="25" t="str">
        <f t="shared" si="0"/>
        <v>A</v>
      </c>
      <c r="G11" s="25" t="str">
        <f t="shared" si="1"/>
        <v>A</v>
      </c>
      <c r="H11" s="25" t="str">
        <f t="shared" si="2"/>
        <v>Other</v>
      </c>
      <c r="I11" s="25" t="str">
        <f t="shared" si="3"/>
        <v>LOW</v>
      </c>
      <c r="J11" s="25">
        <f t="shared" si="4"/>
        <v>1</v>
      </c>
    </row>
    <row r="12" spans="1:10" x14ac:dyDescent="0.25">
      <c r="A12" s="25" t="s">
        <v>172</v>
      </c>
      <c r="B12" s="25">
        <v>62</v>
      </c>
      <c r="C12" s="26">
        <v>1</v>
      </c>
      <c r="D12" s="25" t="s">
        <v>44</v>
      </c>
      <c r="E12" s="25" t="b">
        <v>0</v>
      </c>
      <c r="F12" s="25" t="str">
        <f t="shared" si="0"/>
        <v>D</v>
      </c>
      <c r="G12" s="25" t="str">
        <f t="shared" si="1"/>
        <v>D</v>
      </c>
      <c r="H12" s="25" t="str">
        <f t="shared" si="2"/>
        <v>Other</v>
      </c>
      <c r="I12" s="25" t="str">
        <f t="shared" si="3"/>
        <v>MEDIUM</v>
      </c>
      <c r="J12" s="25">
        <f t="shared" si="4"/>
        <v>2</v>
      </c>
    </row>
    <row r="13" spans="1:10" x14ac:dyDescent="0.25">
      <c r="A13" s="25" t="s">
        <v>173</v>
      </c>
      <c r="B13" s="25">
        <v>92</v>
      </c>
      <c r="C13" s="26">
        <v>0.83</v>
      </c>
      <c r="D13" s="25" t="s">
        <v>79</v>
      </c>
      <c r="E13" s="25" t="b">
        <v>0</v>
      </c>
      <c r="F13" s="25" t="str">
        <f t="shared" si="0"/>
        <v>A</v>
      </c>
      <c r="G13" s="25" t="str">
        <f t="shared" si="1"/>
        <v>A</v>
      </c>
      <c r="H13" s="25" t="str">
        <f t="shared" si="2"/>
        <v>Other</v>
      </c>
      <c r="I13" s="25" t="str">
        <f t="shared" si="3"/>
        <v>LOW</v>
      </c>
      <c r="J13" s="25">
        <f t="shared" si="4"/>
        <v>1</v>
      </c>
    </row>
    <row r="14" spans="1:10" x14ac:dyDescent="0.25">
      <c r="A14" s="25" t="s">
        <v>174</v>
      </c>
      <c r="B14" s="25">
        <v>47</v>
      </c>
      <c r="C14" s="26">
        <v>0.83</v>
      </c>
      <c r="D14" s="25" t="s">
        <v>44</v>
      </c>
      <c r="E14" s="25" t="b">
        <v>1</v>
      </c>
      <c r="F14" s="25" t="str">
        <f t="shared" si="0"/>
        <v>F</v>
      </c>
      <c r="G14" s="25" t="str">
        <f t="shared" si="1"/>
        <v>F</v>
      </c>
      <c r="H14" s="25" t="str">
        <f t="shared" si="2"/>
        <v>Other</v>
      </c>
      <c r="I14" s="25" t="str">
        <f t="shared" si="3"/>
        <v>MEDIUM</v>
      </c>
      <c r="J14" s="25">
        <f t="shared" si="4"/>
        <v>2</v>
      </c>
    </row>
    <row r="15" spans="1:10" x14ac:dyDescent="0.25">
      <c r="A15" s="25" t="s">
        <v>175</v>
      </c>
      <c r="B15" s="25">
        <v>64</v>
      </c>
      <c r="C15" s="26">
        <v>0.84</v>
      </c>
      <c r="D15" s="25" t="s">
        <v>79</v>
      </c>
      <c r="E15" s="25" t="b">
        <v>0</v>
      </c>
      <c r="F15" s="25" t="str">
        <f t="shared" si="0"/>
        <v>D</v>
      </c>
      <c r="G15" s="25" t="str">
        <f t="shared" si="1"/>
        <v>D</v>
      </c>
      <c r="H15" s="25" t="str">
        <f t="shared" si="2"/>
        <v>Other</v>
      </c>
      <c r="I15" s="25" t="str">
        <f t="shared" si="3"/>
        <v>MEDIUM</v>
      </c>
      <c r="J15" s="25">
        <f t="shared" si="4"/>
        <v>2</v>
      </c>
    </row>
    <row r="16" spans="1:10" x14ac:dyDescent="0.25">
      <c r="A16" s="25" t="s">
        <v>176</v>
      </c>
      <c r="B16" s="25">
        <v>32</v>
      </c>
      <c r="C16" s="26">
        <v>0.68</v>
      </c>
      <c r="D16" s="25" t="s">
        <v>46</v>
      </c>
      <c r="E16" s="25" t="b">
        <v>0</v>
      </c>
      <c r="F16" s="25" t="str">
        <f t="shared" si="0"/>
        <v>F</v>
      </c>
      <c r="G16" s="25" t="str">
        <f t="shared" si="1"/>
        <v>F</v>
      </c>
      <c r="H16" s="25" t="str">
        <f t="shared" si="2"/>
        <v>Other</v>
      </c>
      <c r="I16" s="25" t="str">
        <f t="shared" si="3"/>
        <v>MEDIUM</v>
      </c>
      <c r="J16" s="25">
        <f t="shared" si="4"/>
        <v>2</v>
      </c>
    </row>
    <row r="17" spans="1:10" x14ac:dyDescent="0.25">
      <c r="A17" s="25" t="s">
        <v>186</v>
      </c>
      <c r="B17" s="25">
        <v>30</v>
      </c>
      <c r="C17" s="26">
        <v>0.93</v>
      </c>
      <c r="D17" s="25" t="s">
        <v>46</v>
      </c>
      <c r="E17" s="25" t="b">
        <v>0</v>
      </c>
      <c r="F17" s="25" t="str">
        <f t="shared" si="0"/>
        <v>F</v>
      </c>
      <c r="G17" s="25" t="str">
        <f t="shared" si="1"/>
        <v>F</v>
      </c>
      <c r="H17" s="25" t="str">
        <f t="shared" si="2"/>
        <v>Other</v>
      </c>
      <c r="I17" s="25" t="str">
        <f t="shared" si="3"/>
        <v>MEDIUM</v>
      </c>
      <c r="J17" s="25">
        <f t="shared" si="4"/>
        <v>2</v>
      </c>
    </row>
    <row r="18" spans="1:10" x14ac:dyDescent="0.25">
      <c r="A18" s="25" t="s">
        <v>187</v>
      </c>
      <c r="B18" s="25">
        <v>50</v>
      </c>
      <c r="C18" s="26">
        <v>0.66</v>
      </c>
      <c r="D18" s="25" t="s">
        <v>79</v>
      </c>
      <c r="E18" s="25" t="b">
        <v>0</v>
      </c>
      <c r="F18" s="25" t="str">
        <f t="shared" si="0"/>
        <v>F</v>
      </c>
      <c r="G18" s="25" t="str">
        <f t="shared" si="1"/>
        <v>F</v>
      </c>
      <c r="H18" s="25" t="str">
        <f t="shared" si="2"/>
        <v>Other</v>
      </c>
      <c r="I18" s="25" t="str">
        <f t="shared" si="3"/>
        <v>MEDIUM</v>
      </c>
      <c r="J18" s="25">
        <f t="shared" si="4"/>
        <v>2</v>
      </c>
    </row>
    <row r="19" spans="1:10" x14ac:dyDescent="0.25">
      <c r="A19" s="25" t="s">
        <v>188</v>
      </c>
      <c r="B19" s="25">
        <v>81</v>
      </c>
      <c r="C19" s="26">
        <v>0.84</v>
      </c>
      <c r="D19" s="25" t="s">
        <v>44</v>
      </c>
      <c r="E19" s="25" t="b">
        <v>0</v>
      </c>
      <c r="F19" s="25" t="str">
        <f t="shared" si="0"/>
        <v>B</v>
      </c>
      <c r="G19" s="25" t="str">
        <f t="shared" si="1"/>
        <v>B</v>
      </c>
      <c r="H19" s="25" t="str">
        <f t="shared" si="2"/>
        <v>Other</v>
      </c>
      <c r="I19" s="25" t="str">
        <f t="shared" si="3"/>
        <v>LOW</v>
      </c>
      <c r="J19" s="25">
        <f t="shared" si="4"/>
        <v>1</v>
      </c>
    </row>
    <row r="20" spans="1:10" x14ac:dyDescent="0.25">
      <c r="A20" s="25" t="s">
        <v>189</v>
      </c>
      <c r="B20" s="25">
        <v>43</v>
      </c>
      <c r="C20" s="26">
        <v>0.68</v>
      </c>
      <c r="D20" s="25" t="s">
        <v>44</v>
      </c>
      <c r="E20" s="25" t="b">
        <v>1</v>
      </c>
      <c r="F20" s="25" t="str">
        <f t="shared" si="0"/>
        <v>F</v>
      </c>
      <c r="G20" s="25" t="str">
        <f t="shared" si="1"/>
        <v>F</v>
      </c>
      <c r="H20" s="25" t="str">
        <f t="shared" si="2"/>
        <v>Other</v>
      </c>
      <c r="I20" s="25" t="str">
        <f t="shared" si="3"/>
        <v>HIGH</v>
      </c>
      <c r="J20" s="25">
        <f t="shared" si="4"/>
        <v>3</v>
      </c>
    </row>
    <row r="21" spans="1:10" x14ac:dyDescent="0.25">
      <c r="A21" s="25" t="s">
        <v>190</v>
      </c>
      <c r="B21" s="25">
        <v>50</v>
      </c>
      <c r="C21" s="26">
        <v>0.98</v>
      </c>
      <c r="D21" s="25" t="s">
        <v>80</v>
      </c>
      <c r="E21" s="25" t="b">
        <v>1</v>
      </c>
      <c r="F21" s="25" t="str">
        <f t="shared" si="0"/>
        <v>F</v>
      </c>
      <c r="G21" s="25" t="str">
        <f t="shared" si="1"/>
        <v>F</v>
      </c>
      <c r="H21" s="25" t="str">
        <f t="shared" si="2"/>
        <v>Other</v>
      </c>
      <c r="I21" s="25" t="str">
        <f t="shared" si="3"/>
        <v>MEDIUM</v>
      </c>
      <c r="J21" s="25">
        <f t="shared" si="4"/>
        <v>2</v>
      </c>
    </row>
    <row r="22" spans="1:10" x14ac:dyDescent="0.25">
      <c r="A22" s="25" t="s">
        <v>191</v>
      </c>
      <c r="B22" s="25">
        <v>56</v>
      </c>
      <c r="C22" s="26">
        <v>0.8</v>
      </c>
      <c r="D22" s="25" t="s">
        <v>79</v>
      </c>
      <c r="E22" s="25" t="b">
        <v>0</v>
      </c>
      <c r="F22" s="25" t="str">
        <f t="shared" si="0"/>
        <v>F</v>
      </c>
      <c r="G22" s="25" t="str">
        <f t="shared" si="1"/>
        <v>F</v>
      </c>
      <c r="H22" s="25" t="str">
        <f t="shared" si="2"/>
        <v>Other</v>
      </c>
      <c r="I22" s="25" t="str">
        <f t="shared" si="3"/>
        <v>MEDIUM</v>
      </c>
      <c r="J22" s="25">
        <f t="shared" si="4"/>
        <v>2</v>
      </c>
    </row>
    <row r="23" spans="1:10" x14ac:dyDescent="0.25">
      <c r="A23" s="25" t="s">
        <v>192</v>
      </c>
      <c r="B23" s="25">
        <v>42</v>
      </c>
      <c r="C23" s="26">
        <v>0.75</v>
      </c>
      <c r="D23" s="25" t="s">
        <v>79</v>
      </c>
      <c r="E23" s="25" t="b">
        <v>0</v>
      </c>
      <c r="F23" s="25" t="str">
        <f t="shared" si="0"/>
        <v>F</v>
      </c>
      <c r="G23" s="25" t="str">
        <f t="shared" si="1"/>
        <v>F</v>
      </c>
      <c r="H23" s="25" t="str">
        <f t="shared" si="2"/>
        <v>Other</v>
      </c>
      <c r="I23" s="25" t="str">
        <f t="shared" si="3"/>
        <v>MEDIUM</v>
      </c>
      <c r="J23" s="25">
        <f t="shared" si="4"/>
        <v>2</v>
      </c>
    </row>
    <row r="24" spans="1:10" x14ac:dyDescent="0.25">
      <c r="A24" s="25" t="s">
        <v>193</v>
      </c>
      <c r="B24" s="25">
        <v>40</v>
      </c>
      <c r="C24" s="26">
        <v>0.6</v>
      </c>
      <c r="D24" s="25" t="s">
        <v>46</v>
      </c>
      <c r="E24" s="25" t="b">
        <v>0</v>
      </c>
      <c r="F24" s="25" t="str">
        <f t="shared" si="0"/>
        <v>F</v>
      </c>
      <c r="G24" s="25" t="str">
        <f t="shared" si="1"/>
        <v>F</v>
      </c>
      <c r="H24" s="25" t="str">
        <f t="shared" si="2"/>
        <v>Other</v>
      </c>
      <c r="I24" s="25" t="str">
        <f t="shared" si="3"/>
        <v>MEDIUM</v>
      </c>
      <c r="J24" s="25">
        <f t="shared" si="4"/>
        <v>2</v>
      </c>
    </row>
    <row r="25" spans="1:10" x14ac:dyDescent="0.25">
      <c r="A25" s="25" t="s">
        <v>194</v>
      </c>
      <c r="B25" s="25">
        <v>59</v>
      </c>
      <c r="C25" s="26">
        <v>0.81</v>
      </c>
      <c r="D25" s="25" t="s">
        <v>44</v>
      </c>
      <c r="E25" s="25" t="b">
        <v>1</v>
      </c>
      <c r="F25" s="25" t="str">
        <f t="shared" si="0"/>
        <v>F</v>
      </c>
      <c r="G25" s="25" t="str">
        <f t="shared" si="1"/>
        <v>F</v>
      </c>
      <c r="H25" s="25" t="str">
        <f t="shared" si="2"/>
        <v>Other</v>
      </c>
      <c r="I25" s="25" t="str">
        <f t="shared" si="3"/>
        <v>MEDIUM</v>
      </c>
      <c r="J25" s="25">
        <f t="shared" si="4"/>
        <v>2</v>
      </c>
    </row>
    <row r="26" spans="1:10" x14ac:dyDescent="0.25">
      <c r="A26" s="25" t="s">
        <v>195</v>
      </c>
      <c r="B26" s="25">
        <v>39</v>
      </c>
      <c r="C26" s="26">
        <v>0.62</v>
      </c>
      <c r="D26" s="25" t="s">
        <v>44</v>
      </c>
      <c r="E26" s="25" t="b">
        <v>1</v>
      </c>
      <c r="F26" s="25" t="str">
        <f t="shared" si="0"/>
        <v>F</v>
      </c>
      <c r="G26" s="25" t="str">
        <f t="shared" si="1"/>
        <v>F</v>
      </c>
      <c r="H26" s="25" t="str">
        <f t="shared" si="2"/>
        <v>Other</v>
      </c>
      <c r="I26" s="25" t="str">
        <f t="shared" si="3"/>
        <v>HIGH</v>
      </c>
      <c r="J26" s="25">
        <f t="shared" si="4"/>
        <v>3</v>
      </c>
    </row>
  </sheetData>
  <phoneticPr fontId="3" type="noConversion"/>
  <conditionalFormatting sqref="I2:I26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dataValidations count="1">
    <dataValidation type="list" allowBlank="1" showInputMessage="1" showErrorMessage="1" sqref="D2:D26" xr:uid="{79DA7460-A9F9-4243-902C-46D0CE4D8506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4236-D2FA-4A15-82B9-C5FECCD742F4}">
  <dimension ref="A1:Q51"/>
  <sheetViews>
    <sheetView zoomScale="115" zoomScaleNormal="115" workbookViewId="0">
      <selection activeCell="I2" sqref="I2"/>
    </sheetView>
  </sheetViews>
  <sheetFormatPr defaultRowHeight="15" x14ac:dyDescent="0.25"/>
  <cols>
    <col min="1" max="1" width="16.140625" style="9" bestFit="1" customWidth="1"/>
    <col min="2" max="2" width="13.5703125" style="9" bestFit="1" customWidth="1"/>
    <col min="3" max="3" width="14.85546875" style="9" bestFit="1" customWidth="1"/>
    <col min="4" max="4" width="15.5703125" style="9" bestFit="1" customWidth="1"/>
    <col min="5" max="5" width="14.85546875" style="9" bestFit="1" customWidth="1"/>
    <col min="6" max="6" width="12.28515625" style="9" bestFit="1" customWidth="1"/>
    <col min="7" max="7" width="13.5703125" style="9" bestFit="1" customWidth="1"/>
    <col min="8" max="8" width="21.42578125" style="9" bestFit="1" customWidth="1"/>
    <col min="9" max="9" width="30.85546875" style="9" bestFit="1" customWidth="1"/>
    <col min="10" max="10" width="33.42578125" style="9" bestFit="1" customWidth="1"/>
    <col min="11" max="11" width="9.140625" style="9"/>
    <col min="12" max="12" width="13.5703125" style="9" bestFit="1" customWidth="1"/>
    <col min="13" max="13" width="12.28515625" style="9" bestFit="1" customWidth="1"/>
    <col min="14" max="15" width="20.140625" style="9" bestFit="1" customWidth="1"/>
    <col min="16" max="16" width="16.140625" style="9" bestFit="1" customWidth="1"/>
    <col min="17" max="17" width="18.85546875" style="9" bestFit="1" customWidth="1"/>
    <col min="18" max="16384" width="9.140625" style="9"/>
  </cols>
  <sheetData>
    <row r="1" spans="1:17" s="29" customFormat="1" ht="15.75" x14ac:dyDescent="0.25">
      <c r="A1" s="33" t="s">
        <v>86</v>
      </c>
      <c r="B1" s="29" t="s">
        <v>82</v>
      </c>
      <c r="C1" s="29" t="s">
        <v>83</v>
      </c>
      <c r="D1" s="29" t="s">
        <v>84</v>
      </c>
      <c r="E1" s="29" t="s">
        <v>87</v>
      </c>
      <c r="F1" s="29" t="s">
        <v>88</v>
      </c>
      <c r="G1" s="29" t="s">
        <v>85</v>
      </c>
      <c r="H1" s="29" t="s">
        <v>106</v>
      </c>
      <c r="I1" s="29" t="s">
        <v>107</v>
      </c>
      <c r="J1" s="29" t="s">
        <v>108</v>
      </c>
      <c r="L1" s="29" t="s">
        <v>103</v>
      </c>
      <c r="M1" s="29" t="s">
        <v>100</v>
      </c>
      <c r="N1" s="29" t="s">
        <v>101</v>
      </c>
      <c r="O1" s="29" t="s">
        <v>102</v>
      </c>
      <c r="P1" s="29" t="s">
        <v>104</v>
      </c>
      <c r="Q1" s="29" t="s">
        <v>105</v>
      </c>
    </row>
    <row r="2" spans="1:17" ht="15.75" x14ac:dyDescent="0.25">
      <c r="A2" s="9">
        <v>501</v>
      </c>
      <c r="B2" s="9" t="s">
        <v>89</v>
      </c>
      <c r="C2" s="9" t="s">
        <v>96</v>
      </c>
      <c r="D2" s="9" t="s">
        <v>93</v>
      </c>
      <c r="E2" s="9">
        <v>12638</v>
      </c>
      <c r="F2" s="9">
        <v>4</v>
      </c>
      <c r="G2" s="9">
        <v>13</v>
      </c>
      <c r="H2" s="34" t="str">
        <f>IF(SalesTable[[#This Row],[Revenue]]&gt;AVERAGEIF(SalesTable[Region],SalesTable[[#This Row],[Region]],SalesTable[Revenue]),"Above","Below")</f>
        <v>Above</v>
      </c>
      <c r="I2" s="35">
        <f>(SalesTable[[#This Row],[Revenue]]/SalesTable[[#This Row],[Target]]-1)%</f>
        <v>9.7115384615384617</v>
      </c>
      <c r="J2" s="8" t="str">
        <f>IF(SalesTable[[#This Row],[Revenue]]&gt;=SalesTable[[#This Row],[Target]],"Hit","Miss")</f>
        <v>Hit</v>
      </c>
      <c r="K2" s="28"/>
      <c r="L2" s="9" t="s">
        <v>89</v>
      </c>
      <c r="M2" s="9">
        <f>COUNTIF(SalesTable[Region], L2)</f>
        <v>11</v>
      </c>
      <c r="N2" s="9">
        <f>SUMIF(SalesTable[Region], L2, SalesTable[Revenue])</f>
        <v>136692</v>
      </c>
      <c r="O2" s="30">
        <f>AVERAGEIF(SalesTable[Region],L2,SalesTable[Revenue])</f>
        <v>12426.545454545454</v>
      </c>
      <c r="P2" s="31">
        <f>COUNTIFS(SalesTable[Region],L2, SalesTable[Quarter],"Q1", SalesTable[Revenue],"&gt;"&amp;10000)</f>
        <v>9</v>
      </c>
      <c r="Q2" s="32" cm="1">
        <f t="array" ref="Q2">SUMPRODUCT((SalesTable[Region]=L2)*(SalesTable[Quarter]="Q1")*(SalesTable[Revenue]&gt;10000))</f>
        <v>9</v>
      </c>
    </row>
    <row r="3" spans="1:17" ht="15.75" x14ac:dyDescent="0.25">
      <c r="A3" s="9">
        <v>502</v>
      </c>
      <c r="B3" s="9" t="s">
        <v>92</v>
      </c>
      <c r="C3" s="9" t="s">
        <v>97</v>
      </c>
      <c r="D3" s="9" t="s">
        <v>94</v>
      </c>
      <c r="E3" s="9">
        <v>11672</v>
      </c>
      <c r="F3" s="9">
        <v>9</v>
      </c>
      <c r="G3" s="9">
        <v>12</v>
      </c>
      <c r="H3" s="9" t="str">
        <f>IF(SalesTable[[#This Row],[Revenue]]&gt;AVERAGEIF(SalesTable[Region],SalesTable[[#This Row],[Region]],SalesTable[Revenue]),"Above","Below")</f>
        <v>Above</v>
      </c>
      <c r="I3" s="30">
        <f>(SalesTable[[#This Row],[Revenue]]/SalesTable[[#This Row],[Target]]-1)%</f>
        <v>9.7166666666666668</v>
      </c>
      <c r="J3" s="9" t="str">
        <f>IF(SalesTable[[#This Row],[Revenue]]&gt;=SalesTable[[#This Row],[Target]],"Hit","Miss")</f>
        <v>Hit</v>
      </c>
      <c r="L3" s="9" t="s">
        <v>90</v>
      </c>
      <c r="M3" s="9">
        <f>COUNTIF(SalesTable[Region], L3)</f>
        <v>7</v>
      </c>
      <c r="N3" s="9">
        <f>SUMIF(SalesTable[Region], L3, SalesTable[Revenue])</f>
        <v>86810</v>
      </c>
      <c r="O3" s="30">
        <f>AVERAGEIF(SalesTable[Region],L3,SalesTable[Revenue])</f>
        <v>12401.428571428571</v>
      </c>
      <c r="P3" s="31">
        <f>COUNTIFS(SalesTable[Region],L3, SalesTable[Quarter],"Q1", SalesTable[Revenue],"&gt;"&amp;10000)</f>
        <v>0</v>
      </c>
      <c r="Q3" s="32" cm="1">
        <f t="array" ref="Q3">SUMPRODUCT((SalesTable[Region]=L3)*(SalesTable[Quarter]="Q1")*(SalesTable[Revenue]&gt;10000))</f>
        <v>0</v>
      </c>
    </row>
    <row r="4" spans="1:17" ht="15.75" x14ac:dyDescent="0.25">
      <c r="A4" s="9">
        <v>503</v>
      </c>
      <c r="B4" s="9" t="s">
        <v>90</v>
      </c>
      <c r="C4" s="9" t="s">
        <v>98</v>
      </c>
      <c r="D4" s="9" t="s">
        <v>95</v>
      </c>
      <c r="E4" s="9">
        <v>10326</v>
      </c>
      <c r="F4" s="9">
        <v>9</v>
      </c>
      <c r="G4" s="9">
        <v>15</v>
      </c>
      <c r="H4" s="9" t="str">
        <f>IF(SalesTable[[#This Row],[Revenue]]&gt;AVERAGEIF(SalesTable[Region],SalesTable[[#This Row],[Region]],SalesTable[Revenue]),"Above","Below")</f>
        <v>Below</v>
      </c>
      <c r="I4" s="30">
        <f>(SalesTable[[#This Row],[Revenue]]/SalesTable[[#This Row],[Target]]-1)%</f>
        <v>6.8739999999999997</v>
      </c>
      <c r="J4" s="9" t="str">
        <f>IF(SalesTable[[#This Row],[Revenue]]&gt;=SalesTable[[#This Row],[Target]],"Hit","Miss")</f>
        <v>Hit</v>
      </c>
      <c r="L4" s="9" t="s">
        <v>91</v>
      </c>
      <c r="M4" s="9">
        <f>COUNTIF(SalesTable[Region], L4)</f>
        <v>18</v>
      </c>
      <c r="N4" s="9">
        <f>SUMIF(SalesTable[Region], L4, SalesTable[Revenue])</f>
        <v>211046</v>
      </c>
      <c r="O4" s="30">
        <f>AVERAGEIF(SalesTable[Region],L4,SalesTable[Revenue])</f>
        <v>11724.777777777777</v>
      </c>
      <c r="P4" s="31">
        <f>COUNTIFS(SalesTable[Region],L4, SalesTable[Quarter],"Q1", SalesTable[Revenue],"&gt;"&amp;10000)</f>
        <v>0</v>
      </c>
      <c r="Q4" s="32" cm="1">
        <f t="array" ref="Q4">SUMPRODUCT((SalesTable[Region]=L4)*(SalesTable[Quarter]="Q1")*(SalesTable[Revenue]&gt;10000))</f>
        <v>0</v>
      </c>
    </row>
    <row r="5" spans="1:17" x14ac:dyDescent="0.25">
      <c r="A5" s="9">
        <v>504</v>
      </c>
      <c r="B5" s="9" t="s">
        <v>91</v>
      </c>
      <c r="C5" s="9" t="s">
        <v>99</v>
      </c>
      <c r="D5" s="9" t="s">
        <v>95</v>
      </c>
      <c r="E5" s="9">
        <v>8079</v>
      </c>
      <c r="F5" s="9">
        <v>8</v>
      </c>
      <c r="G5" s="9">
        <v>14</v>
      </c>
      <c r="H5" s="9" t="str">
        <f>IF(SalesTable[[#This Row],[Revenue]]&gt;AVERAGEIF(SalesTable[Region],SalesTable[[#This Row],[Region]],SalesTable[Revenue]),"Above","Below")</f>
        <v>Below</v>
      </c>
      <c r="I5" s="30">
        <f>(SalesTable[[#This Row],[Revenue]]/SalesTable[[#This Row],[Target]]-1)%</f>
        <v>5.7607142857142852</v>
      </c>
      <c r="J5" s="9" t="str">
        <f>IF(SalesTable[[#This Row],[Revenue]]&gt;=SalesTable[[#This Row],[Target]],"Hit","Miss")</f>
        <v>Hit</v>
      </c>
      <c r="L5" s="9" t="s">
        <v>92</v>
      </c>
      <c r="M5" s="9">
        <f>COUNTIF(SalesTable[Region], L5)</f>
        <v>14</v>
      </c>
      <c r="N5" s="9">
        <f>SUMIF(SalesTable[Region], L5, SalesTable[Revenue])</f>
        <v>160404</v>
      </c>
      <c r="O5" s="30">
        <f>AVERAGEIF(SalesTable[Region],L5,SalesTable[Revenue])</f>
        <v>11457.428571428571</v>
      </c>
      <c r="P5" s="32">
        <f>COUNTIFS(SalesTable[Region],L5, SalesTable[Quarter],"Q1", SalesTable[Revenue],"&gt;"&amp;10000)</f>
        <v>0</v>
      </c>
      <c r="Q5" s="32" cm="1">
        <f t="array" ref="Q5">SUMPRODUCT((SalesTable[Region]=L5)*(SalesTable[Quarter]="Q1")*(SalesTable[Revenue]&gt;10000))</f>
        <v>0</v>
      </c>
    </row>
    <row r="6" spans="1:17" x14ac:dyDescent="0.25">
      <c r="A6" s="9">
        <v>505</v>
      </c>
      <c r="B6" s="9" t="s">
        <v>90</v>
      </c>
      <c r="C6" s="9" t="s">
        <v>98</v>
      </c>
      <c r="D6" s="9" t="s">
        <v>95</v>
      </c>
      <c r="E6" s="9">
        <v>14407</v>
      </c>
      <c r="F6" s="9">
        <v>6</v>
      </c>
      <c r="G6" s="9">
        <v>12</v>
      </c>
      <c r="H6" s="9" t="str">
        <f>IF(SalesTable[[#This Row],[Revenue]]&gt;AVERAGEIF(SalesTable[Region],SalesTable[[#This Row],[Region]],SalesTable[Revenue]),"Above","Below")</f>
        <v>Above</v>
      </c>
      <c r="I6" s="30">
        <f>(SalesTable[[#This Row],[Revenue]]/SalesTable[[#This Row],[Target]]-1)%</f>
        <v>11.995833333333332</v>
      </c>
      <c r="J6" s="9" t="str">
        <f>IF(SalesTable[[#This Row],[Revenue]]&gt;=SalesTable[[#This Row],[Target]],"Hit","Miss")</f>
        <v>Hit</v>
      </c>
    </row>
    <row r="7" spans="1:17" x14ac:dyDescent="0.25">
      <c r="A7" s="9">
        <v>506</v>
      </c>
      <c r="B7" s="9" t="s">
        <v>92</v>
      </c>
      <c r="C7" s="9" t="s">
        <v>97</v>
      </c>
      <c r="D7" s="9" t="s">
        <v>95</v>
      </c>
      <c r="E7" s="9">
        <v>14471</v>
      </c>
      <c r="F7" s="9">
        <v>7</v>
      </c>
      <c r="G7" s="9">
        <v>13</v>
      </c>
      <c r="H7" s="9" t="str">
        <f>IF(SalesTable[[#This Row],[Revenue]]&gt;AVERAGEIF(SalesTable[Region],SalesTable[[#This Row],[Region]],SalesTable[Revenue]),"Above","Below")</f>
        <v>Above</v>
      </c>
      <c r="I7" s="30">
        <f>(SalesTable[[#This Row],[Revenue]]/SalesTable[[#This Row],[Target]]-1)%</f>
        <v>11.121538461538462</v>
      </c>
      <c r="J7" s="9" t="str">
        <f>IF(SalesTable[[#This Row],[Revenue]]&gt;=SalesTable[[#This Row],[Target]],"Hit","Miss")</f>
        <v>Hit</v>
      </c>
    </row>
    <row r="8" spans="1:17" x14ac:dyDescent="0.25">
      <c r="A8" s="9">
        <v>507</v>
      </c>
      <c r="B8" s="9" t="s">
        <v>91</v>
      </c>
      <c r="C8" s="9" t="s">
        <v>99</v>
      </c>
      <c r="D8" s="9" t="s">
        <v>93</v>
      </c>
      <c r="E8" s="9">
        <v>10794</v>
      </c>
      <c r="F8" s="9">
        <v>5</v>
      </c>
      <c r="G8" s="9">
        <v>14</v>
      </c>
      <c r="H8" s="9" t="str">
        <f>IF(SalesTable[[#This Row],[Revenue]]&gt;AVERAGEIF(SalesTable[Region],SalesTable[[#This Row],[Region]],SalesTable[Revenue]),"Above","Below")</f>
        <v>Below</v>
      </c>
      <c r="I8" s="30">
        <f>(SalesTable[[#This Row],[Revenue]]/SalesTable[[#This Row],[Target]]-1)%</f>
        <v>7.7</v>
      </c>
      <c r="J8" s="9" t="str">
        <f>IF(SalesTable[[#This Row],[Revenue]]&gt;=SalesTable[[#This Row],[Target]],"Hit","Miss")</f>
        <v>Hit</v>
      </c>
    </row>
    <row r="9" spans="1:17" x14ac:dyDescent="0.25">
      <c r="A9" s="9">
        <v>508</v>
      </c>
      <c r="B9" s="9" t="s">
        <v>91</v>
      </c>
      <c r="C9" s="9" t="s">
        <v>99</v>
      </c>
      <c r="D9" s="9" t="s">
        <v>95</v>
      </c>
      <c r="E9" s="9">
        <v>14097</v>
      </c>
      <c r="F9" s="9">
        <v>6</v>
      </c>
      <c r="G9" s="9">
        <v>11</v>
      </c>
      <c r="H9" s="9" t="str">
        <f>IF(SalesTable[[#This Row],[Revenue]]&gt;AVERAGEIF(SalesTable[Region],SalesTable[[#This Row],[Region]],SalesTable[Revenue]),"Above","Below")</f>
        <v>Above</v>
      </c>
      <c r="I9" s="30">
        <f>(SalesTable[[#This Row],[Revenue]]/SalesTable[[#This Row],[Target]]-1)%</f>
        <v>12.805454545454545</v>
      </c>
      <c r="J9" s="9" t="str">
        <f>IF(SalesTable[[#This Row],[Revenue]]&gt;=SalesTable[[#This Row],[Target]],"Hit","Miss")</f>
        <v>Hit</v>
      </c>
    </row>
    <row r="10" spans="1:17" x14ac:dyDescent="0.25">
      <c r="A10" s="9">
        <v>509</v>
      </c>
      <c r="B10" s="9" t="s">
        <v>92</v>
      </c>
      <c r="C10" s="9" t="s">
        <v>97</v>
      </c>
      <c r="D10" s="9" t="s">
        <v>94</v>
      </c>
      <c r="E10" s="9">
        <v>8487</v>
      </c>
      <c r="F10" s="9">
        <v>5</v>
      </c>
      <c r="G10" s="9">
        <v>15</v>
      </c>
      <c r="H10" s="9" t="str">
        <f>IF(SalesTable[[#This Row],[Revenue]]&gt;AVERAGEIF(SalesTable[Region],SalesTable[[#This Row],[Region]],SalesTable[Revenue]),"Above","Below")</f>
        <v>Below</v>
      </c>
      <c r="I10" s="30">
        <f>(SalesTable[[#This Row],[Revenue]]/SalesTable[[#This Row],[Target]]-1)%</f>
        <v>5.6479999999999997</v>
      </c>
      <c r="J10" s="9" t="str">
        <f>IF(SalesTable[[#This Row],[Revenue]]&gt;=SalesTable[[#This Row],[Target]],"Hit","Miss")</f>
        <v>Hit</v>
      </c>
    </row>
    <row r="11" spans="1:17" x14ac:dyDescent="0.25">
      <c r="A11" s="9">
        <v>510</v>
      </c>
      <c r="B11" s="9" t="s">
        <v>90</v>
      </c>
      <c r="C11" s="9" t="s">
        <v>98</v>
      </c>
      <c r="D11" s="9" t="s">
        <v>94</v>
      </c>
      <c r="E11" s="9">
        <v>14336</v>
      </c>
      <c r="F11" s="9">
        <v>9</v>
      </c>
      <c r="G11" s="9">
        <v>11</v>
      </c>
      <c r="H11" s="9" t="str">
        <f>IF(SalesTable[[#This Row],[Revenue]]&gt;AVERAGEIF(SalesTable[Region],SalesTable[[#This Row],[Region]],SalesTable[Revenue]),"Above","Below")</f>
        <v>Above</v>
      </c>
      <c r="I11" s="30">
        <f>(SalesTable[[#This Row],[Revenue]]/SalesTable[[#This Row],[Target]]-1)%</f>
        <v>13.022727272727273</v>
      </c>
      <c r="J11" s="9" t="str">
        <f>IF(SalesTable[[#This Row],[Revenue]]&gt;=SalesTable[[#This Row],[Target]],"Hit","Miss")</f>
        <v>Hit</v>
      </c>
    </row>
    <row r="12" spans="1:17" x14ac:dyDescent="0.25">
      <c r="A12" s="9">
        <v>511</v>
      </c>
      <c r="B12" s="9" t="s">
        <v>91</v>
      </c>
      <c r="C12" s="9" t="s">
        <v>99</v>
      </c>
      <c r="D12" s="9" t="s">
        <v>94</v>
      </c>
      <c r="E12" s="9">
        <v>9424</v>
      </c>
      <c r="F12" s="9">
        <v>6</v>
      </c>
      <c r="G12" s="9">
        <v>12</v>
      </c>
      <c r="H12" s="9" t="str">
        <f>IF(SalesTable[[#This Row],[Revenue]]&gt;AVERAGEIF(SalesTable[Region],SalesTable[[#This Row],[Region]],SalesTable[Revenue]),"Above","Below")</f>
        <v>Below</v>
      </c>
      <c r="I12" s="30">
        <f>(SalesTable[[#This Row],[Revenue]]/SalesTable[[#This Row],[Target]]-1)%</f>
        <v>7.8433333333333337</v>
      </c>
      <c r="J12" s="9" t="str">
        <f>IF(SalesTable[[#This Row],[Revenue]]&gt;=SalesTable[[#This Row],[Target]],"Hit","Miss")</f>
        <v>Hit</v>
      </c>
    </row>
    <row r="13" spans="1:17" x14ac:dyDescent="0.25">
      <c r="A13" s="9">
        <v>512</v>
      </c>
      <c r="B13" s="9" t="s">
        <v>91</v>
      </c>
      <c r="C13" s="9" t="s">
        <v>99</v>
      </c>
      <c r="D13" s="9" t="s">
        <v>95</v>
      </c>
      <c r="E13" s="9">
        <v>14225</v>
      </c>
      <c r="F13" s="9">
        <v>6</v>
      </c>
      <c r="G13" s="9">
        <v>12</v>
      </c>
      <c r="H13" s="9" t="str">
        <f>IF(SalesTable[[#This Row],[Revenue]]&gt;AVERAGEIF(SalesTable[Region],SalesTable[[#This Row],[Region]],SalesTable[Revenue]),"Above","Below")</f>
        <v>Above</v>
      </c>
      <c r="I13" s="30">
        <f>(SalesTable[[#This Row],[Revenue]]/SalesTable[[#This Row],[Target]]-1)%</f>
        <v>11.844166666666668</v>
      </c>
      <c r="J13" s="9" t="str">
        <f>IF(SalesTable[[#This Row],[Revenue]]&gt;=SalesTable[[#This Row],[Target]],"Hit","Miss")</f>
        <v>Hit</v>
      </c>
      <c r="L13" s="28"/>
    </row>
    <row r="14" spans="1:17" x14ac:dyDescent="0.25">
      <c r="A14" s="9">
        <v>513</v>
      </c>
      <c r="B14" s="9" t="s">
        <v>92</v>
      </c>
      <c r="C14" s="9" t="s">
        <v>97</v>
      </c>
      <c r="D14" s="9" t="s">
        <v>93</v>
      </c>
      <c r="E14" s="9">
        <v>14047</v>
      </c>
      <c r="F14" s="9">
        <v>7</v>
      </c>
      <c r="G14" s="9">
        <v>12</v>
      </c>
      <c r="H14" s="9" t="str">
        <f>IF(SalesTable[[#This Row],[Revenue]]&gt;AVERAGEIF(SalesTable[Region],SalesTable[[#This Row],[Region]],SalesTable[Revenue]),"Above","Below")</f>
        <v>Above</v>
      </c>
      <c r="I14" s="30">
        <f>(SalesTable[[#This Row],[Revenue]]/SalesTable[[#This Row],[Target]]-1)%</f>
        <v>11.695833333333333</v>
      </c>
      <c r="J14" s="9" t="str">
        <f>IF(SalesTable[[#This Row],[Revenue]]&gt;=SalesTable[[#This Row],[Target]],"Hit","Miss")</f>
        <v>Hit</v>
      </c>
    </row>
    <row r="15" spans="1:17" x14ac:dyDescent="0.25">
      <c r="A15" s="9">
        <v>514</v>
      </c>
      <c r="B15" s="9" t="s">
        <v>91</v>
      </c>
      <c r="C15" s="9" t="s">
        <v>99</v>
      </c>
      <c r="D15" s="9" t="s">
        <v>93</v>
      </c>
      <c r="E15" s="9">
        <v>10573</v>
      </c>
      <c r="F15" s="9">
        <v>5</v>
      </c>
      <c r="G15" s="9">
        <v>15</v>
      </c>
      <c r="H15" s="9" t="str">
        <f>IF(SalesTable[[#This Row],[Revenue]]&gt;AVERAGEIF(SalesTable[Region],SalesTable[[#This Row],[Region]],SalesTable[Revenue]),"Above","Below")</f>
        <v>Below</v>
      </c>
      <c r="I15" s="30">
        <f>(SalesTable[[#This Row],[Revenue]]/SalesTable[[#This Row],[Target]]-1)%</f>
        <v>7.0386666666666668</v>
      </c>
      <c r="J15" s="9" t="str">
        <f>IF(SalesTable[[#This Row],[Revenue]]&gt;=SalesTable[[#This Row],[Target]],"Hit","Miss")</f>
        <v>Hit</v>
      </c>
    </row>
    <row r="16" spans="1:17" x14ac:dyDescent="0.25">
      <c r="A16" s="9">
        <v>515</v>
      </c>
      <c r="B16" s="9" t="s">
        <v>91</v>
      </c>
      <c r="C16" s="9" t="s">
        <v>99</v>
      </c>
      <c r="D16" s="9" t="s">
        <v>95</v>
      </c>
      <c r="E16" s="9">
        <v>11911</v>
      </c>
      <c r="F16" s="9">
        <v>6</v>
      </c>
      <c r="G16" s="9">
        <v>13</v>
      </c>
      <c r="H16" s="9" t="str">
        <f>IF(SalesTable[[#This Row],[Revenue]]&gt;AVERAGEIF(SalesTable[Region],SalesTable[[#This Row],[Region]],SalesTable[Revenue]),"Above","Below")</f>
        <v>Above</v>
      </c>
      <c r="I16" s="30">
        <f>(SalesTable[[#This Row],[Revenue]]/SalesTable[[#This Row],[Target]]-1)%</f>
        <v>9.1523076923076925</v>
      </c>
      <c r="J16" s="9" t="str">
        <f>IF(SalesTable[[#This Row],[Revenue]]&gt;=SalesTable[[#This Row],[Target]],"Hit","Miss")</f>
        <v>Hit</v>
      </c>
    </row>
    <row r="17" spans="1:10" x14ac:dyDescent="0.25">
      <c r="A17" s="9">
        <v>516</v>
      </c>
      <c r="B17" s="9" t="s">
        <v>91</v>
      </c>
      <c r="C17" s="9" t="s">
        <v>99</v>
      </c>
      <c r="D17" s="9" t="s">
        <v>94</v>
      </c>
      <c r="E17" s="9">
        <v>10350</v>
      </c>
      <c r="F17" s="9">
        <v>5</v>
      </c>
      <c r="G17" s="9">
        <v>13</v>
      </c>
      <c r="H17" s="9" t="str">
        <f>IF(SalesTable[[#This Row],[Revenue]]&gt;AVERAGEIF(SalesTable[Region],SalesTable[[#This Row],[Region]],SalesTable[Revenue]),"Above","Below")</f>
        <v>Below</v>
      </c>
      <c r="I17" s="30">
        <f>(SalesTable[[#This Row],[Revenue]]/SalesTable[[#This Row],[Target]]-1)%</f>
        <v>7.9515384615384619</v>
      </c>
      <c r="J17" s="9" t="str">
        <f>IF(SalesTable[[#This Row],[Revenue]]&gt;=SalesTable[[#This Row],[Target]],"Hit","Miss")</f>
        <v>Hit</v>
      </c>
    </row>
    <row r="18" spans="1:10" x14ac:dyDescent="0.25">
      <c r="A18" s="9">
        <v>517</v>
      </c>
      <c r="B18" s="9" t="s">
        <v>89</v>
      </c>
      <c r="C18" s="9" t="s">
        <v>96</v>
      </c>
      <c r="D18" s="9" t="s">
        <v>94</v>
      </c>
      <c r="E18" s="9">
        <v>12759</v>
      </c>
      <c r="F18" s="9">
        <v>5</v>
      </c>
      <c r="G18" s="9">
        <v>11</v>
      </c>
      <c r="H18" s="9" t="str">
        <f>IF(SalesTable[[#This Row],[Revenue]]&gt;AVERAGEIF(SalesTable[Region],SalesTable[[#This Row],[Region]],SalesTable[Revenue]),"Above","Below")</f>
        <v>Above</v>
      </c>
      <c r="I18" s="30">
        <f>(SalesTable[[#This Row],[Revenue]]/SalesTable[[#This Row],[Target]]-1)%</f>
        <v>11.58909090909091</v>
      </c>
      <c r="J18" s="9" t="str">
        <f>IF(SalesTable[[#This Row],[Revenue]]&gt;=SalesTable[[#This Row],[Target]],"Hit","Miss")</f>
        <v>Hit</v>
      </c>
    </row>
    <row r="19" spans="1:10" x14ac:dyDescent="0.25">
      <c r="A19" s="9">
        <v>518</v>
      </c>
      <c r="B19" s="9" t="s">
        <v>92</v>
      </c>
      <c r="C19" s="9" t="s">
        <v>97</v>
      </c>
      <c r="D19" s="9" t="s">
        <v>95</v>
      </c>
      <c r="E19" s="9">
        <v>10828</v>
      </c>
      <c r="F19" s="9">
        <v>5</v>
      </c>
      <c r="G19" s="9">
        <v>12</v>
      </c>
      <c r="H19" s="9" t="str">
        <f>IF(SalesTable[[#This Row],[Revenue]]&gt;AVERAGEIF(SalesTable[Region],SalesTable[[#This Row],[Region]],SalesTable[Revenue]),"Above","Below")</f>
        <v>Below</v>
      </c>
      <c r="I19" s="30">
        <f>(SalesTable[[#This Row],[Revenue]]/SalesTable[[#This Row],[Target]]-1)%</f>
        <v>9.0133333333333336</v>
      </c>
      <c r="J19" s="9" t="str">
        <f>IF(SalesTable[[#This Row],[Revenue]]&gt;=SalesTable[[#This Row],[Target]],"Hit","Miss")</f>
        <v>Hit</v>
      </c>
    </row>
    <row r="20" spans="1:10" x14ac:dyDescent="0.25">
      <c r="A20" s="9">
        <v>519</v>
      </c>
      <c r="B20" s="9" t="s">
        <v>89</v>
      </c>
      <c r="C20" s="9" t="s">
        <v>96</v>
      </c>
      <c r="D20" s="9" t="s">
        <v>94</v>
      </c>
      <c r="E20" s="9">
        <v>13395</v>
      </c>
      <c r="F20" s="9">
        <v>5</v>
      </c>
      <c r="G20" s="9">
        <v>12</v>
      </c>
      <c r="H20" s="9" t="str">
        <f>IF(SalesTable[[#This Row],[Revenue]]&gt;AVERAGEIF(SalesTable[Region],SalesTable[[#This Row],[Region]],SalesTable[Revenue]),"Above","Below")</f>
        <v>Above</v>
      </c>
      <c r="I20" s="30">
        <f>(SalesTable[[#This Row],[Revenue]]/SalesTable[[#This Row],[Target]]-1)%</f>
        <v>11.1525</v>
      </c>
      <c r="J20" s="9" t="str">
        <f>IF(SalesTable[[#This Row],[Revenue]]&gt;=SalesTable[[#This Row],[Target]],"Hit","Miss")</f>
        <v>Hit</v>
      </c>
    </row>
    <row r="21" spans="1:10" x14ac:dyDescent="0.25">
      <c r="A21" s="9">
        <v>520</v>
      </c>
      <c r="B21" s="9" t="s">
        <v>92</v>
      </c>
      <c r="C21" s="9" t="s">
        <v>97</v>
      </c>
      <c r="D21" s="9" t="s">
        <v>95</v>
      </c>
      <c r="E21" s="9">
        <v>14118</v>
      </c>
      <c r="F21" s="9">
        <v>8</v>
      </c>
      <c r="G21" s="9">
        <v>12</v>
      </c>
      <c r="H21" s="9" t="str">
        <f>IF(SalesTable[[#This Row],[Revenue]]&gt;AVERAGEIF(SalesTable[Region],SalesTable[[#This Row],[Region]],SalesTable[Revenue]),"Above","Below")</f>
        <v>Above</v>
      </c>
      <c r="I21" s="30">
        <f>(SalesTable[[#This Row],[Revenue]]/SalesTable[[#This Row],[Target]]-1)%</f>
        <v>11.755000000000001</v>
      </c>
      <c r="J21" s="9" t="str">
        <f>IF(SalesTable[[#This Row],[Revenue]]&gt;=SalesTable[[#This Row],[Target]],"Hit","Miss")</f>
        <v>Hit</v>
      </c>
    </row>
    <row r="22" spans="1:10" x14ac:dyDescent="0.25">
      <c r="A22" s="9">
        <v>521</v>
      </c>
      <c r="B22" s="9" t="s">
        <v>91</v>
      </c>
      <c r="C22" s="9" t="s">
        <v>99</v>
      </c>
      <c r="D22" s="9" t="s">
        <v>93</v>
      </c>
      <c r="E22" s="9">
        <v>8331</v>
      </c>
      <c r="F22" s="9">
        <v>5</v>
      </c>
      <c r="G22" s="9">
        <v>11</v>
      </c>
      <c r="H22" s="9" t="str">
        <f>IF(SalesTable[[#This Row],[Revenue]]&gt;AVERAGEIF(SalesTable[Region],SalesTable[[#This Row],[Region]],SalesTable[Revenue]),"Above","Below")</f>
        <v>Below</v>
      </c>
      <c r="I22" s="30">
        <f>(SalesTable[[#This Row],[Revenue]]/SalesTable[[#This Row],[Target]]-1)%</f>
        <v>7.5636363636363635</v>
      </c>
      <c r="J22" s="9" t="str">
        <f>IF(SalesTable[[#This Row],[Revenue]]&gt;=SalesTable[[#This Row],[Target]],"Hit","Miss")</f>
        <v>Hit</v>
      </c>
    </row>
    <row r="23" spans="1:10" x14ac:dyDescent="0.25">
      <c r="A23" s="9">
        <v>522</v>
      </c>
      <c r="B23" s="9" t="s">
        <v>92</v>
      </c>
      <c r="C23" s="9" t="s">
        <v>97</v>
      </c>
      <c r="D23" s="9" t="s">
        <v>95</v>
      </c>
      <c r="E23" s="9">
        <v>13571</v>
      </c>
      <c r="F23" s="9">
        <v>9</v>
      </c>
      <c r="G23" s="9">
        <v>13</v>
      </c>
      <c r="H23" s="9" t="str">
        <f>IF(SalesTable[[#This Row],[Revenue]]&gt;AVERAGEIF(SalesTable[Region],SalesTable[[#This Row],[Region]],SalesTable[Revenue]),"Above","Below")</f>
        <v>Above</v>
      </c>
      <c r="I23" s="30">
        <f>(SalesTable[[#This Row],[Revenue]]/SalesTable[[#This Row],[Target]]-1)%</f>
        <v>10.429230769230768</v>
      </c>
      <c r="J23" s="9" t="str">
        <f>IF(SalesTable[[#This Row],[Revenue]]&gt;=SalesTable[[#This Row],[Target]],"Hit","Miss")</f>
        <v>Hit</v>
      </c>
    </row>
    <row r="24" spans="1:10" x14ac:dyDescent="0.25">
      <c r="A24" s="9">
        <v>523</v>
      </c>
      <c r="B24" s="9" t="s">
        <v>89</v>
      </c>
      <c r="C24" s="9" t="s">
        <v>96</v>
      </c>
      <c r="D24" s="9" t="s">
        <v>95</v>
      </c>
      <c r="E24" s="9">
        <v>10545</v>
      </c>
      <c r="F24" s="9">
        <v>10</v>
      </c>
      <c r="G24" s="9">
        <v>15</v>
      </c>
      <c r="H24" s="9" t="str">
        <f>IF(SalesTable[[#This Row],[Revenue]]&gt;AVERAGEIF(SalesTable[Region],SalesTable[[#This Row],[Region]],SalesTable[Revenue]),"Above","Below")</f>
        <v>Below</v>
      </c>
      <c r="I24" s="30">
        <f>(SalesTable[[#This Row],[Revenue]]/SalesTable[[#This Row],[Target]]-1)%</f>
        <v>7.02</v>
      </c>
      <c r="J24" s="9" t="str">
        <f>IF(SalesTable[[#This Row],[Revenue]]&gt;=SalesTable[[#This Row],[Target]],"Hit","Miss")</f>
        <v>Hit</v>
      </c>
    </row>
    <row r="25" spans="1:10" x14ac:dyDescent="0.25">
      <c r="A25" s="9">
        <v>524</v>
      </c>
      <c r="B25" s="9" t="s">
        <v>91</v>
      </c>
      <c r="C25" s="9" t="s">
        <v>99</v>
      </c>
      <c r="D25" s="9" t="s">
        <v>94</v>
      </c>
      <c r="E25" s="9">
        <v>13888</v>
      </c>
      <c r="F25" s="9">
        <v>7</v>
      </c>
      <c r="G25" s="9">
        <v>12</v>
      </c>
      <c r="H25" s="9" t="str">
        <f>IF(SalesTable[[#This Row],[Revenue]]&gt;AVERAGEIF(SalesTable[Region],SalesTable[[#This Row],[Region]],SalesTable[Revenue]),"Above","Below")</f>
        <v>Above</v>
      </c>
      <c r="I25" s="30">
        <f>(SalesTable[[#This Row],[Revenue]]/SalesTable[[#This Row],[Target]]-1)%</f>
        <v>11.563333333333333</v>
      </c>
      <c r="J25" s="9" t="str">
        <f>IF(SalesTable[[#This Row],[Revenue]]&gt;=SalesTable[[#This Row],[Target]],"Hit","Miss")</f>
        <v>Hit</v>
      </c>
    </row>
    <row r="26" spans="1:10" x14ac:dyDescent="0.25">
      <c r="A26" s="9">
        <v>525</v>
      </c>
      <c r="B26" s="9" t="s">
        <v>89</v>
      </c>
      <c r="C26" s="9" t="s">
        <v>96</v>
      </c>
      <c r="D26" s="9" t="s">
        <v>93</v>
      </c>
      <c r="E26" s="9">
        <v>11914</v>
      </c>
      <c r="F26" s="9">
        <v>5</v>
      </c>
      <c r="G26" s="9">
        <v>14</v>
      </c>
      <c r="H26" s="9" t="str">
        <f>IF(SalesTable[[#This Row],[Revenue]]&gt;AVERAGEIF(SalesTable[Region],SalesTable[[#This Row],[Region]],SalesTable[Revenue]),"Above","Below")</f>
        <v>Below</v>
      </c>
      <c r="I26" s="30">
        <f>(SalesTable[[#This Row],[Revenue]]/SalesTable[[#This Row],[Target]]-1)%</f>
        <v>8.5</v>
      </c>
      <c r="J26" s="9" t="str">
        <f>IF(SalesTable[[#This Row],[Revenue]]&gt;=SalesTable[[#This Row],[Target]],"Hit","Miss")</f>
        <v>Hit</v>
      </c>
    </row>
    <row r="27" spans="1:10" x14ac:dyDescent="0.25">
      <c r="A27" s="9">
        <v>526</v>
      </c>
      <c r="B27" s="9" t="s">
        <v>92</v>
      </c>
      <c r="C27" s="9" t="s">
        <v>97</v>
      </c>
      <c r="D27" s="9" t="s">
        <v>94</v>
      </c>
      <c r="E27" s="9">
        <v>11191</v>
      </c>
      <c r="F27" s="9">
        <v>7</v>
      </c>
      <c r="G27" s="9">
        <v>15</v>
      </c>
      <c r="H27" s="9" t="str">
        <f>IF(SalesTable[[#This Row],[Revenue]]&gt;AVERAGEIF(SalesTable[Region],SalesTable[[#This Row],[Region]],SalesTable[Revenue]),"Above","Below")</f>
        <v>Below</v>
      </c>
      <c r="I27" s="30">
        <f>(SalesTable[[#This Row],[Revenue]]/SalesTable[[#This Row],[Target]]-1)%</f>
        <v>7.4506666666666668</v>
      </c>
      <c r="J27" s="9" t="str">
        <f>IF(SalesTable[[#This Row],[Revenue]]&gt;=SalesTable[[#This Row],[Target]],"Hit","Miss")</f>
        <v>Hit</v>
      </c>
    </row>
    <row r="28" spans="1:10" x14ac:dyDescent="0.25">
      <c r="A28" s="9">
        <v>527</v>
      </c>
      <c r="B28" s="9" t="s">
        <v>90</v>
      </c>
      <c r="C28" s="9" t="s">
        <v>98</v>
      </c>
      <c r="D28" s="9" t="s">
        <v>93</v>
      </c>
      <c r="E28" s="9">
        <v>14030</v>
      </c>
      <c r="F28" s="9">
        <v>5</v>
      </c>
      <c r="G28" s="9">
        <v>11</v>
      </c>
      <c r="H28" s="9" t="str">
        <f>IF(SalesTable[[#This Row],[Revenue]]&gt;AVERAGEIF(SalesTable[Region],SalesTable[[#This Row],[Region]],SalesTable[Revenue]),"Above","Below")</f>
        <v>Above</v>
      </c>
      <c r="I28" s="30">
        <f>(SalesTable[[#This Row],[Revenue]]/SalesTable[[#This Row],[Target]]-1)%</f>
        <v>12.744545454545454</v>
      </c>
      <c r="J28" s="9" t="str">
        <f>IF(SalesTable[[#This Row],[Revenue]]&gt;=SalesTable[[#This Row],[Target]],"Hit","Miss")</f>
        <v>Hit</v>
      </c>
    </row>
    <row r="29" spans="1:10" x14ac:dyDescent="0.25">
      <c r="A29" s="9">
        <v>528</v>
      </c>
      <c r="B29" s="9" t="s">
        <v>91</v>
      </c>
      <c r="C29" s="9" t="s">
        <v>99</v>
      </c>
      <c r="D29" s="9" t="s">
        <v>93</v>
      </c>
      <c r="E29" s="9">
        <v>10678</v>
      </c>
      <c r="F29" s="9">
        <v>10</v>
      </c>
      <c r="G29" s="9">
        <v>11</v>
      </c>
      <c r="H29" s="9" t="str">
        <f>IF(SalesTable[[#This Row],[Revenue]]&gt;AVERAGEIF(SalesTable[Region],SalesTable[[#This Row],[Region]],SalesTable[Revenue]),"Above","Below")</f>
        <v>Below</v>
      </c>
      <c r="I29" s="30">
        <f>(SalesTable[[#This Row],[Revenue]]/SalesTable[[#This Row],[Target]]-1)%</f>
        <v>9.6972727272727273</v>
      </c>
      <c r="J29" s="9" t="str">
        <f>IF(SalesTable[[#This Row],[Revenue]]&gt;=SalesTable[[#This Row],[Target]],"Hit","Miss")</f>
        <v>Hit</v>
      </c>
    </row>
    <row r="30" spans="1:10" x14ac:dyDescent="0.25">
      <c r="A30" s="9">
        <v>529</v>
      </c>
      <c r="B30" s="9" t="s">
        <v>90</v>
      </c>
      <c r="C30" s="9" t="s">
        <v>98</v>
      </c>
      <c r="D30" s="9" t="s">
        <v>94</v>
      </c>
      <c r="E30" s="9">
        <v>9979</v>
      </c>
      <c r="F30" s="9">
        <v>8</v>
      </c>
      <c r="G30" s="9">
        <v>15</v>
      </c>
      <c r="H30" s="9" t="str">
        <f>IF(SalesTable[[#This Row],[Revenue]]&gt;AVERAGEIF(SalesTable[Region],SalesTable[[#This Row],[Region]],SalesTable[Revenue]),"Above","Below")</f>
        <v>Below</v>
      </c>
      <c r="I30" s="30">
        <f>(SalesTable[[#This Row],[Revenue]]/SalesTable[[#This Row],[Target]]-1)%</f>
        <v>6.6426666666666669</v>
      </c>
      <c r="J30" s="9" t="str">
        <f>IF(SalesTable[[#This Row],[Revenue]]&gt;=SalesTable[[#This Row],[Target]],"Hit","Miss")</f>
        <v>Hit</v>
      </c>
    </row>
    <row r="31" spans="1:10" x14ac:dyDescent="0.25">
      <c r="A31" s="9">
        <v>530</v>
      </c>
      <c r="B31" s="9" t="s">
        <v>92</v>
      </c>
      <c r="C31" s="9" t="s">
        <v>97</v>
      </c>
      <c r="D31" s="9" t="s">
        <v>94</v>
      </c>
      <c r="E31" s="9">
        <v>8060</v>
      </c>
      <c r="F31" s="9">
        <v>4</v>
      </c>
      <c r="G31" s="9">
        <v>14</v>
      </c>
      <c r="H31" s="9" t="str">
        <f>IF(SalesTable[[#This Row],[Revenue]]&gt;AVERAGEIF(SalesTable[Region],SalesTable[[#This Row],[Region]],SalesTable[Revenue]),"Above","Below")</f>
        <v>Below</v>
      </c>
      <c r="I31" s="30">
        <f>(SalesTable[[#This Row],[Revenue]]/SalesTable[[#This Row],[Target]]-1)%</f>
        <v>5.7471428571428564</v>
      </c>
      <c r="J31" s="9" t="str">
        <f>IF(SalesTable[[#This Row],[Revenue]]&gt;=SalesTable[[#This Row],[Target]],"Hit","Miss")</f>
        <v>Hit</v>
      </c>
    </row>
    <row r="32" spans="1:10" x14ac:dyDescent="0.25">
      <c r="A32" s="9">
        <v>531</v>
      </c>
      <c r="B32" s="9" t="s">
        <v>89</v>
      </c>
      <c r="C32" s="9" t="s">
        <v>96</v>
      </c>
      <c r="D32" s="9" t="s">
        <v>93</v>
      </c>
      <c r="E32" s="9">
        <v>14152</v>
      </c>
      <c r="F32" s="9">
        <v>10</v>
      </c>
      <c r="G32" s="9">
        <v>13</v>
      </c>
      <c r="H32" s="9" t="str">
        <f>IF(SalesTable[[#This Row],[Revenue]]&gt;AVERAGEIF(SalesTable[Region],SalesTable[[#This Row],[Region]],SalesTable[Revenue]),"Above","Below")</f>
        <v>Above</v>
      </c>
      <c r="I32" s="30">
        <f>(SalesTable[[#This Row],[Revenue]]/SalesTable[[#This Row],[Target]]-1)%</f>
        <v>10.876153846153846</v>
      </c>
      <c r="J32" s="9" t="str">
        <f>IF(SalesTable[[#This Row],[Revenue]]&gt;=SalesTable[[#This Row],[Target]],"Hit","Miss")</f>
        <v>Hit</v>
      </c>
    </row>
    <row r="33" spans="1:10" x14ac:dyDescent="0.25">
      <c r="A33" s="9">
        <v>532</v>
      </c>
      <c r="B33" s="9" t="s">
        <v>91</v>
      </c>
      <c r="C33" s="9" t="s">
        <v>99</v>
      </c>
      <c r="D33" s="9" t="s">
        <v>95</v>
      </c>
      <c r="E33" s="9">
        <v>11171</v>
      </c>
      <c r="F33" s="9">
        <v>4</v>
      </c>
      <c r="G33" s="9">
        <v>11</v>
      </c>
      <c r="H33" s="9" t="str">
        <f>IF(SalesTable[[#This Row],[Revenue]]&gt;AVERAGEIF(SalesTable[Region],SalesTable[[#This Row],[Region]],SalesTable[Revenue]),"Above","Below")</f>
        <v>Below</v>
      </c>
      <c r="I33" s="30">
        <f>(SalesTable[[#This Row],[Revenue]]/SalesTable[[#This Row],[Target]]-1)%</f>
        <v>10.145454545454545</v>
      </c>
      <c r="J33" s="9" t="str">
        <f>IF(SalesTable[[#This Row],[Revenue]]&gt;=SalesTable[[#This Row],[Target]],"Hit","Miss")</f>
        <v>Hit</v>
      </c>
    </row>
    <row r="34" spans="1:10" x14ac:dyDescent="0.25">
      <c r="A34" s="9">
        <v>533</v>
      </c>
      <c r="B34" s="9" t="s">
        <v>90</v>
      </c>
      <c r="C34" s="9" t="s">
        <v>98</v>
      </c>
      <c r="D34" s="9" t="s">
        <v>95</v>
      </c>
      <c r="E34" s="9">
        <v>8835</v>
      </c>
      <c r="F34" s="9">
        <v>10</v>
      </c>
      <c r="G34" s="9">
        <v>14</v>
      </c>
      <c r="H34" s="9" t="str">
        <f>IF(SalesTable[[#This Row],[Revenue]]&gt;AVERAGEIF(SalesTable[Region],SalesTable[[#This Row],[Region]],SalesTable[Revenue]),"Above","Below")</f>
        <v>Below</v>
      </c>
      <c r="I34" s="30">
        <f>(SalesTable[[#This Row],[Revenue]]/SalesTable[[#This Row],[Target]]-1)%</f>
        <v>6.3007142857142853</v>
      </c>
      <c r="J34" s="9" t="str">
        <f>IF(SalesTable[[#This Row],[Revenue]]&gt;=SalesTable[[#This Row],[Target]],"Hit","Miss")</f>
        <v>Hit</v>
      </c>
    </row>
    <row r="35" spans="1:10" x14ac:dyDescent="0.25">
      <c r="A35" s="9">
        <v>534</v>
      </c>
      <c r="B35" s="9" t="s">
        <v>91</v>
      </c>
      <c r="C35" s="9" t="s">
        <v>99</v>
      </c>
      <c r="D35" s="9" t="s">
        <v>93</v>
      </c>
      <c r="E35" s="9">
        <v>10979</v>
      </c>
      <c r="F35" s="9">
        <v>9</v>
      </c>
      <c r="G35" s="9">
        <v>12</v>
      </c>
      <c r="H35" s="9" t="str">
        <f>IF(SalesTable[[#This Row],[Revenue]]&gt;AVERAGEIF(SalesTable[Region],SalesTable[[#This Row],[Region]],SalesTable[Revenue]),"Above","Below")</f>
        <v>Below</v>
      </c>
      <c r="I35" s="30">
        <f>(SalesTable[[#This Row],[Revenue]]/SalesTable[[#This Row],[Target]]-1)%</f>
        <v>9.1391666666666662</v>
      </c>
      <c r="J35" s="9" t="str">
        <f>IF(SalesTable[[#This Row],[Revenue]]&gt;=SalesTable[[#This Row],[Target]],"Hit","Miss")</f>
        <v>Hit</v>
      </c>
    </row>
    <row r="36" spans="1:10" x14ac:dyDescent="0.25">
      <c r="A36" s="9">
        <v>535</v>
      </c>
      <c r="B36" s="9" t="s">
        <v>89</v>
      </c>
      <c r="C36" s="9" t="s">
        <v>96</v>
      </c>
      <c r="D36" s="9" t="s">
        <v>95</v>
      </c>
      <c r="E36" s="9">
        <v>14307</v>
      </c>
      <c r="F36" s="9">
        <v>10</v>
      </c>
      <c r="G36" s="9">
        <v>13</v>
      </c>
      <c r="H36" s="9" t="str">
        <f>IF(SalesTable[[#This Row],[Revenue]]&gt;AVERAGEIF(SalesTable[Region],SalesTable[[#This Row],[Region]],SalesTable[Revenue]),"Above","Below")</f>
        <v>Above</v>
      </c>
      <c r="I36" s="30">
        <f>(SalesTable[[#This Row],[Revenue]]/SalesTable[[#This Row],[Target]]-1)%</f>
        <v>10.995384615384614</v>
      </c>
      <c r="J36" s="9" t="str">
        <f>IF(SalesTable[[#This Row],[Revenue]]&gt;=SalesTable[[#This Row],[Target]],"Hit","Miss")</f>
        <v>Hit</v>
      </c>
    </row>
    <row r="37" spans="1:10" x14ac:dyDescent="0.25">
      <c r="A37" s="9">
        <v>536</v>
      </c>
      <c r="B37" s="9" t="s">
        <v>90</v>
      </c>
      <c r="C37" s="9" t="s">
        <v>98</v>
      </c>
      <c r="D37" s="9" t="s">
        <v>95</v>
      </c>
      <c r="E37" s="9">
        <v>14897</v>
      </c>
      <c r="F37" s="9">
        <v>4</v>
      </c>
      <c r="G37" s="9">
        <v>14</v>
      </c>
      <c r="H37" s="9" t="str">
        <f>IF(SalesTable[[#This Row],[Revenue]]&gt;AVERAGEIF(SalesTable[Region],SalesTable[[#This Row],[Region]],SalesTable[Revenue]),"Above","Below")</f>
        <v>Above</v>
      </c>
      <c r="I37" s="30">
        <f>(SalesTable[[#This Row],[Revenue]]/SalesTable[[#This Row],[Target]]-1)%</f>
        <v>10.630714285714287</v>
      </c>
      <c r="J37" s="9" t="str">
        <f>IF(SalesTable[[#This Row],[Revenue]]&gt;=SalesTable[[#This Row],[Target]],"Hit","Miss")</f>
        <v>Hit</v>
      </c>
    </row>
    <row r="38" spans="1:10" x14ac:dyDescent="0.25">
      <c r="A38" s="9">
        <v>537</v>
      </c>
      <c r="B38" s="9" t="s">
        <v>91</v>
      </c>
      <c r="C38" s="9" t="s">
        <v>99</v>
      </c>
      <c r="D38" s="9" t="s">
        <v>93</v>
      </c>
      <c r="E38" s="9">
        <v>14095</v>
      </c>
      <c r="F38" s="9">
        <v>4</v>
      </c>
      <c r="G38" s="9">
        <v>14</v>
      </c>
      <c r="H38" s="9" t="str">
        <f>IF(SalesTable[[#This Row],[Revenue]]&gt;AVERAGEIF(SalesTable[Region],SalesTable[[#This Row],[Region]],SalesTable[Revenue]),"Above","Below")</f>
        <v>Above</v>
      </c>
      <c r="I38" s="30">
        <f>(SalesTable[[#This Row],[Revenue]]/SalesTable[[#This Row],[Target]]-1)%</f>
        <v>10.057857142857143</v>
      </c>
      <c r="J38" s="9" t="str">
        <f>IF(SalesTable[[#This Row],[Revenue]]&gt;=SalesTable[[#This Row],[Target]],"Hit","Miss")</f>
        <v>Hit</v>
      </c>
    </row>
    <row r="39" spans="1:10" x14ac:dyDescent="0.25">
      <c r="A39" s="9">
        <v>538</v>
      </c>
      <c r="B39" s="9" t="s">
        <v>89</v>
      </c>
      <c r="C39" s="9" t="s">
        <v>96</v>
      </c>
      <c r="D39" s="9" t="s">
        <v>93</v>
      </c>
      <c r="E39" s="9">
        <v>13568</v>
      </c>
      <c r="F39" s="9">
        <v>5</v>
      </c>
      <c r="G39" s="9">
        <v>12</v>
      </c>
      <c r="H39" s="9" t="str">
        <f>IF(SalesTable[[#This Row],[Revenue]]&gt;AVERAGEIF(SalesTable[Region],SalesTable[[#This Row],[Region]],SalesTable[Revenue]),"Above","Below")</f>
        <v>Above</v>
      </c>
      <c r="I39" s="30">
        <f>(SalesTable[[#This Row],[Revenue]]/SalesTable[[#This Row],[Target]]-1)%</f>
        <v>11.296666666666667</v>
      </c>
      <c r="J39" s="9" t="str">
        <f>IF(SalesTable[[#This Row],[Revenue]]&gt;=SalesTable[[#This Row],[Target]],"Hit","Miss")</f>
        <v>Hit</v>
      </c>
    </row>
    <row r="40" spans="1:10" x14ac:dyDescent="0.25">
      <c r="A40" s="9">
        <v>539</v>
      </c>
      <c r="B40" s="9" t="s">
        <v>89</v>
      </c>
      <c r="C40" s="9" t="s">
        <v>96</v>
      </c>
      <c r="D40" s="9" t="s">
        <v>94</v>
      </c>
      <c r="E40" s="9">
        <v>14065</v>
      </c>
      <c r="F40" s="9">
        <v>10</v>
      </c>
      <c r="G40" s="9">
        <v>11</v>
      </c>
      <c r="H40" s="9" t="str">
        <f>IF(SalesTable[[#This Row],[Revenue]]&gt;AVERAGEIF(SalesTable[Region],SalesTable[[#This Row],[Region]],SalesTable[Revenue]),"Above","Below")</f>
        <v>Above</v>
      </c>
      <c r="I40" s="30">
        <f>(SalesTable[[#This Row],[Revenue]]/SalesTable[[#This Row],[Target]]-1)%</f>
        <v>12.776363636363637</v>
      </c>
      <c r="J40" s="9" t="str">
        <f>IF(SalesTable[[#This Row],[Revenue]]&gt;=SalesTable[[#This Row],[Target]],"Hit","Miss")</f>
        <v>Hit</v>
      </c>
    </row>
    <row r="41" spans="1:10" x14ac:dyDescent="0.25">
      <c r="A41" s="9">
        <v>540</v>
      </c>
      <c r="B41" s="9" t="s">
        <v>92</v>
      </c>
      <c r="C41" s="9" t="s">
        <v>97</v>
      </c>
      <c r="D41" s="9" t="s">
        <v>95</v>
      </c>
      <c r="E41" s="9">
        <v>9558</v>
      </c>
      <c r="F41" s="9">
        <v>5</v>
      </c>
      <c r="G41" s="9">
        <v>13</v>
      </c>
      <c r="H41" s="9" t="str">
        <f>IF(SalesTable[[#This Row],[Revenue]]&gt;AVERAGEIF(SalesTable[Region],SalesTable[[#This Row],[Region]],SalesTable[Revenue]),"Above","Below")</f>
        <v>Below</v>
      </c>
      <c r="I41" s="30">
        <f>(SalesTable[[#This Row],[Revenue]]/SalesTable[[#This Row],[Target]]-1)%</f>
        <v>7.3423076923076929</v>
      </c>
      <c r="J41" s="9" t="str">
        <f>IF(SalesTable[[#This Row],[Revenue]]&gt;=SalesTable[[#This Row],[Target]],"Hit","Miss")</f>
        <v>Hit</v>
      </c>
    </row>
    <row r="42" spans="1:10" x14ac:dyDescent="0.25">
      <c r="A42" s="9">
        <v>541</v>
      </c>
      <c r="B42" s="9" t="s">
        <v>89</v>
      </c>
      <c r="C42" s="9" t="s">
        <v>96</v>
      </c>
      <c r="D42" s="9" t="s">
        <v>94</v>
      </c>
      <c r="E42" s="9">
        <v>9902</v>
      </c>
      <c r="F42" s="9">
        <v>3</v>
      </c>
      <c r="G42" s="9">
        <v>11</v>
      </c>
      <c r="H42" s="9" t="str">
        <f>IF(SalesTable[[#This Row],[Revenue]]&gt;AVERAGEIF(SalesTable[Region],SalesTable[[#This Row],[Region]],SalesTable[Revenue]),"Above","Below")</f>
        <v>Below</v>
      </c>
      <c r="I42" s="30">
        <f>(SalesTable[[#This Row],[Revenue]]/SalesTable[[#This Row],[Target]]-1)%</f>
        <v>8.9918181818181822</v>
      </c>
      <c r="J42" s="9" t="str">
        <f>IF(SalesTable[[#This Row],[Revenue]]&gt;=SalesTable[[#This Row],[Target]],"Hit","Miss")</f>
        <v>Hit</v>
      </c>
    </row>
    <row r="43" spans="1:10" x14ac:dyDescent="0.25">
      <c r="A43" s="9">
        <v>542</v>
      </c>
      <c r="B43" s="9" t="s">
        <v>92</v>
      </c>
      <c r="C43" s="9" t="s">
        <v>97</v>
      </c>
      <c r="D43" s="9" t="s">
        <v>94</v>
      </c>
      <c r="E43" s="9">
        <v>12950</v>
      </c>
      <c r="F43" s="9">
        <v>4</v>
      </c>
      <c r="G43" s="9">
        <v>13</v>
      </c>
      <c r="H43" s="9" t="str">
        <f>IF(SalesTable[[#This Row],[Revenue]]&gt;AVERAGEIF(SalesTable[Region],SalesTable[[#This Row],[Region]],SalesTable[Revenue]),"Above","Below")</f>
        <v>Above</v>
      </c>
      <c r="I43" s="30">
        <f>(SalesTable[[#This Row],[Revenue]]/SalesTable[[#This Row],[Target]]-1)%</f>
        <v>9.9515384615384619</v>
      </c>
      <c r="J43" s="9" t="str">
        <f>IF(SalesTable[[#This Row],[Revenue]]&gt;=SalesTable[[#This Row],[Target]],"Hit","Miss")</f>
        <v>Hit</v>
      </c>
    </row>
    <row r="44" spans="1:10" x14ac:dyDescent="0.25">
      <c r="A44" s="9">
        <v>543</v>
      </c>
      <c r="B44" s="9" t="s">
        <v>91</v>
      </c>
      <c r="C44" s="9" t="s">
        <v>99</v>
      </c>
      <c r="D44" s="9" t="s">
        <v>94</v>
      </c>
      <c r="E44" s="9">
        <v>13708</v>
      </c>
      <c r="F44" s="9">
        <v>10</v>
      </c>
      <c r="G44" s="9">
        <v>14</v>
      </c>
      <c r="H44" s="9" t="str">
        <f>IF(SalesTable[[#This Row],[Revenue]]&gt;AVERAGEIF(SalesTable[Region],SalesTable[[#This Row],[Region]],SalesTable[Revenue]),"Above","Below")</f>
        <v>Above</v>
      </c>
      <c r="I44" s="30">
        <f>(SalesTable[[#This Row],[Revenue]]/SalesTable[[#This Row],[Target]]-1)%</f>
        <v>9.7814285714285703</v>
      </c>
      <c r="J44" s="9" t="str">
        <f>IF(SalesTable[[#This Row],[Revenue]]&gt;=SalesTable[[#This Row],[Target]],"Hit","Miss")</f>
        <v>Hit</v>
      </c>
    </row>
    <row r="45" spans="1:10" x14ac:dyDescent="0.25">
      <c r="A45" s="9">
        <v>544</v>
      </c>
      <c r="B45" s="9" t="s">
        <v>91</v>
      </c>
      <c r="C45" s="9" t="s">
        <v>99</v>
      </c>
      <c r="D45" s="9" t="s">
        <v>95</v>
      </c>
      <c r="E45" s="9">
        <v>14796</v>
      </c>
      <c r="F45" s="9">
        <v>5</v>
      </c>
      <c r="G45" s="9">
        <v>14</v>
      </c>
      <c r="H45" s="9" t="str">
        <f>IF(SalesTable[[#This Row],[Revenue]]&gt;AVERAGEIF(SalesTable[Region],SalesTable[[#This Row],[Region]],SalesTable[Revenue]),"Above","Below")</f>
        <v>Above</v>
      </c>
      <c r="I45" s="30">
        <f>(SalesTable[[#This Row],[Revenue]]/SalesTable[[#This Row],[Target]]-1)%</f>
        <v>10.55857142857143</v>
      </c>
      <c r="J45" s="9" t="str">
        <f>IF(SalesTable[[#This Row],[Revenue]]&gt;=SalesTable[[#This Row],[Target]],"Hit","Miss")</f>
        <v>Hit</v>
      </c>
    </row>
    <row r="46" spans="1:10" x14ac:dyDescent="0.25">
      <c r="A46" s="9">
        <v>545</v>
      </c>
      <c r="B46" s="9" t="s">
        <v>92</v>
      </c>
      <c r="C46" s="9" t="s">
        <v>97</v>
      </c>
      <c r="D46" s="9" t="s">
        <v>95</v>
      </c>
      <c r="E46" s="9">
        <v>8412</v>
      </c>
      <c r="F46" s="9">
        <v>8</v>
      </c>
      <c r="G46" s="9">
        <v>12</v>
      </c>
      <c r="H46" s="9" t="str">
        <f>IF(SalesTable[[#This Row],[Revenue]]&gt;AVERAGEIF(SalesTable[Region],SalesTable[[#This Row],[Region]],SalesTable[Revenue]),"Above","Below")</f>
        <v>Below</v>
      </c>
      <c r="I46" s="30">
        <f>(SalesTable[[#This Row],[Revenue]]/SalesTable[[#This Row],[Target]]-1)%</f>
        <v>7</v>
      </c>
      <c r="J46" s="9" t="str">
        <f>IF(SalesTable[[#This Row],[Revenue]]&gt;=SalesTable[[#This Row],[Target]],"Hit","Miss")</f>
        <v>Hit</v>
      </c>
    </row>
    <row r="47" spans="1:10" x14ac:dyDescent="0.25">
      <c r="A47" s="9">
        <v>546</v>
      </c>
      <c r="B47" s="9" t="s">
        <v>92</v>
      </c>
      <c r="C47" s="9" t="s">
        <v>97</v>
      </c>
      <c r="D47" s="9" t="s">
        <v>94</v>
      </c>
      <c r="E47" s="9">
        <v>10756</v>
      </c>
      <c r="F47" s="9">
        <v>10</v>
      </c>
      <c r="G47" s="9">
        <v>14</v>
      </c>
      <c r="H47" s="9" t="str">
        <f>IF(SalesTable[[#This Row],[Revenue]]&gt;AVERAGEIF(SalesTable[Region],SalesTable[[#This Row],[Region]],SalesTable[Revenue]),"Above","Below")</f>
        <v>Below</v>
      </c>
      <c r="I47" s="30">
        <f>(SalesTable[[#This Row],[Revenue]]/SalesTable[[#This Row],[Target]]-1)%</f>
        <v>7.6728571428571435</v>
      </c>
      <c r="J47" s="9" t="str">
        <f>IF(SalesTable[[#This Row],[Revenue]]&gt;=SalesTable[[#This Row],[Target]],"Hit","Miss")</f>
        <v>Hit</v>
      </c>
    </row>
    <row r="48" spans="1:10" x14ac:dyDescent="0.25">
      <c r="A48" s="9">
        <v>547</v>
      </c>
      <c r="B48" s="9" t="s">
        <v>91</v>
      </c>
      <c r="C48" s="9" t="s">
        <v>99</v>
      </c>
      <c r="D48" s="9" t="s">
        <v>93</v>
      </c>
      <c r="E48" s="9">
        <v>9469</v>
      </c>
      <c r="F48" s="9">
        <v>3</v>
      </c>
      <c r="G48" s="9">
        <v>13</v>
      </c>
      <c r="H48" s="9" t="str">
        <f>IF(SalesTable[[#This Row],[Revenue]]&gt;AVERAGEIF(SalesTable[Region],SalesTable[[#This Row],[Region]],SalesTable[Revenue]),"Above","Below")</f>
        <v>Below</v>
      </c>
      <c r="I48" s="30">
        <f>(SalesTable[[#This Row],[Revenue]]/SalesTable[[#This Row],[Target]]-1)%</f>
        <v>7.2738461538461534</v>
      </c>
      <c r="J48" s="9" t="str">
        <f>IF(SalesTable[[#This Row],[Revenue]]&gt;=SalesTable[[#This Row],[Target]],"Hit","Miss")</f>
        <v>Hit</v>
      </c>
    </row>
    <row r="49" spans="1:10" x14ac:dyDescent="0.25">
      <c r="A49" s="9">
        <v>548</v>
      </c>
      <c r="B49" s="9" t="s">
        <v>89</v>
      </c>
      <c r="C49" s="9" t="s">
        <v>96</v>
      </c>
      <c r="D49" s="9" t="s">
        <v>94</v>
      </c>
      <c r="E49" s="9">
        <v>9447</v>
      </c>
      <c r="F49" s="9">
        <v>10</v>
      </c>
      <c r="G49" s="9">
        <v>15</v>
      </c>
      <c r="H49" s="9" t="str">
        <f>IF(SalesTable[[#This Row],[Revenue]]&gt;AVERAGEIF(SalesTable[Region],SalesTable[[#This Row],[Region]],SalesTable[Revenue]),"Above","Below")</f>
        <v>Below</v>
      </c>
      <c r="I49" s="30">
        <f>(SalesTable[[#This Row],[Revenue]]/SalesTable[[#This Row],[Target]]-1)%</f>
        <v>6.2879999999999994</v>
      </c>
      <c r="J49" s="9" t="str">
        <f>IF(SalesTable[[#This Row],[Revenue]]&gt;=SalesTable[[#This Row],[Target]],"Hit","Miss")</f>
        <v>Hit</v>
      </c>
    </row>
    <row r="50" spans="1:10" x14ac:dyDescent="0.25">
      <c r="A50" s="9">
        <v>549</v>
      </c>
      <c r="B50" s="9" t="s">
        <v>92</v>
      </c>
      <c r="C50" s="9" t="s">
        <v>97</v>
      </c>
      <c r="D50" s="9" t="s">
        <v>95</v>
      </c>
      <c r="E50" s="9">
        <v>12283</v>
      </c>
      <c r="F50" s="9">
        <v>4</v>
      </c>
      <c r="G50" s="9">
        <v>12</v>
      </c>
      <c r="H50" s="9" t="str">
        <f>IF(SalesTable[[#This Row],[Revenue]]&gt;AVERAGEIF(SalesTable[Region],SalesTable[[#This Row],[Region]],SalesTable[Revenue]),"Above","Below")</f>
        <v>Above</v>
      </c>
      <c r="I50" s="30">
        <f>(SalesTable[[#This Row],[Revenue]]/SalesTable[[#This Row],[Target]]-1)%</f>
        <v>10.225833333333334</v>
      </c>
      <c r="J50" s="9" t="str">
        <f>IF(SalesTable[[#This Row],[Revenue]]&gt;=SalesTable[[#This Row],[Target]],"Hit","Miss")</f>
        <v>Hit</v>
      </c>
    </row>
    <row r="51" spans="1:10" x14ac:dyDescent="0.25">
      <c r="A51" s="9">
        <v>550</v>
      </c>
      <c r="B51" s="9" t="s">
        <v>91</v>
      </c>
      <c r="C51" s="9" t="s">
        <v>99</v>
      </c>
      <c r="D51" s="9" t="s">
        <v>94</v>
      </c>
      <c r="E51" s="9">
        <v>14478</v>
      </c>
      <c r="F51" s="9">
        <v>6</v>
      </c>
      <c r="G51" s="9">
        <v>12</v>
      </c>
      <c r="H51" s="9" t="str">
        <f>IF(SalesTable[[#This Row],[Revenue]]&gt;AVERAGEIF(SalesTable[Region],SalesTable[[#This Row],[Region]],SalesTable[Revenue]),"Above","Below")</f>
        <v>Above</v>
      </c>
      <c r="I51" s="30">
        <f>(SalesTable[[#This Row],[Revenue]]/SalesTable[[#This Row],[Target]]-1)%</f>
        <v>12.055</v>
      </c>
      <c r="J51" s="9" t="str">
        <f>IF(SalesTable[[#This Row],[Revenue]]&gt;=SalesTable[[#This Row],[Target]],"Hit","Miss")</f>
        <v>Hit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2C3A-AE96-4B99-A9C7-5275AD092E39}">
  <dimension ref="A1:I21"/>
  <sheetViews>
    <sheetView zoomScale="130" zoomScaleNormal="130" workbookViewId="0">
      <selection activeCell="C2" sqref="C2"/>
    </sheetView>
  </sheetViews>
  <sheetFormatPr defaultRowHeight="15" x14ac:dyDescent="0.25"/>
  <cols>
    <col min="1" max="1" width="12.140625" style="37" bestFit="1" customWidth="1"/>
    <col min="2" max="2" width="20.5703125" style="37" bestFit="1" customWidth="1"/>
    <col min="3" max="3" width="18.7109375" style="37" bestFit="1" customWidth="1"/>
    <col min="4" max="4" width="18.5703125" style="37" bestFit="1" customWidth="1"/>
    <col min="5" max="5" width="19.140625" style="37" bestFit="1" customWidth="1"/>
    <col min="6" max="6" width="19.5703125" style="37" bestFit="1" customWidth="1"/>
    <col min="7" max="7" width="20.28515625" style="37" bestFit="1" customWidth="1"/>
    <col min="8" max="8" width="15.5703125" style="37" bestFit="1" customWidth="1"/>
    <col min="9" max="16384" width="9.140625" style="37"/>
  </cols>
  <sheetData>
    <row r="1" spans="1:9" x14ac:dyDescent="0.25">
      <c r="A1" s="37" t="s">
        <v>131</v>
      </c>
      <c r="B1" s="37" t="s">
        <v>132</v>
      </c>
      <c r="C1" s="37" t="s">
        <v>133</v>
      </c>
      <c r="D1" s="37" t="s">
        <v>126</v>
      </c>
      <c r="E1" s="37" t="s">
        <v>130</v>
      </c>
      <c r="F1" s="37" t="s">
        <v>134</v>
      </c>
      <c r="G1" s="37" t="s">
        <v>135</v>
      </c>
      <c r="H1" s="37" t="s">
        <v>156</v>
      </c>
      <c r="I1" s="37" t="s">
        <v>51</v>
      </c>
    </row>
    <row r="2" spans="1:9" x14ac:dyDescent="0.25">
      <c r="A2" s="38" t="s">
        <v>24</v>
      </c>
      <c r="B2" s="39" t="s">
        <v>109</v>
      </c>
      <c r="C2" s="37" t="s">
        <v>136</v>
      </c>
      <c r="D2" s="40" t="str">
        <f>PROPER(TRIM(A2))</f>
        <v>Liam</v>
      </c>
      <c r="E2" s="40" t="str">
        <f t="shared" ref="E2:E21" si="0">LOWER(TRIM(B2))</f>
        <v>liam@gmail.com</v>
      </c>
      <c r="F2" s="40" t="str">
        <f t="shared" ref="F2:F21" si="1">LEFT(C2,FIND(" ",C2)-1)</f>
        <v>PRD001</v>
      </c>
      <c r="G2" s="40" t="str">
        <f t="shared" ref="G2:G21" si="2">TRIM(MID(C2, FIND(" ",C2)+1, 100))</f>
        <v>RedWidget</v>
      </c>
      <c r="H2" s="43" t="str">
        <f t="shared" ref="H2:H21" si="3">MID(E2, FIND("@",E2)+1, LEN(E2))</f>
        <v>gmail.com</v>
      </c>
      <c r="I2" s="28"/>
    </row>
    <row r="3" spans="1:9" x14ac:dyDescent="0.25">
      <c r="A3" s="41" t="s">
        <v>25</v>
      </c>
      <c r="B3" s="42" t="s">
        <v>110</v>
      </c>
      <c r="C3" s="37" t="s">
        <v>137</v>
      </c>
      <c r="D3" s="37" t="str">
        <f t="shared" ref="D2:D21" si="4">PROPER(TRIM(A3))</f>
        <v>Noah</v>
      </c>
      <c r="E3" s="37" t="str">
        <f t="shared" si="0"/>
        <v>noah@gmail.com</v>
      </c>
      <c r="F3" s="37" t="str">
        <f t="shared" si="1"/>
        <v>PRD002</v>
      </c>
      <c r="G3" s="37" t="str">
        <f t="shared" si="2"/>
        <v>BlueWidget</v>
      </c>
      <c r="H3" s="44" t="str">
        <f t="shared" si="3"/>
        <v>gmail.com</v>
      </c>
      <c r="I3" s="44"/>
    </row>
    <row r="4" spans="1:9" x14ac:dyDescent="0.25">
      <c r="A4" s="38" t="s">
        <v>26</v>
      </c>
      <c r="B4" s="39" t="s">
        <v>111</v>
      </c>
      <c r="C4" s="37" t="s">
        <v>138</v>
      </c>
      <c r="D4" s="37" t="str">
        <f t="shared" si="4"/>
        <v>Oliver</v>
      </c>
      <c r="E4" s="37" t="str">
        <f t="shared" si="0"/>
        <v>oliver@gmail.com</v>
      </c>
      <c r="F4" s="37" t="str">
        <f t="shared" si="1"/>
        <v>PRD003</v>
      </c>
      <c r="G4" s="37" t="str">
        <f t="shared" si="2"/>
        <v>RedWidget</v>
      </c>
      <c r="H4" s="44" t="str">
        <f t="shared" si="3"/>
        <v>gmail.com</v>
      </c>
      <c r="I4" s="44"/>
    </row>
    <row r="5" spans="1:9" x14ac:dyDescent="0.25">
      <c r="A5" s="41" t="s">
        <v>27</v>
      </c>
      <c r="B5" s="42" t="s">
        <v>112</v>
      </c>
      <c r="C5" s="37" t="s">
        <v>139</v>
      </c>
      <c r="D5" s="37" t="str">
        <f t="shared" si="4"/>
        <v>James</v>
      </c>
      <c r="E5" s="37" t="str">
        <f t="shared" si="0"/>
        <v>james@gmail.com</v>
      </c>
      <c r="F5" s="37" t="str">
        <f t="shared" si="1"/>
        <v>PRD004</v>
      </c>
      <c r="G5" s="37" t="str">
        <f t="shared" si="2"/>
        <v>RedWidget</v>
      </c>
      <c r="H5" s="44" t="str">
        <f t="shared" si="3"/>
        <v>gmail.com</v>
      </c>
      <c r="I5" s="44"/>
    </row>
    <row r="6" spans="1:9" x14ac:dyDescent="0.25">
      <c r="A6" s="38" t="s">
        <v>28</v>
      </c>
      <c r="B6" s="39" t="s">
        <v>127</v>
      </c>
      <c r="C6" s="37" t="s">
        <v>140</v>
      </c>
      <c r="D6" s="37" t="str">
        <f t="shared" si="4"/>
        <v>Ethan</v>
      </c>
      <c r="E6" s="37" t="str">
        <f t="shared" si="0"/>
        <v>ethan@gmail.com</v>
      </c>
      <c r="F6" s="37" t="str">
        <f t="shared" si="1"/>
        <v>PRD005</v>
      </c>
      <c r="G6" s="37" t="str">
        <f t="shared" si="2"/>
        <v>BlueWidget</v>
      </c>
      <c r="H6" s="44" t="str">
        <f t="shared" si="3"/>
        <v>gmail.com</v>
      </c>
      <c r="I6" s="44"/>
    </row>
    <row r="7" spans="1:9" x14ac:dyDescent="0.25">
      <c r="A7" s="41" t="s">
        <v>29</v>
      </c>
      <c r="B7" s="42" t="s">
        <v>113</v>
      </c>
      <c r="C7" s="37" t="s">
        <v>141</v>
      </c>
      <c r="D7" s="37" t="str">
        <f t="shared" si="4"/>
        <v>Lucas</v>
      </c>
      <c r="E7" s="37" t="str">
        <f t="shared" si="0"/>
        <v>lucas@gmail.com</v>
      </c>
      <c r="F7" s="37" t="str">
        <f t="shared" si="1"/>
        <v>PRD006</v>
      </c>
      <c r="G7" s="37" t="str">
        <f t="shared" si="2"/>
        <v>RedWidget</v>
      </c>
      <c r="H7" s="44" t="str">
        <f t="shared" si="3"/>
        <v>gmail.com</v>
      </c>
      <c r="I7" s="44"/>
    </row>
    <row r="8" spans="1:9" x14ac:dyDescent="0.25">
      <c r="A8" s="38" t="s">
        <v>30</v>
      </c>
      <c r="B8" s="39" t="s">
        <v>128</v>
      </c>
      <c r="C8" s="37" t="s">
        <v>142</v>
      </c>
      <c r="D8" s="37" t="str">
        <f t="shared" si="4"/>
        <v>Mason</v>
      </c>
      <c r="E8" s="37" t="str">
        <f t="shared" si="0"/>
        <v>mason@gamil.com</v>
      </c>
      <c r="F8" s="37" t="str">
        <f t="shared" si="1"/>
        <v>PRD007</v>
      </c>
      <c r="G8" s="37" t="str">
        <f t="shared" si="2"/>
        <v>BlueWidget</v>
      </c>
      <c r="H8" s="44" t="str">
        <f t="shared" si="3"/>
        <v>gamil.com</v>
      </c>
      <c r="I8" s="44"/>
    </row>
    <row r="9" spans="1:9" x14ac:dyDescent="0.25">
      <c r="A9" s="41" t="s">
        <v>31</v>
      </c>
      <c r="B9" s="42" t="s">
        <v>114</v>
      </c>
      <c r="C9" s="37" t="s">
        <v>143</v>
      </c>
      <c r="D9" s="37" t="str">
        <f t="shared" si="4"/>
        <v>Logan</v>
      </c>
      <c r="E9" s="37" t="str">
        <f t="shared" si="0"/>
        <v>logan@gmail.com</v>
      </c>
      <c r="F9" s="37" t="str">
        <f t="shared" si="1"/>
        <v>PRD008</v>
      </c>
      <c r="G9" s="37" t="str">
        <f t="shared" si="2"/>
        <v>RedWidget</v>
      </c>
      <c r="H9" s="44" t="str">
        <f t="shared" si="3"/>
        <v>gmail.com</v>
      </c>
      <c r="I9" s="44"/>
    </row>
    <row r="10" spans="1:9" x14ac:dyDescent="0.25">
      <c r="A10" s="38" t="s">
        <v>32</v>
      </c>
      <c r="B10" s="39" t="s">
        <v>115</v>
      </c>
      <c r="C10" s="37" t="s">
        <v>144</v>
      </c>
      <c r="D10" s="37" t="str">
        <f t="shared" si="4"/>
        <v>Aiden</v>
      </c>
      <c r="E10" s="37" t="str">
        <f t="shared" si="0"/>
        <v>aiden@gmail.com</v>
      </c>
      <c r="F10" s="37" t="str">
        <f t="shared" si="1"/>
        <v>PRD009</v>
      </c>
      <c r="G10" s="37" t="str">
        <f t="shared" si="2"/>
        <v>RedWidget</v>
      </c>
      <c r="H10" s="44" t="str">
        <f t="shared" si="3"/>
        <v>gmail.com</v>
      </c>
      <c r="I10" s="44"/>
    </row>
    <row r="11" spans="1:9" x14ac:dyDescent="0.25">
      <c r="A11" s="41" t="s">
        <v>33</v>
      </c>
      <c r="B11" s="42" t="s">
        <v>116</v>
      </c>
      <c r="C11" s="37" t="s">
        <v>145</v>
      </c>
      <c r="D11" s="37" t="str">
        <f t="shared" si="4"/>
        <v>Carter</v>
      </c>
      <c r="E11" s="37" t="str">
        <f t="shared" si="0"/>
        <v>carter@gmail.com</v>
      </c>
      <c r="F11" s="37" t="str">
        <f t="shared" si="1"/>
        <v>PRD010</v>
      </c>
      <c r="G11" s="37" t="str">
        <f t="shared" si="2"/>
        <v>BlueWidget</v>
      </c>
      <c r="H11" s="44" t="str">
        <f t="shared" si="3"/>
        <v>gmail.com</v>
      </c>
      <c r="I11" s="44"/>
    </row>
    <row r="12" spans="1:9" x14ac:dyDescent="0.25">
      <c r="A12" s="38" t="s">
        <v>34</v>
      </c>
      <c r="B12" s="39" t="s">
        <v>117</v>
      </c>
      <c r="C12" s="37" t="s">
        <v>146</v>
      </c>
      <c r="D12" s="37" t="str">
        <f t="shared" si="4"/>
        <v>Jayden</v>
      </c>
      <c r="E12" s="37" t="str">
        <f t="shared" si="0"/>
        <v>jayden@gmail.com</v>
      </c>
      <c r="F12" s="37" t="str">
        <f t="shared" si="1"/>
        <v>PRD011</v>
      </c>
      <c r="G12" s="37" t="str">
        <f t="shared" si="2"/>
        <v>RedWidget</v>
      </c>
      <c r="H12" s="44" t="str">
        <f t="shared" si="3"/>
        <v>gmail.com</v>
      </c>
      <c r="I12" s="44"/>
    </row>
    <row r="13" spans="1:9" x14ac:dyDescent="0.25">
      <c r="A13" s="41" t="s">
        <v>35</v>
      </c>
      <c r="B13" s="42" t="s">
        <v>118</v>
      </c>
      <c r="C13" s="37" t="s">
        <v>147</v>
      </c>
      <c r="D13" s="37" t="str">
        <f t="shared" si="4"/>
        <v>Elijah</v>
      </c>
      <c r="E13" s="37" t="str">
        <f t="shared" si="0"/>
        <v>elijah@gmail.com</v>
      </c>
      <c r="F13" s="37" t="str">
        <f t="shared" si="1"/>
        <v>PRD012</v>
      </c>
      <c r="G13" s="37" t="str">
        <f t="shared" si="2"/>
        <v>RedWidget</v>
      </c>
      <c r="H13" s="44" t="str">
        <f t="shared" si="3"/>
        <v>gmail.com</v>
      </c>
      <c r="I13" s="44"/>
    </row>
    <row r="14" spans="1:9" x14ac:dyDescent="0.25">
      <c r="A14" s="38" t="s">
        <v>36</v>
      </c>
      <c r="B14" s="39" t="s">
        <v>129</v>
      </c>
      <c r="C14" s="37" t="s">
        <v>148</v>
      </c>
      <c r="D14" s="37" t="str">
        <f t="shared" si="4"/>
        <v>Ryan</v>
      </c>
      <c r="E14" s="37" t="str">
        <f t="shared" si="0"/>
        <v>ryan@gmail.com'</v>
      </c>
      <c r="F14" s="37" t="str">
        <f t="shared" si="1"/>
        <v>PRD013</v>
      </c>
      <c r="G14" s="37" t="str">
        <f t="shared" si="2"/>
        <v>BlueWidget</v>
      </c>
      <c r="H14" s="44" t="str">
        <f t="shared" si="3"/>
        <v>gmail.com'</v>
      </c>
      <c r="I14" s="44"/>
    </row>
    <row r="15" spans="1:9" x14ac:dyDescent="0.25">
      <c r="A15" s="41" t="s">
        <v>37</v>
      </c>
      <c r="B15" s="42" t="s">
        <v>119</v>
      </c>
      <c r="C15" s="37" t="s">
        <v>149</v>
      </c>
      <c r="D15" s="37" t="str">
        <f t="shared" si="4"/>
        <v>Nathan</v>
      </c>
      <c r="E15" s="37" t="str">
        <f t="shared" si="0"/>
        <v>nathan@gmail.com</v>
      </c>
      <c r="F15" s="37" t="str">
        <f t="shared" si="1"/>
        <v>PRD014</v>
      </c>
      <c r="G15" s="37" t="str">
        <f t="shared" si="2"/>
        <v>BlueWidget</v>
      </c>
      <c r="H15" s="44" t="str">
        <f t="shared" si="3"/>
        <v>gmail.com</v>
      </c>
      <c r="I15" s="44"/>
    </row>
    <row r="16" spans="1:9" x14ac:dyDescent="0.25">
      <c r="A16" s="38" t="s">
        <v>38</v>
      </c>
      <c r="B16" s="39" t="s">
        <v>120</v>
      </c>
      <c r="C16" s="37" t="s">
        <v>150</v>
      </c>
      <c r="D16" s="37" t="str">
        <f t="shared" si="4"/>
        <v>Dylan</v>
      </c>
      <c r="E16" s="37" t="str">
        <f t="shared" si="0"/>
        <v>dylan@gmail.com</v>
      </c>
      <c r="F16" s="37" t="str">
        <f t="shared" si="1"/>
        <v>PRD015</v>
      </c>
      <c r="G16" s="37" t="str">
        <f t="shared" si="2"/>
        <v>BlueWidget</v>
      </c>
      <c r="H16" s="44" t="str">
        <f t="shared" si="3"/>
        <v>gmail.com</v>
      </c>
      <c r="I16" s="44"/>
    </row>
    <row r="17" spans="1:9" x14ac:dyDescent="0.25">
      <c r="A17" s="41" t="s">
        <v>39</v>
      </c>
      <c r="B17" s="42" t="s">
        <v>121</v>
      </c>
      <c r="C17" s="37" t="s">
        <v>151</v>
      </c>
      <c r="D17" s="37" t="str">
        <f t="shared" si="4"/>
        <v>Emma</v>
      </c>
      <c r="E17" s="37" t="str">
        <f t="shared" si="0"/>
        <v>emma@gmail.com</v>
      </c>
      <c r="F17" s="37" t="str">
        <f t="shared" si="1"/>
        <v>PRD016</v>
      </c>
      <c r="G17" s="37" t="str">
        <f t="shared" si="2"/>
        <v>BlueWidget</v>
      </c>
      <c r="H17" s="44" t="str">
        <f t="shared" si="3"/>
        <v>gmail.com</v>
      </c>
      <c r="I17" s="44"/>
    </row>
    <row r="18" spans="1:9" x14ac:dyDescent="0.25">
      <c r="A18" s="38" t="s">
        <v>40</v>
      </c>
      <c r="B18" s="39" t="s">
        <v>122</v>
      </c>
      <c r="C18" s="37" t="s">
        <v>152</v>
      </c>
      <c r="D18" s="37" t="str">
        <f t="shared" si="4"/>
        <v>Olivia</v>
      </c>
      <c r="E18" s="37" t="str">
        <f t="shared" si="0"/>
        <v>olivia@gmail.com</v>
      </c>
      <c r="F18" s="37" t="str">
        <f t="shared" si="1"/>
        <v>PRD017</v>
      </c>
      <c r="G18" s="37" t="str">
        <f t="shared" si="2"/>
        <v>RedWidget</v>
      </c>
      <c r="H18" s="44" t="str">
        <f t="shared" si="3"/>
        <v>gmail.com</v>
      </c>
      <c r="I18" s="44"/>
    </row>
    <row r="19" spans="1:9" x14ac:dyDescent="0.25">
      <c r="A19" s="41" t="s">
        <v>41</v>
      </c>
      <c r="B19" s="42" t="s">
        <v>123</v>
      </c>
      <c r="C19" s="37" t="s">
        <v>153</v>
      </c>
      <c r="D19" s="37" t="str">
        <f t="shared" si="4"/>
        <v>Ava</v>
      </c>
      <c r="E19" s="37" t="str">
        <f t="shared" si="0"/>
        <v>ava@gmail.com</v>
      </c>
      <c r="F19" s="37" t="str">
        <f t="shared" si="1"/>
        <v>PRD018</v>
      </c>
      <c r="G19" s="37" t="str">
        <f t="shared" si="2"/>
        <v>BlueWidget</v>
      </c>
      <c r="H19" s="44" t="str">
        <f t="shared" si="3"/>
        <v>gmail.com</v>
      </c>
      <c r="I19" s="44"/>
    </row>
    <row r="20" spans="1:9" x14ac:dyDescent="0.25">
      <c r="A20" s="38" t="s">
        <v>42</v>
      </c>
      <c r="B20" s="39" t="s">
        <v>124</v>
      </c>
      <c r="C20" s="37" t="s">
        <v>154</v>
      </c>
      <c r="D20" s="37" t="str">
        <f t="shared" si="4"/>
        <v>Isabella</v>
      </c>
      <c r="E20" s="37" t="str">
        <f t="shared" si="0"/>
        <v>isabella@gmail.com</v>
      </c>
      <c r="F20" s="37" t="str">
        <f t="shared" si="1"/>
        <v>PRD019</v>
      </c>
      <c r="G20" s="37" t="str">
        <f t="shared" si="2"/>
        <v>RedWidget</v>
      </c>
      <c r="H20" s="44" t="str">
        <f t="shared" si="3"/>
        <v>gmail.com</v>
      </c>
      <c r="I20" s="44"/>
    </row>
    <row r="21" spans="1:9" x14ac:dyDescent="0.25">
      <c r="A21" s="41" t="s">
        <v>43</v>
      </c>
      <c r="B21" s="42" t="s">
        <v>125</v>
      </c>
      <c r="C21" s="37" t="s">
        <v>155</v>
      </c>
      <c r="D21" s="37" t="str">
        <f t="shared" si="4"/>
        <v>Sophia</v>
      </c>
      <c r="E21" s="37" t="str">
        <f t="shared" si="0"/>
        <v>sophia@gmail.com</v>
      </c>
      <c r="F21" s="37" t="str">
        <f t="shared" si="1"/>
        <v>PRD020</v>
      </c>
      <c r="G21" s="37" t="str">
        <f t="shared" si="2"/>
        <v>BlueWidget</v>
      </c>
      <c r="H21" s="44" t="str">
        <f t="shared" si="3"/>
        <v>gmail.com</v>
      </c>
      <c r="I21" s="44"/>
    </row>
  </sheetData>
  <phoneticPr fontId="3" type="noConversion"/>
  <hyperlinks>
    <hyperlink ref="B2" r:id="rId1" xr:uid="{9E75346F-487E-4BF5-81CC-F21C406285A7}"/>
    <hyperlink ref="B3" r:id="rId2" xr:uid="{E3138B6F-F15E-444A-A6E0-CB7DE4DC13A5}"/>
    <hyperlink ref="B5" r:id="rId3" xr:uid="{476F35E6-4DDE-455D-806C-465D3A2C8FB4}"/>
    <hyperlink ref="B6" r:id="rId4" xr:uid="{CC01B560-19AB-42C9-9997-940694C4DAEC}"/>
    <hyperlink ref="B7" r:id="rId5" xr:uid="{83FC8FB0-25A6-4B95-A95B-A94312D5A5BD}"/>
    <hyperlink ref="B8" r:id="rId6" xr:uid="{236C8D52-CE8B-4130-B473-C55A61881AC5}"/>
    <hyperlink ref="B9" r:id="rId7" xr:uid="{B1855EB8-1AFF-4AF3-AA5A-3DF350A9135B}"/>
    <hyperlink ref="B10" r:id="rId8" xr:uid="{7784E237-CCB0-41AB-97AA-6DD861A0259A}"/>
    <hyperlink ref="B11" r:id="rId9" xr:uid="{6C342988-8093-4862-A0A9-623B4DB285D6}"/>
    <hyperlink ref="B12" r:id="rId10" xr:uid="{416B9D69-B18E-4FB2-AB13-3A385F3EC3FB}"/>
    <hyperlink ref="B13" r:id="rId11" xr:uid="{34281E75-E626-45E7-86EF-B28C54AF52B7}"/>
    <hyperlink ref="B14" r:id="rId12" xr:uid="{26000F3B-BFF8-44A5-8E75-D08BD00B6B8F}"/>
    <hyperlink ref="B15" r:id="rId13" xr:uid="{A8EBDD21-1D54-473F-96B8-FC0550C006E5}"/>
    <hyperlink ref="B16" r:id="rId14" xr:uid="{8D3D76C5-1309-42D7-BFBC-487D219D0B85}"/>
    <hyperlink ref="B17" r:id="rId15" xr:uid="{C4ACB802-EBB3-4503-8C40-548D7BB179FC}"/>
    <hyperlink ref="B18" r:id="rId16" xr:uid="{75B9327A-4D19-4AE8-8D94-78CAB8FB00DE}"/>
    <hyperlink ref="B19" r:id="rId17" xr:uid="{D1E0E577-9BC4-48E2-B690-69204EC497E9}"/>
    <hyperlink ref="B20" r:id="rId18" xr:uid="{EA00DE4F-0B3A-4071-97CF-00615E3AED17}"/>
    <hyperlink ref="B21" r:id="rId19" xr:uid="{95E6E1E1-BF42-4DEE-B7F8-EBF06A7670A9}"/>
  </hyperlinks>
  <pageMargins left="0.7" right="0.7" top="0.75" bottom="0.75" header="0.3" footer="0.3"/>
  <tableParts count="1">
    <tablePart r:id="rId2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1CBF-6591-42ED-96AE-5D46AAA6A005}">
  <dimension ref="A1:R16"/>
  <sheetViews>
    <sheetView zoomScale="130" zoomScaleNormal="130" workbookViewId="0">
      <selection activeCell="L2" sqref="L2"/>
    </sheetView>
  </sheetViews>
  <sheetFormatPr defaultRowHeight="15" x14ac:dyDescent="0.25"/>
  <cols>
    <col min="1" max="1" width="11" style="25" customWidth="1"/>
    <col min="2" max="2" width="14.5703125" style="25" customWidth="1"/>
    <col min="3" max="4" width="7.42578125" style="25" customWidth="1"/>
    <col min="5" max="5" width="9.28515625" style="25" customWidth="1"/>
    <col min="6" max="6" width="6.42578125" style="25" customWidth="1"/>
    <col min="7" max="7" width="12.7109375" style="25" customWidth="1"/>
    <col min="8" max="8" width="20.85546875" style="25" customWidth="1"/>
    <col min="9" max="9" width="13.85546875" style="25" customWidth="1"/>
    <col min="10" max="10" width="23.85546875" style="25" customWidth="1"/>
    <col min="11" max="11" width="10.7109375" style="25" customWidth="1"/>
    <col min="12" max="12" width="18.7109375" style="25" customWidth="1"/>
    <col min="13" max="13" width="17.7109375" style="25" customWidth="1"/>
    <col min="14" max="15" width="5.42578125" style="25" bestFit="1" customWidth="1"/>
    <col min="16" max="16" width="4.28515625" style="25" bestFit="1" customWidth="1"/>
    <col min="17" max="18" width="5.42578125" style="25" bestFit="1" customWidth="1"/>
    <col min="19" max="16384" width="9.140625" style="25"/>
  </cols>
  <sheetData>
    <row r="1" spans="1:18" s="24" customFormat="1" x14ac:dyDescent="0.25">
      <c r="A1" s="27" t="s">
        <v>1</v>
      </c>
      <c r="B1" s="27" t="s">
        <v>183</v>
      </c>
      <c r="C1" s="27" t="s">
        <v>157</v>
      </c>
      <c r="D1" s="27" t="s">
        <v>158</v>
      </c>
      <c r="E1" s="27" t="s">
        <v>159</v>
      </c>
      <c r="F1" s="27" t="s">
        <v>160</v>
      </c>
      <c r="G1" s="27" t="s">
        <v>161</v>
      </c>
      <c r="H1" s="24" t="s">
        <v>178</v>
      </c>
      <c r="I1" s="24" t="s">
        <v>179</v>
      </c>
      <c r="J1" s="24" t="s">
        <v>180</v>
      </c>
      <c r="K1" s="24" t="s">
        <v>181</v>
      </c>
      <c r="L1" s="24" t="s">
        <v>182</v>
      </c>
      <c r="N1" s="46" t="s">
        <v>177</v>
      </c>
      <c r="O1" s="46"/>
      <c r="P1" s="46"/>
      <c r="Q1" s="46"/>
      <c r="R1" s="46"/>
    </row>
    <row r="2" spans="1:18" x14ac:dyDescent="0.25">
      <c r="A2" s="25" t="s">
        <v>162</v>
      </c>
      <c r="B2" s="38" t="s">
        <v>24</v>
      </c>
      <c r="C2" s="25">
        <v>41</v>
      </c>
      <c r="D2" s="25">
        <v>58</v>
      </c>
      <c r="E2" s="25">
        <v>93</v>
      </c>
      <c r="F2" s="8">
        <v>44</v>
      </c>
      <c r="G2" s="25">
        <v>100</v>
      </c>
      <c r="H2" s="25">
        <f>SUMPRODUCT(C2:G2,$N$2:$R$2)</f>
        <v>63.15</v>
      </c>
      <c r="I2" s="25">
        <f>SUM($N$2:$R$2)</f>
        <v>1</v>
      </c>
      <c r="J2" s="8" cm="1">
        <f t="array" ref="J2">SUMPRODUCT((D2:D16&gt;80)*(E2:E16&gt;80))</f>
        <v>1</v>
      </c>
      <c r="K2" s="47" cm="1">
        <f t="array" ref="K2">SUMPRODUCT((D2:D16&gt;80)*(E2:E16&gt;80))/COUNT(D2:D16)</f>
        <v>6.6666666666666666E-2</v>
      </c>
      <c r="L2" s="36" cm="1">
        <f t="array" ref="L2">SUMPRODUCT((H2:H16&gt;=80)*(H2:H16&lt;90))</f>
        <v>2</v>
      </c>
      <c r="M2" s="36"/>
      <c r="N2" s="45">
        <v>0.15</v>
      </c>
      <c r="O2" s="45">
        <v>0.15</v>
      </c>
      <c r="P2" s="45">
        <v>0.3</v>
      </c>
      <c r="Q2" s="45">
        <v>0.35</v>
      </c>
      <c r="R2" s="45">
        <v>0.05</v>
      </c>
    </row>
    <row r="3" spans="1:18" x14ac:dyDescent="0.25">
      <c r="A3" s="25" t="s">
        <v>163</v>
      </c>
      <c r="B3" s="41" t="s">
        <v>25</v>
      </c>
      <c r="C3" s="25">
        <v>99</v>
      </c>
      <c r="D3" s="25">
        <v>43</v>
      </c>
      <c r="E3" s="25">
        <v>53</v>
      </c>
      <c r="F3" s="8">
        <v>67</v>
      </c>
      <c r="G3" s="25">
        <v>66</v>
      </c>
      <c r="H3" s="25">
        <f t="shared" ref="H3:H16" si="0">SUMPRODUCT(C3:G3,$N$2:$R$2)</f>
        <v>63.95</v>
      </c>
      <c r="I3" s="25">
        <f t="shared" ref="I3:I16" si="1">SUM($N$2:$R$2)</f>
        <v>1</v>
      </c>
      <c r="J3" s="8" cm="1">
        <f t="array" ref="J3">SUMPRODUCT((D3:D17&gt;80)*(E3:E17&gt;80))</f>
        <v>1</v>
      </c>
      <c r="K3" s="47" cm="1">
        <f t="array" ref="K3">SUMPRODUCT((D3:D17&gt;80)*(E3:E17&gt;80))/COUNT(D3:D17)</f>
        <v>7.1428571428571425E-2</v>
      </c>
      <c r="L3" s="36" cm="1">
        <f t="array" ref="L3">SUMPRODUCT((H3:H17&gt;=80)*(H3:H17&lt;90))</f>
        <v>2</v>
      </c>
      <c r="M3" s="36"/>
    </row>
    <row r="4" spans="1:18" x14ac:dyDescent="0.25">
      <c r="A4" s="25" t="s">
        <v>164</v>
      </c>
      <c r="B4" s="38" t="s">
        <v>26</v>
      </c>
      <c r="C4" s="25">
        <v>42</v>
      </c>
      <c r="D4" s="25">
        <v>47</v>
      </c>
      <c r="E4" s="25">
        <v>66</v>
      </c>
      <c r="F4" s="8">
        <v>51</v>
      </c>
      <c r="G4" s="25">
        <v>68</v>
      </c>
      <c r="H4" s="25">
        <f t="shared" si="0"/>
        <v>54.4</v>
      </c>
      <c r="I4" s="25">
        <f t="shared" si="1"/>
        <v>1</v>
      </c>
      <c r="J4" s="8" cm="1">
        <f t="array" ref="J4">SUMPRODUCT((D4:D18&gt;80)*(E4:E18&gt;80))</f>
        <v>1</v>
      </c>
      <c r="K4" s="47" cm="1">
        <f t="array" ref="K4">SUMPRODUCT((D4:D18&gt;80)*(E4:E18&gt;80))/COUNT(D4:D18)</f>
        <v>7.6923076923076927E-2</v>
      </c>
      <c r="L4" s="36" cm="1">
        <f t="array" ref="L4">SUMPRODUCT((H4:H18&gt;=80)*(H4:H18&lt;90))</f>
        <v>2</v>
      </c>
      <c r="M4" s="36"/>
    </row>
    <row r="5" spans="1:18" x14ac:dyDescent="0.25">
      <c r="A5" s="25" t="s">
        <v>165</v>
      </c>
      <c r="B5" s="41" t="s">
        <v>27</v>
      </c>
      <c r="C5" s="25">
        <v>56</v>
      </c>
      <c r="D5" s="25">
        <v>60</v>
      </c>
      <c r="E5" s="25">
        <v>65</v>
      </c>
      <c r="F5" s="8">
        <v>85</v>
      </c>
      <c r="G5" s="25">
        <v>45</v>
      </c>
      <c r="H5" s="25">
        <f t="shared" si="0"/>
        <v>68.899999999999991</v>
      </c>
      <c r="I5" s="25">
        <f t="shared" si="1"/>
        <v>1</v>
      </c>
      <c r="J5" s="8" cm="1">
        <f t="array" ref="J5">SUMPRODUCT((D5:D19&gt;80)*(E5:E19&gt;80))</f>
        <v>1</v>
      </c>
      <c r="K5" s="47" cm="1">
        <f t="array" ref="K5">SUMPRODUCT((D5:D19&gt;80)*(E5:E19&gt;80))/COUNT(D5:D19)</f>
        <v>8.3333333333333329E-2</v>
      </c>
      <c r="L5" s="36" cm="1">
        <f t="array" ref="L5">SUMPRODUCT((H5:H19&gt;=80)*(H5:H19&lt;90))</f>
        <v>2</v>
      </c>
      <c r="M5" s="36"/>
    </row>
    <row r="6" spans="1:18" x14ac:dyDescent="0.25">
      <c r="A6" s="25" t="s">
        <v>166</v>
      </c>
      <c r="B6" s="38" t="s">
        <v>28</v>
      </c>
      <c r="C6" s="25">
        <v>47</v>
      </c>
      <c r="D6" s="25">
        <v>68</v>
      </c>
      <c r="E6" s="25">
        <v>73</v>
      </c>
      <c r="F6" s="8">
        <v>64</v>
      </c>
      <c r="G6" s="25">
        <v>100</v>
      </c>
      <c r="H6" s="25">
        <f t="shared" si="0"/>
        <v>66.55</v>
      </c>
      <c r="I6" s="25">
        <f t="shared" si="1"/>
        <v>1</v>
      </c>
      <c r="J6" s="8" cm="1">
        <f t="array" ref="J6">SUMPRODUCT((D6:D20&gt;80)*(E6:E20&gt;80))</f>
        <v>1</v>
      </c>
      <c r="K6" s="47" cm="1">
        <f t="array" ref="K6">SUMPRODUCT((D6:D20&gt;80)*(E6:E20&gt;80))/COUNT(D6:D20)</f>
        <v>9.0909090909090912E-2</v>
      </c>
      <c r="L6" s="36" cm="1">
        <f t="array" ref="L6">SUMPRODUCT((H6:H20&gt;=80)*(H6:H20&lt;90))</f>
        <v>2</v>
      </c>
      <c r="M6" s="36"/>
    </row>
    <row r="7" spans="1:18" x14ac:dyDescent="0.25">
      <c r="A7" s="25" t="s">
        <v>167</v>
      </c>
      <c r="B7" s="41" t="s">
        <v>29</v>
      </c>
      <c r="C7" s="25">
        <v>45</v>
      </c>
      <c r="D7" s="25">
        <v>46</v>
      </c>
      <c r="E7" s="25">
        <v>77</v>
      </c>
      <c r="F7" s="8">
        <v>59</v>
      </c>
      <c r="G7" s="25">
        <v>97</v>
      </c>
      <c r="H7" s="25">
        <f t="shared" si="0"/>
        <v>62.25</v>
      </c>
      <c r="I7" s="25">
        <f t="shared" si="1"/>
        <v>1</v>
      </c>
      <c r="J7" s="8" cm="1">
        <f t="array" ref="J7">SUMPRODUCT((D7:D21&gt;80)*(E7:E21&gt;80))</f>
        <v>1</v>
      </c>
      <c r="K7" s="47" cm="1">
        <f t="array" ref="K7">SUMPRODUCT((D7:D21&gt;80)*(E7:E21&gt;80))/COUNT(D7:D21)</f>
        <v>0.1</v>
      </c>
      <c r="L7" s="36" cm="1">
        <f t="array" ref="L7">SUMPRODUCT((H7:H21&gt;=80)*(H7:H21&lt;90))</f>
        <v>2</v>
      </c>
      <c r="M7" s="36"/>
    </row>
    <row r="8" spans="1:18" x14ac:dyDescent="0.25">
      <c r="A8" s="25" t="s">
        <v>168</v>
      </c>
      <c r="B8" s="38" t="s">
        <v>30</v>
      </c>
      <c r="C8" s="25">
        <v>64</v>
      </c>
      <c r="D8" s="25">
        <v>94</v>
      </c>
      <c r="E8" s="25">
        <v>75</v>
      </c>
      <c r="F8" s="8">
        <v>85</v>
      </c>
      <c r="G8" s="25">
        <v>86</v>
      </c>
      <c r="H8" s="25">
        <f t="shared" si="0"/>
        <v>80.25</v>
      </c>
      <c r="I8" s="25">
        <f t="shared" si="1"/>
        <v>1</v>
      </c>
      <c r="J8" s="8" cm="1">
        <f t="array" ref="J8">SUMPRODUCT((D8:D22&gt;80)*(E8:E22&gt;80))</f>
        <v>1</v>
      </c>
      <c r="K8" s="47" cm="1">
        <f t="array" ref="K8">SUMPRODUCT((D8:D22&gt;80)*(E8:E22&gt;80))/COUNT(D8:D22)</f>
        <v>0.1111111111111111</v>
      </c>
      <c r="L8" s="36" cm="1">
        <f t="array" ref="L8">SUMPRODUCT((H8:H22&gt;=80)*(H8:H22&lt;90))</f>
        <v>2</v>
      </c>
      <c r="M8" s="36"/>
    </row>
    <row r="9" spans="1:18" x14ac:dyDescent="0.25">
      <c r="A9" s="25" t="s">
        <v>169</v>
      </c>
      <c r="B9" s="41" t="s">
        <v>31</v>
      </c>
      <c r="C9" s="25">
        <v>100</v>
      </c>
      <c r="D9" s="25">
        <v>78</v>
      </c>
      <c r="E9" s="25">
        <v>51</v>
      </c>
      <c r="F9" s="8">
        <v>82</v>
      </c>
      <c r="G9" s="25">
        <v>72</v>
      </c>
      <c r="H9" s="25">
        <f t="shared" si="0"/>
        <v>74.3</v>
      </c>
      <c r="I9" s="25">
        <f t="shared" si="1"/>
        <v>1</v>
      </c>
      <c r="J9" s="8" cm="1">
        <f t="array" ref="J9">SUMPRODUCT((D9:D23&gt;80)*(E9:E23&gt;80))</f>
        <v>1</v>
      </c>
      <c r="K9" s="47" cm="1">
        <f t="array" ref="K9">SUMPRODUCT((D9:D23&gt;80)*(E9:E23&gt;80))/COUNT(D9:D23)</f>
        <v>0.125</v>
      </c>
      <c r="L9" s="36" cm="1">
        <f t="array" ref="L9">SUMPRODUCT((H9:H23&gt;=80)*(H9:H23&lt;90))</f>
        <v>1</v>
      </c>
      <c r="M9" s="36"/>
    </row>
    <row r="10" spans="1:18" x14ac:dyDescent="0.25">
      <c r="A10" s="25" t="s">
        <v>170</v>
      </c>
      <c r="B10" s="38" t="s">
        <v>32</v>
      </c>
      <c r="C10" s="25">
        <v>65</v>
      </c>
      <c r="D10" s="25">
        <v>51</v>
      </c>
      <c r="E10" s="25">
        <v>40</v>
      </c>
      <c r="F10" s="8">
        <v>77</v>
      </c>
      <c r="G10" s="25">
        <v>91</v>
      </c>
      <c r="H10" s="25">
        <f t="shared" si="0"/>
        <v>60.899999999999991</v>
      </c>
      <c r="I10" s="25">
        <f t="shared" si="1"/>
        <v>1</v>
      </c>
      <c r="J10" s="8" cm="1">
        <f t="array" ref="J10">SUMPRODUCT((D10:D24&gt;80)*(E10:E24&gt;80))</f>
        <v>1</v>
      </c>
      <c r="K10" s="47" cm="1">
        <f t="array" ref="K10">SUMPRODUCT((D10:D24&gt;80)*(E10:E24&gt;80))/COUNT(D10:D24)</f>
        <v>0.14285714285714285</v>
      </c>
      <c r="L10" s="36" cm="1">
        <f t="array" ref="L10">SUMPRODUCT((H10:H24&gt;=80)*(H10:H24&lt;90))</f>
        <v>1</v>
      </c>
      <c r="M10" s="36"/>
    </row>
    <row r="11" spans="1:18" x14ac:dyDescent="0.25">
      <c r="A11" s="25" t="s">
        <v>171</v>
      </c>
      <c r="B11" s="41" t="s">
        <v>33</v>
      </c>
      <c r="C11" s="25">
        <v>100</v>
      </c>
      <c r="D11" s="25">
        <v>82</v>
      </c>
      <c r="E11" s="25">
        <v>36</v>
      </c>
      <c r="F11" s="8">
        <v>40</v>
      </c>
      <c r="G11" s="25">
        <v>49</v>
      </c>
      <c r="H11" s="25">
        <f t="shared" si="0"/>
        <v>54.55</v>
      </c>
      <c r="I11" s="25">
        <f t="shared" si="1"/>
        <v>1</v>
      </c>
      <c r="J11" s="8" cm="1">
        <f t="array" ref="J11">SUMPRODUCT((D11:D25&gt;80)*(E11:E25&gt;80))</f>
        <v>1</v>
      </c>
      <c r="K11" s="47" cm="1">
        <f t="array" ref="K11">SUMPRODUCT((D11:D25&gt;80)*(E11:E25&gt;80))/COUNT(D11:D25)</f>
        <v>0.16666666666666666</v>
      </c>
      <c r="L11" s="36" cm="1">
        <f t="array" ref="L11">SUMPRODUCT((H11:H25&gt;=80)*(H11:H25&lt;90))</f>
        <v>1</v>
      </c>
      <c r="M11" s="36"/>
    </row>
    <row r="12" spans="1:18" x14ac:dyDescent="0.25">
      <c r="A12" s="25" t="s">
        <v>172</v>
      </c>
      <c r="B12" s="38" t="s">
        <v>34</v>
      </c>
      <c r="C12" s="25">
        <v>94</v>
      </c>
      <c r="D12" s="25">
        <v>96</v>
      </c>
      <c r="E12" s="25">
        <v>70</v>
      </c>
      <c r="F12" s="8">
        <v>43</v>
      </c>
      <c r="G12" s="25">
        <v>72</v>
      </c>
      <c r="H12" s="25">
        <f t="shared" si="0"/>
        <v>68.149999999999991</v>
      </c>
      <c r="I12" s="25">
        <f t="shared" si="1"/>
        <v>1</v>
      </c>
      <c r="J12" s="8" cm="1">
        <f t="array" ref="J12">SUMPRODUCT((D12:D26&gt;80)*(E12:E26&gt;80))</f>
        <v>1</v>
      </c>
      <c r="K12" s="47" cm="1">
        <f t="array" ref="K12">SUMPRODUCT((D12:D26&gt;80)*(E12:E26&gt;80))/COUNT(D12:D26)</f>
        <v>0.2</v>
      </c>
      <c r="L12" s="36" cm="1">
        <f t="array" ref="L12">SUMPRODUCT((H12:H26&gt;=80)*(H12:H26&lt;90))</f>
        <v>1</v>
      </c>
      <c r="M12" s="36"/>
    </row>
    <row r="13" spans="1:18" x14ac:dyDescent="0.25">
      <c r="A13" s="25" t="s">
        <v>173</v>
      </c>
      <c r="B13" s="41" t="s">
        <v>35</v>
      </c>
      <c r="C13" s="25">
        <v>85</v>
      </c>
      <c r="D13" s="25">
        <v>82</v>
      </c>
      <c r="E13" s="25">
        <v>48</v>
      </c>
      <c r="F13" s="8">
        <v>40</v>
      </c>
      <c r="G13" s="25">
        <v>82</v>
      </c>
      <c r="H13" s="25">
        <f t="shared" si="0"/>
        <v>57.55</v>
      </c>
      <c r="I13" s="25">
        <f t="shared" si="1"/>
        <v>1</v>
      </c>
      <c r="J13" s="8" cm="1">
        <f t="array" ref="J13">SUMPRODUCT((D13:D27&gt;80)*(E13:E27&gt;80))</f>
        <v>1</v>
      </c>
      <c r="K13" s="47" cm="1">
        <f t="array" ref="K13">SUMPRODUCT((D13:D27&gt;80)*(E13:E27&gt;80))/COUNT(D13:D27)</f>
        <v>0.25</v>
      </c>
      <c r="L13" s="36" cm="1">
        <f t="array" ref="L13">SUMPRODUCT((H13:H27&gt;=80)*(H13:H27&lt;90))</f>
        <v>1</v>
      </c>
      <c r="M13" s="36"/>
    </row>
    <row r="14" spans="1:18" x14ac:dyDescent="0.25">
      <c r="A14" s="25" t="s">
        <v>174</v>
      </c>
      <c r="B14" s="38" t="s">
        <v>36</v>
      </c>
      <c r="C14" s="25">
        <v>95</v>
      </c>
      <c r="D14" s="25">
        <v>90</v>
      </c>
      <c r="E14" s="25">
        <v>89</v>
      </c>
      <c r="F14" s="8">
        <v>70</v>
      </c>
      <c r="G14" s="25">
        <v>54</v>
      </c>
      <c r="H14" s="25">
        <f t="shared" si="0"/>
        <v>81.650000000000006</v>
      </c>
      <c r="I14" s="25">
        <f t="shared" si="1"/>
        <v>1</v>
      </c>
      <c r="J14" s="8" cm="1">
        <f t="array" ref="J14">SUMPRODUCT((D14:D28&gt;80)*(E14:E28&gt;80))</f>
        <v>1</v>
      </c>
      <c r="K14" s="47" cm="1">
        <f t="array" ref="K14">SUMPRODUCT((D14:D28&gt;80)*(E14:E28&gt;80))/COUNT(D14:D28)</f>
        <v>0.33333333333333331</v>
      </c>
      <c r="L14" s="36" cm="1">
        <f t="array" ref="L14">SUMPRODUCT((H14:H28&gt;=80)*(H14:H28&lt;90))</f>
        <v>1</v>
      </c>
      <c r="M14" s="36"/>
    </row>
    <row r="15" spans="1:18" x14ac:dyDescent="0.25">
      <c r="A15" s="25" t="s">
        <v>175</v>
      </c>
      <c r="B15" s="41" t="s">
        <v>37</v>
      </c>
      <c r="C15" s="25">
        <v>52</v>
      </c>
      <c r="D15" s="25">
        <v>81</v>
      </c>
      <c r="E15" s="25">
        <v>74</v>
      </c>
      <c r="F15" s="8">
        <v>72</v>
      </c>
      <c r="G15" s="25">
        <v>98</v>
      </c>
      <c r="H15" s="25">
        <f t="shared" si="0"/>
        <v>72.25</v>
      </c>
      <c r="I15" s="25">
        <f t="shared" si="1"/>
        <v>1</v>
      </c>
      <c r="J15" s="8" cm="1">
        <f t="array" ref="J15">SUMPRODUCT((D15:D29&gt;80)*(E15:E29&gt;80))</f>
        <v>0</v>
      </c>
      <c r="K15" s="47" cm="1">
        <f t="array" ref="K15">SUMPRODUCT((D15:D29&gt;80)*(E15:E29&gt;80))/COUNT(D15:D29)</f>
        <v>0</v>
      </c>
      <c r="L15" s="36" cm="1">
        <f t="array" ref="L15">SUMPRODUCT((H15:H29&gt;=80)*(H15:H29&lt;90))</f>
        <v>0</v>
      </c>
      <c r="M15" s="36"/>
    </row>
    <row r="16" spans="1:18" x14ac:dyDescent="0.25">
      <c r="A16" s="25" t="s">
        <v>176</v>
      </c>
      <c r="B16" s="25" t="s">
        <v>184</v>
      </c>
      <c r="C16" s="25">
        <v>52</v>
      </c>
      <c r="D16" s="25">
        <v>41</v>
      </c>
      <c r="E16" s="25">
        <v>57</v>
      </c>
      <c r="F16" s="8">
        <v>77</v>
      </c>
      <c r="G16" s="25">
        <v>68</v>
      </c>
      <c r="H16" s="25">
        <f t="shared" si="0"/>
        <v>61.4</v>
      </c>
      <c r="I16" s="25">
        <f t="shared" si="1"/>
        <v>1</v>
      </c>
      <c r="J16" s="8" cm="1">
        <f t="array" ref="J16">SUMPRODUCT((D16:D30&gt;80)*(E16:E30&gt;80))</f>
        <v>0</v>
      </c>
      <c r="K16" s="47" cm="1">
        <f t="array" ref="K16">SUMPRODUCT((D16:D30&gt;80)*(E16:E30&gt;80))/COUNT(D16:D30)</f>
        <v>0</v>
      </c>
      <c r="L16" s="36" cm="1">
        <f t="array" ref="L16">SUMPRODUCT((H16:H30&gt;=80)*(H16:H30&lt;90))</f>
        <v>0</v>
      </c>
      <c r="M16" s="36"/>
    </row>
  </sheetData>
  <mergeCells count="1">
    <mergeCell ref="N1:R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CC29-04A4-4A02-A47E-A0F2E5496274}">
  <dimension ref="A1:E5"/>
  <sheetViews>
    <sheetView tabSelected="1" zoomScale="160" zoomScaleNormal="160" workbookViewId="0">
      <selection activeCell="A5" sqref="A5"/>
    </sheetView>
  </sheetViews>
  <sheetFormatPr defaultRowHeight="15" x14ac:dyDescent="0.25"/>
  <cols>
    <col min="1" max="1" width="20" bestFit="1" customWidth="1"/>
    <col min="2" max="2" width="6.7109375" bestFit="1" customWidth="1"/>
    <col min="3" max="3" width="12.5703125" bestFit="1" customWidth="1"/>
    <col min="4" max="4" width="8.5703125" bestFit="1" customWidth="1"/>
    <col min="5" max="5" width="14.140625" bestFit="1" customWidth="1"/>
  </cols>
  <sheetData>
    <row r="1" spans="1:5" x14ac:dyDescent="0.25">
      <c r="A1" s="48" t="s">
        <v>1</v>
      </c>
      <c r="B1" s="49" t="s">
        <v>162</v>
      </c>
      <c r="C1" s="25"/>
      <c r="D1" s="25"/>
      <c r="E1" s="25"/>
    </row>
    <row r="2" spans="1:5" x14ac:dyDescent="0.25">
      <c r="A2" s="50" t="s">
        <v>2</v>
      </c>
      <c r="B2" s="51" t="str">
        <f>IF(B1="","",_xlfn.XLOOKUP($B$1,Student[StudentID],Student[Student Name],"Not Found"))</f>
        <v>Liam</v>
      </c>
      <c r="C2" s="25"/>
      <c r="D2" s="25"/>
      <c r="E2" s="25"/>
    </row>
    <row r="3" spans="1:5" x14ac:dyDescent="0.25">
      <c r="A3" s="49" t="s">
        <v>178</v>
      </c>
      <c r="B3" s="49" t="s">
        <v>160</v>
      </c>
      <c r="C3" s="49" t="s">
        <v>179</v>
      </c>
      <c r="D3" s="49" t="s">
        <v>77</v>
      </c>
      <c r="E3" s="49" t="s">
        <v>185</v>
      </c>
    </row>
    <row r="4" spans="1:5" x14ac:dyDescent="0.25">
      <c r="A4" s="52">
        <f>IF(B1="","",_xlfn.XLOOKUP($B$1,Student[StudentID],Student[Weighted Final Score],"Not Found"))</f>
        <v>63.15</v>
      </c>
      <c r="B4" s="52">
        <f>IF(B1="","",_xlfn.XLOOKUP($B$1,Student[StudentID],Student[Final],"Not Found"))</f>
        <v>44</v>
      </c>
      <c r="C4" s="52">
        <f>IF(B1="","",_xlfn.XLOOKUP($B$1,Student[StudentID],Student[Weights Sum],"Not Found"))</f>
        <v>1</v>
      </c>
      <c r="D4" s="52" t="str">
        <f>IF(B1="","",_xlfn.XLOOKUP($B$1,Student1[StudentID],Student1[Risk Flag],"Not Found"))</f>
        <v>LOW</v>
      </c>
      <c r="E4" s="52" t="str">
        <f>IF(B1="","",_xlfn.XLOOKUP($B$2,DirtyData[NAMES],DirtyData[SORTED NAME],"Not Found"))</f>
        <v>Liam</v>
      </c>
    </row>
    <row r="5" spans="1:5" x14ac:dyDescent="0.25">
      <c r="A5" s="25"/>
      <c r="B5" s="25"/>
      <c r="C5" s="25"/>
      <c r="D5" s="25"/>
      <c r="E5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628169-069A-4802-8570-2A8ED0EB5EF5}">
          <x14:formula1>
            <xm:f>SumProductLab!$A$2:$A$16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LookupLab</vt:lpstr>
      <vt:lpstr>LogicLab</vt:lpstr>
      <vt:lpstr>AggLab</vt:lpstr>
      <vt:lpstr>TextLab</vt:lpstr>
      <vt:lpstr>SumProductLab</vt:lpstr>
      <vt:lpstr>Day_2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Batch5</dc:creator>
  <cp:lastModifiedBy>Batch5</cp:lastModifiedBy>
  <dcterms:created xsi:type="dcterms:W3CDTF">2015-06-05T18:17:20Z</dcterms:created>
  <dcterms:modified xsi:type="dcterms:W3CDTF">2026-05-08T11:17:27Z</dcterms:modified>
</cp:coreProperties>
</file>