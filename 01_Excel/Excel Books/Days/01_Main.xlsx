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rish\01_Excel\Excel Books\"/>
    </mc:Choice>
  </mc:AlternateContent>
  <xr:revisionPtr revIDLastSave="0" documentId="13_ncr:1_{D6E67A98-C14C-4687-A0D2-0176833F6E85}" xr6:coauthVersionLast="47" xr6:coauthVersionMax="47" xr10:uidLastSave="{00000000-0000-0000-0000-000000000000}"/>
  <bookViews>
    <workbookView xWindow="-120" yWindow="-120" windowWidth="24240" windowHeight="13140" firstSheet="4" activeTab="8" xr2:uid="{5DB644F9-A20F-4005-8FE0-DBE96538F12E}"/>
  </bookViews>
  <sheets>
    <sheet name="Teacher's Sheet" sheetId="2" r:id="rId1"/>
    <sheet name="Result Sheet" sheetId="3" r:id="rId2"/>
    <sheet name="Salary data" sheetId="4" r:id="rId3"/>
    <sheet name="Salary sheet" sheetId="5" r:id="rId4"/>
    <sheet name="Product Sheet" sheetId="6" r:id="rId5"/>
    <sheet name="Billing + GST" sheetId="7" r:id="rId6"/>
    <sheet name="Product Discount" sheetId="8" r:id="rId7"/>
    <sheet name="Product Discount GST" sheetId="9" r:id="rId8"/>
    <sheet name="Employee In_out tim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0" l="1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F6" i="10"/>
  <c r="F7" i="10"/>
  <c r="F9" i="10"/>
  <c r="F10" i="10"/>
  <c r="F11" i="10"/>
  <c r="F12" i="10"/>
  <c r="F13" i="10"/>
  <c r="F14" i="10"/>
  <c r="F16" i="10"/>
  <c r="F17" i="10"/>
  <c r="F18" i="10"/>
  <c r="F19" i="10"/>
  <c r="F20" i="10"/>
  <c r="F21" i="10"/>
  <c r="F23" i="10"/>
  <c r="F24" i="10"/>
  <c r="F25" i="10"/>
  <c r="F26" i="10"/>
  <c r="F27" i="10"/>
  <c r="F28" i="10"/>
  <c r="F30" i="10"/>
  <c r="F31" i="10"/>
  <c r="F32" i="10"/>
  <c r="F33" i="10"/>
  <c r="F34" i="10"/>
  <c r="F35" i="10"/>
  <c r="F5" i="10"/>
  <c r="G5" i="10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5" i="9"/>
  <c r="H9" i="9"/>
  <c r="H13" i="9"/>
  <c r="H17" i="9"/>
  <c r="H21" i="9"/>
  <c r="H25" i="9"/>
  <c r="H29" i="9"/>
  <c r="H33" i="9"/>
  <c r="H37" i="9"/>
  <c r="H41" i="9"/>
  <c r="H45" i="9"/>
  <c r="H49" i="9"/>
  <c r="H53" i="9"/>
  <c r="H57" i="9"/>
  <c r="H61" i="9"/>
  <c r="H65" i="9"/>
  <c r="H69" i="9"/>
  <c r="H73" i="9"/>
  <c r="H77" i="9"/>
  <c r="H81" i="9"/>
  <c r="H85" i="9"/>
  <c r="H89" i="9"/>
  <c r="H93" i="9"/>
  <c r="H97" i="9"/>
  <c r="H101" i="9"/>
  <c r="H5" i="9"/>
  <c r="D6" i="9"/>
  <c r="H6" i="9" s="1"/>
  <c r="F5" i="7"/>
  <c r="D7" i="9"/>
  <c r="H7" i="9" s="1"/>
  <c r="D8" i="9"/>
  <c r="H8" i="9" s="1"/>
  <c r="D9" i="9"/>
  <c r="D10" i="9"/>
  <c r="H10" i="9" s="1"/>
  <c r="D11" i="9"/>
  <c r="H11" i="9" s="1"/>
  <c r="D12" i="9"/>
  <c r="H12" i="9" s="1"/>
  <c r="D13" i="9"/>
  <c r="D14" i="9"/>
  <c r="H14" i="9" s="1"/>
  <c r="D15" i="9"/>
  <c r="H15" i="9" s="1"/>
  <c r="D16" i="9"/>
  <c r="H16" i="9" s="1"/>
  <c r="D17" i="9"/>
  <c r="D18" i="9"/>
  <c r="H18" i="9" s="1"/>
  <c r="D19" i="9"/>
  <c r="H19" i="9" s="1"/>
  <c r="D20" i="9"/>
  <c r="H20" i="9" s="1"/>
  <c r="D21" i="9"/>
  <c r="D22" i="9"/>
  <c r="H22" i="9" s="1"/>
  <c r="D23" i="9"/>
  <c r="H23" i="9" s="1"/>
  <c r="D24" i="9"/>
  <c r="H24" i="9" s="1"/>
  <c r="D25" i="9"/>
  <c r="D26" i="9"/>
  <c r="H26" i="9" s="1"/>
  <c r="D27" i="9"/>
  <c r="H27" i="9" s="1"/>
  <c r="D28" i="9"/>
  <c r="H28" i="9" s="1"/>
  <c r="D29" i="9"/>
  <c r="D30" i="9"/>
  <c r="H30" i="9" s="1"/>
  <c r="D31" i="9"/>
  <c r="H31" i="9" s="1"/>
  <c r="D32" i="9"/>
  <c r="H32" i="9" s="1"/>
  <c r="D33" i="9"/>
  <c r="D34" i="9"/>
  <c r="H34" i="9" s="1"/>
  <c r="D35" i="9"/>
  <c r="H35" i="9" s="1"/>
  <c r="D36" i="9"/>
  <c r="H36" i="9" s="1"/>
  <c r="D37" i="9"/>
  <c r="D38" i="9"/>
  <c r="H38" i="9" s="1"/>
  <c r="D39" i="9"/>
  <c r="H39" i="9" s="1"/>
  <c r="D40" i="9"/>
  <c r="H40" i="9" s="1"/>
  <c r="D41" i="9"/>
  <c r="D42" i="9"/>
  <c r="H42" i="9" s="1"/>
  <c r="D43" i="9"/>
  <c r="H43" i="9" s="1"/>
  <c r="D44" i="9"/>
  <c r="H44" i="9" s="1"/>
  <c r="D45" i="9"/>
  <c r="D46" i="9"/>
  <c r="H46" i="9" s="1"/>
  <c r="D47" i="9"/>
  <c r="H47" i="9" s="1"/>
  <c r="D48" i="9"/>
  <c r="H48" i="9" s="1"/>
  <c r="D49" i="9"/>
  <c r="D50" i="9"/>
  <c r="H50" i="9" s="1"/>
  <c r="D51" i="9"/>
  <c r="H51" i="9" s="1"/>
  <c r="D52" i="9"/>
  <c r="H52" i="9" s="1"/>
  <c r="D53" i="9"/>
  <c r="D54" i="9"/>
  <c r="H54" i="9" s="1"/>
  <c r="D55" i="9"/>
  <c r="H55" i="9" s="1"/>
  <c r="D56" i="9"/>
  <c r="H56" i="9" s="1"/>
  <c r="D57" i="9"/>
  <c r="D58" i="9"/>
  <c r="H58" i="9" s="1"/>
  <c r="D59" i="9"/>
  <c r="H59" i="9" s="1"/>
  <c r="D60" i="9"/>
  <c r="H60" i="9" s="1"/>
  <c r="D61" i="9"/>
  <c r="D62" i="9"/>
  <c r="H62" i="9" s="1"/>
  <c r="D63" i="9"/>
  <c r="H63" i="9" s="1"/>
  <c r="D64" i="9"/>
  <c r="H64" i="9" s="1"/>
  <c r="D65" i="9"/>
  <c r="D66" i="9"/>
  <c r="H66" i="9" s="1"/>
  <c r="D67" i="9"/>
  <c r="H67" i="9" s="1"/>
  <c r="D68" i="9"/>
  <c r="H68" i="9" s="1"/>
  <c r="D69" i="9"/>
  <c r="D70" i="9"/>
  <c r="H70" i="9" s="1"/>
  <c r="D71" i="9"/>
  <c r="H71" i="9" s="1"/>
  <c r="D72" i="9"/>
  <c r="H72" i="9" s="1"/>
  <c r="D73" i="9"/>
  <c r="D74" i="9"/>
  <c r="H74" i="9" s="1"/>
  <c r="D75" i="9"/>
  <c r="H75" i="9" s="1"/>
  <c r="D76" i="9"/>
  <c r="H76" i="9" s="1"/>
  <c r="D77" i="9"/>
  <c r="D78" i="9"/>
  <c r="H78" i="9" s="1"/>
  <c r="D79" i="9"/>
  <c r="H79" i="9" s="1"/>
  <c r="D80" i="9"/>
  <c r="H80" i="9" s="1"/>
  <c r="D81" i="9"/>
  <c r="D82" i="9"/>
  <c r="H82" i="9" s="1"/>
  <c r="D83" i="9"/>
  <c r="H83" i="9" s="1"/>
  <c r="D84" i="9"/>
  <c r="H84" i="9" s="1"/>
  <c r="D85" i="9"/>
  <c r="D86" i="9"/>
  <c r="H86" i="9" s="1"/>
  <c r="D87" i="9"/>
  <c r="H87" i="9" s="1"/>
  <c r="D88" i="9"/>
  <c r="H88" i="9" s="1"/>
  <c r="D89" i="9"/>
  <c r="D90" i="9"/>
  <c r="H90" i="9" s="1"/>
  <c r="D91" i="9"/>
  <c r="H91" i="9" s="1"/>
  <c r="D92" i="9"/>
  <c r="H92" i="9" s="1"/>
  <c r="D93" i="9"/>
  <c r="D94" i="9"/>
  <c r="H94" i="9" s="1"/>
  <c r="D95" i="9"/>
  <c r="H95" i="9" s="1"/>
  <c r="D96" i="9"/>
  <c r="H96" i="9" s="1"/>
  <c r="D97" i="9"/>
  <c r="D98" i="9"/>
  <c r="H98" i="9" s="1"/>
  <c r="D99" i="9"/>
  <c r="H99" i="9" s="1"/>
  <c r="D100" i="9"/>
  <c r="H100" i="9" s="1"/>
  <c r="D101" i="9"/>
  <c r="D102" i="9"/>
  <c r="H102" i="9" s="1"/>
  <c r="D103" i="9"/>
  <c r="H103" i="9" s="1"/>
  <c r="D104" i="9"/>
  <c r="H104" i="9" s="1"/>
  <c r="C5" i="9"/>
  <c r="D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3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E6" i="7"/>
  <c r="E7" i="7"/>
  <c r="E8" i="7"/>
  <c r="E9" i="7"/>
  <c r="F9" i="7" s="1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F25" i="7" s="1"/>
  <c r="E26" i="7"/>
  <c r="E27" i="7"/>
  <c r="E28" i="7"/>
  <c r="E29" i="7"/>
  <c r="F29" i="7" s="1"/>
  <c r="E30" i="7"/>
  <c r="E31" i="7"/>
  <c r="E32" i="7"/>
  <c r="E33" i="7"/>
  <c r="E34" i="7"/>
  <c r="E35" i="7"/>
  <c r="E36" i="7"/>
  <c r="E37" i="7"/>
  <c r="E38" i="7"/>
  <c r="E39" i="7"/>
  <c r="E40" i="7"/>
  <c r="E41" i="7"/>
  <c r="F41" i="7" s="1"/>
  <c r="E42" i="7"/>
  <c r="E43" i="7"/>
  <c r="E44" i="7"/>
  <c r="E45" i="7"/>
  <c r="F45" i="7" s="1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F61" i="7" s="1"/>
  <c r="E62" i="7"/>
  <c r="E63" i="7"/>
  <c r="E64" i="7"/>
  <c r="E65" i="7"/>
  <c r="E66" i="7"/>
  <c r="E67" i="7"/>
  <c r="E68" i="7"/>
  <c r="E69" i="7"/>
  <c r="E70" i="7"/>
  <c r="E71" i="7"/>
  <c r="E72" i="7"/>
  <c r="E73" i="7"/>
  <c r="F73" i="7" s="1"/>
  <c r="E74" i="7"/>
  <c r="E75" i="7"/>
  <c r="E76" i="7"/>
  <c r="E77" i="7"/>
  <c r="F77" i="7" s="1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F93" i="7" s="1"/>
  <c r="E94" i="7"/>
  <c r="E95" i="7"/>
  <c r="E96" i="7"/>
  <c r="E97" i="7"/>
  <c r="E98" i="7"/>
  <c r="E99" i="7"/>
  <c r="E100" i="7"/>
  <c r="E101" i="7"/>
  <c r="E102" i="7"/>
  <c r="E103" i="7"/>
  <c r="E104" i="7"/>
  <c r="E5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I15" i="5"/>
  <c r="I16" i="5"/>
  <c r="H15" i="5"/>
  <c r="H16" i="5"/>
  <c r="G15" i="5"/>
  <c r="G16" i="5"/>
  <c r="I14" i="5"/>
  <c r="I7" i="5"/>
  <c r="H14" i="5"/>
  <c r="G14" i="5"/>
  <c r="D14" i="5"/>
  <c r="F15" i="5"/>
  <c r="F16" i="5"/>
  <c r="E15" i="5"/>
  <c r="E16" i="5"/>
  <c r="E14" i="5"/>
  <c r="F14" i="5"/>
  <c r="C14" i="5"/>
  <c r="D15" i="5"/>
  <c r="D16" i="5"/>
  <c r="C15" i="5"/>
  <c r="C16" i="5"/>
  <c r="I8" i="5"/>
  <c r="I9" i="5"/>
  <c r="H9" i="5"/>
  <c r="G9" i="5"/>
  <c r="F9" i="5"/>
  <c r="E9" i="5"/>
  <c r="D9" i="5"/>
  <c r="C9" i="5"/>
  <c r="H8" i="5"/>
  <c r="G8" i="5"/>
  <c r="F8" i="5"/>
  <c r="E8" i="5"/>
  <c r="D8" i="5"/>
  <c r="C8" i="5"/>
  <c r="H7" i="5"/>
  <c r="G7" i="5"/>
  <c r="D7" i="5"/>
  <c r="F7" i="5"/>
  <c r="C7" i="5"/>
  <c r="E7" i="5"/>
  <c r="B19" i="3"/>
  <c r="B18" i="3"/>
  <c r="B17" i="3"/>
  <c r="C10" i="3"/>
  <c r="C11" i="3"/>
  <c r="C12" i="3"/>
  <c r="C13" i="3"/>
  <c r="C14" i="3"/>
  <c r="B16" i="3"/>
  <c r="C16" i="3"/>
  <c r="C9" i="3"/>
  <c r="B6" i="3"/>
  <c r="O9" i="2"/>
  <c r="O11" i="2"/>
  <c r="O12" i="2"/>
  <c r="O13" i="2"/>
  <c r="O14" i="2"/>
  <c r="N9" i="2"/>
  <c r="N11" i="2"/>
  <c r="N12" i="2"/>
  <c r="N13" i="2"/>
  <c r="N14" i="2"/>
  <c r="F89" i="7" l="1"/>
  <c r="G89" i="7" s="1"/>
  <c r="I89" i="7" s="1"/>
  <c r="F57" i="7"/>
  <c r="G57" i="7" s="1"/>
  <c r="I57" i="7" s="1"/>
  <c r="G61" i="7"/>
  <c r="I61" i="7" s="1"/>
  <c r="F101" i="7"/>
  <c r="G101" i="7" s="1"/>
  <c r="I101" i="7" s="1"/>
  <c r="F85" i="7"/>
  <c r="G85" i="7" s="1"/>
  <c r="I85" i="7" s="1"/>
  <c r="F69" i="7"/>
  <c r="G69" i="7" s="1"/>
  <c r="I69" i="7" s="1"/>
  <c r="F53" i="7"/>
  <c r="G53" i="7" s="1"/>
  <c r="I53" i="7" s="1"/>
  <c r="F37" i="7"/>
  <c r="G37" i="7" s="1"/>
  <c r="I37" i="7" s="1"/>
  <c r="F21" i="7"/>
  <c r="G21" i="7" s="1"/>
  <c r="I21" i="7" s="1"/>
  <c r="G5" i="7"/>
  <c r="I5" i="7" s="1"/>
  <c r="G73" i="7"/>
  <c r="I73" i="7" s="1"/>
  <c r="G41" i="7"/>
  <c r="I41" i="7" s="1"/>
  <c r="G25" i="7"/>
  <c r="I25" i="7" s="1"/>
  <c r="G93" i="7"/>
  <c r="I93" i="7" s="1"/>
  <c r="G29" i="7"/>
  <c r="I29" i="7" s="1"/>
  <c r="G67" i="7"/>
  <c r="I67" i="7" s="1"/>
  <c r="F97" i="7"/>
  <c r="G97" i="7" s="1"/>
  <c r="I97" i="7" s="1"/>
  <c r="F81" i="7"/>
  <c r="G81" i="7" s="1"/>
  <c r="I81" i="7" s="1"/>
  <c r="F65" i="7"/>
  <c r="G65" i="7" s="1"/>
  <c r="I65" i="7" s="1"/>
  <c r="F49" i="7"/>
  <c r="G49" i="7" s="1"/>
  <c r="I49" i="7" s="1"/>
  <c r="F33" i="7"/>
  <c r="G33" i="7" s="1"/>
  <c r="I33" i="7" s="1"/>
  <c r="F17" i="7"/>
  <c r="G17" i="7" s="1"/>
  <c r="I17" i="7" s="1"/>
  <c r="G9" i="7"/>
  <c r="I9" i="7" s="1"/>
  <c r="G77" i="7"/>
  <c r="I77" i="7" s="1"/>
  <c r="G45" i="7"/>
  <c r="I45" i="7" s="1"/>
  <c r="F13" i="7"/>
  <c r="G13" i="7" s="1"/>
  <c r="I13" i="7" s="1"/>
  <c r="F104" i="7"/>
  <c r="G104" i="7" s="1"/>
  <c r="I104" i="7" s="1"/>
  <c r="F100" i="7"/>
  <c r="G100" i="7" s="1"/>
  <c r="I100" i="7" s="1"/>
  <c r="F96" i="7"/>
  <c r="G96" i="7" s="1"/>
  <c r="I96" i="7" s="1"/>
  <c r="F92" i="7"/>
  <c r="G92" i="7" s="1"/>
  <c r="I92" i="7" s="1"/>
  <c r="F88" i="7"/>
  <c r="G88" i="7" s="1"/>
  <c r="I88" i="7" s="1"/>
  <c r="F84" i="7"/>
  <c r="G84" i="7" s="1"/>
  <c r="I84" i="7" s="1"/>
  <c r="F80" i="7"/>
  <c r="G80" i="7" s="1"/>
  <c r="I80" i="7" s="1"/>
  <c r="F76" i="7"/>
  <c r="G76" i="7" s="1"/>
  <c r="I76" i="7" s="1"/>
  <c r="F72" i="7"/>
  <c r="G72" i="7" s="1"/>
  <c r="I72" i="7" s="1"/>
  <c r="F68" i="7"/>
  <c r="G68" i="7" s="1"/>
  <c r="I68" i="7" s="1"/>
  <c r="F64" i="7"/>
  <c r="G64" i="7" s="1"/>
  <c r="I64" i="7" s="1"/>
  <c r="F60" i="7"/>
  <c r="G60" i="7" s="1"/>
  <c r="I60" i="7" s="1"/>
  <c r="F56" i="7"/>
  <c r="G56" i="7" s="1"/>
  <c r="I56" i="7" s="1"/>
  <c r="F52" i="7"/>
  <c r="G52" i="7" s="1"/>
  <c r="I52" i="7" s="1"/>
  <c r="F48" i="7"/>
  <c r="G48" i="7" s="1"/>
  <c r="I48" i="7" s="1"/>
  <c r="F44" i="7"/>
  <c r="G44" i="7" s="1"/>
  <c r="I44" i="7" s="1"/>
  <c r="F40" i="7"/>
  <c r="G40" i="7" s="1"/>
  <c r="I40" i="7" s="1"/>
  <c r="F36" i="7"/>
  <c r="G36" i="7" s="1"/>
  <c r="I36" i="7" s="1"/>
  <c r="F32" i="7"/>
  <c r="G32" i="7" s="1"/>
  <c r="I32" i="7" s="1"/>
  <c r="F28" i="7"/>
  <c r="G28" i="7" s="1"/>
  <c r="I28" i="7" s="1"/>
  <c r="F24" i="7"/>
  <c r="G24" i="7" s="1"/>
  <c r="I24" i="7" s="1"/>
  <c r="F20" i="7"/>
  <c r="G20" i="7" s="1"/>
  <c r="I20" i="7" s="1"/>
  <c r="F16" i="7"/>
  <c r="G16" i="7" s="1"/>
  <c r="I16" i="7" s="1"/>
  <c r="F12" i="7"/>
  <c r="G12" i="7" s="1"/>
  <c r="I12" i="7" s="1"/>
  <c r="F8" i="7"/>
  <c r="G8" i="7" s="1"/>
  <c r="I8" i="7" s="1"/>
  <c r="F103" i="7"/>
  <c r="G103" i="7" s="1"/>
  <c r="I103" i="7" s="1"/>
  <c r="F99" i="7"/>
  <c r="G99" i="7" s="1"/>
  <c r="I99" i="7" s="1"/>
  <c r="F95" i="7"/>
  <c r="G95" i="7" s="1"/>
  <c r="I95" i="7" s="1"/>
  <c r="F91" i="7"/>
  <c r="G91" i="7" s="1"/>
  <c r="I91" i="7" s="1"/>
  <c r="F87" i="7"/>
  <c r="G87" i="7" s="1"/>
  <c r="I87" i="7" s="1"/>
  <c r="F83" i="7"/>
  <c r="G83" i="7" s="1"/>
  <c r="I83" i="7" s="1"/>
  <c r="F79" i="7"/>
  <c r="G79" i="7" s="1"/>
  <c r="I79" i="7" s="1"/>
  <c r="F75" i="7"/>
  <c r="G75" i="7" s="1"/>
  <c r="I75" i="7" s="1"/>
  <c r="F71" i="7"/>
  <c r="G71" i="7" s="1"/>
  <c r="I71" i="7" s="1"/>
  <c r="F67" i="7"/>
  <c r="F63" i="7"/>
  <c r="G63" i="7" s="1"/>
  <c r="I63" i="7" s="1"/>
  <c r="F59" i="7"/>
  <c r="G59" i="7" s="1"/>
  <c r="I59" i="7" s="1"/>
  <c r="F55" i="7"/>
  <c r="G55" i="7" s="1"/>
  <c r="I55" i="7" s="1"/>
  <c r="F51" i="7"/>
  <c r="G51" i="7" s="1"/>
  <c r="I51" i="7" s="1"/>
  <c r="F47" i="7"/>
  <c r="G47" i="7" s="1"/>
  <c r="I47" i="7" s="1"/>
  <c r="F43" i="7"/>
  <c r="G43" i="7" s="1"/>
  <c r="I43" i="7" s="1"/>
  <c r="F39" i="7"/>
  <c r="G39" i="7" s="1"/>
  <c r="I39" i="7" s="1"/>
  <c r="F35" i="7"/>
  <c r="G35" i="7" s="1"/>
  <c r="I35" i="7" s="1"/>
  <c r="F31" i="7"/>
  <c r="G31" i="7" s="1"/>
  <c r="I31" i="7" s="1"/>
  <c r="F27" i="7"/>
  <c r="G27" i="7" s="1"/>
  <c r="I27" i="7" s="1"/>
  <c r="F23" i="7"/>
  <c r="G23" i="7" s="1"/>
  <c r="I23" i="7" s="1"/>
  <c r="F19" i="7"/>
  <c r="G19" i="7" s="1"/>
  <c r="I19" i="7" s="1"/>
  <c r="F15" i="7"/>
  <c r="G15" i="7" s="1"/>
  <c r="I15" i="7" s="1"/>
  <c r="F11" i="7"/>
  <c r="G11" i="7" s="1"/>
  <c r="I11" i="7" s="1"/>
  <c r="F7" i="7"/>
  <c r="G7" i="7" s="1"/>
  <c r="I7" i="7" s="1"/>
  <c r="F102" i="7"/>
  <c r="G102" i="7" s="1"/>
  <c r="I102" i="7" s="1"/>
  <c r="F98" i="7"/>
  <c r="G98" i="7" s="1"/>
  <c r="I98" i="7" s="1"/>
  <c r="F94" i="7"/>
  <c r="G94" i="7" s="1"/>
  <c r="I94" i="7" s="1"/>
  <c r="F90" i="7"/>
  <c r="G90" i="7" s="1"/>
  <c r="I90" i="7" s="1"/>
  <c r="F86" i="7"/>
  <c r="G86" i="7" s="1"/>
  <c r="I86" i="7" s="1"/>
  <c r="F82" i="7"/>
  <c r="G82" i="7" s="1"/>
  <c r="I82" i="7" s="1"/>
  <c r="F78" i="7"/>
  <c r="G78" i="7" s="1"/>
  <c r="I78" i="7" s="1"/>
  <c r="F74" i="7"/>
  <c r="G74" i="7" s="1"/>
  <c r="I74" i="7" s="1"/>
  <c r="F70" i="7"/>
  <c r="G70" i="7" s="1"/>
  <c r="I70" i="7" s="1"/>
  <c r="F66" i="7"/>
  <c r="G66" i="7" s="1"/>
  <c r="I66" i="7" s="1"/>
  <c r="F62" i="7"/>
  <c r="G62" i="7" s="1"/>
  <c r="I62" i="7" s="1"/>
  <c r="F58" i="7"/>
  <c r="G58" i="7" s="1"/>
  <c r="I58" i="7" s="1"/>
  <c r="F54" i="7"/>
  <c r="G54" i="7" s="1"/>
  <c r="I54" i="7" s="1"/>
  <c r="F50" i="7"/>
  <c r="G50" i="7" s="1"/>
  <c r="I50" i="7" s="1"/>
  <c r="F46" i="7"/>
  <c r="G46" i="7" s="1"/>
  <c r="I46" i="7" s="1"/>
  <c r="F42" i="7"/>
  <c r="G42" i="7" s="1"/>
  <c r="I42" i="7" s="1"/>
  <c r="F38" i="7"/>
  <c r="G38" i="7" s="1"/>
  <c r="I38" i="7" s="1"/>
  <c r="F34" i="7"/>
  <c r="G34" i="7" s="1"/>
  <c r="I34" i="7" s="1"/>
  <c r="F30" i="7"/>
  <c r="G30" i="7" s="1"/>
  <c r="I30" i="7" s="1"/>
  <c r="F26" i="7"/>
  <c r="G26" i="7" s="1"/>
  <c r="I26" i="7" s="1"/>
  <c r="F22" i="7"/>
  <c r="G22" i="7" s="1"/>
  <c r="I22" i="7" s="1"/>
  <c r="F18" i="7"/>
  <c r="G18" i="7" s="1"/>
  <c r="I18" i="7" s="1"/>
  <c r="F14" i="7"/>
  <c r="G14" i="7" s="1"/>
  <c r="I14" i="7" s="1"/>
  <c r="F10" i="7"/>
  <c r="G10" i="7" s="1"/>
  <c r="I10" i="7" s="1"/>
  <c r="F6" i="7"/>
  <c r="G6" i="7" s="1"/>
  <c r="I6" i="7" s="1"/>
  <c r="J8" i="2"/>
  <c r="J12" i="2"/>
  <c r="M9" i="2"/>
  <c r="M13" i="2"/>
  <c r="J14" i="2"/>
  <c r="J10" i="2"/>
  <c r="M14" i="2"/>
  <c r="L15" i="2"/>
  <c r="L13" i="2"/>
  <c r="L11" i="2"/>
  <c r="L9" i="2"/>
  <c r="L7" i="2"/>
  <c r="M12" i="2"/>
  <c r="M8" i="2"/>
  <c r="M10" i="2"/>
  <c r="M15" i="2"/>
  <c r="M11" i="2"/>
  <c r="M7" i="2"/>
  <c r="L10" i="2"/>
  <c r="K13" i="2"/>
  <c r="K9" i="2"/>
  <c r="L12" i="2"/>
  <c r="L8" i="2"/>
  <c r="L14" i="2"/>
  <c r="K14" i="2"/>
  <c r="K10" i="2"/>
  <c r="J15" i="2"/>
  <c r="J13" i="2"/>
  <c r="J11" i="2"/>
  <c r="J9" i="2"/>
  <c r="J7" i="2"/>
  <c r="K12" i="2"/>
  <c r="K8" i="2"/>
  <c r="K15" i="2"/>
  <c r="K11" i="2"/>
  <c r="K7" i="2"/>
  <c r="K6" i="2"/>
  <c r="L6" i="2"/>
  <c r="M6" i="2"/>
  <c r="J6" i="2"/>
  <c r="O10" i="2" l="1"/>
  <c r="N10" i="2"/>
  <c r="N15" i="2"/>
  <c r="O15" i="2"/>
  <c r="O8" i="2"/>
  <c r="N8" i="2"/>
  <c r="O7" i="2"/>
  <c r="N7" i="2"/>
  <c r="O6" i="2"/>
  <c r="N6" i="2"/>
</calcChain>
</file>

<file path=xl/sharedStrings.xml><?xml version="1.0" encoding="utf-8"?>
<sst xmlns="http://schemas.openxmlformats.org/spreadsheetml/2006/main" count="660" uniqueCount="300">
  <si>
    <t>Roll NO.</t>
  </si>
  <si>
    <t>Name</t>
  </si>
  <si>
    <t>Physics</t>
  </si>
  <si>
    <t>Chemistry</t>
  </si>
  <si>
    <t>Maths</t>
  </si>
  <si>
    <t>Biology</t>
  </si>
  <si>
    <t>English</t>
  </si>
  <si>
    <t>Computer</t>
  </si>
  <si>
    <t>Min</t>
  </si>
  <si>
    <t>Max</t>
  </si>
  <si>
    <t>Total</t>
  </si>
  <si>
    <t>Average</t>
  </si>
  <si>
    <t>Grade</t>
  </si>
  <si>
    <t>Result</t>
  </si>
  <si>
    <t>Krish</t>
  </si>
  <si>
    <t>Deven</t>
  </si>
  <si>
    <t>Shivam</t>
  </si>
  <si>
    <t>Dhirendra</t>
  </si>
  <si>
    <t>Sahil</t>
  </si>
  <si>
    <t>Kartik</t>
  </si>
  <si>
    <t>Satyam</t>
  </si>
  <si>
    <t>Amar</t>
  </si>
  <si>
    <t>Atharv</t>
  </si>
  <si>
    <t>Jay</t>
  </si>
  <si>
    <t>HSC01</t>
  </si>
  <si>
    <t>HSC02</t>
  </si>
  <si>
    <t>HSC03</t>
  </si>
  <si>
    <t>HSC04</t>
  </si>
  <si>
    <t>HSC05</t>
  </si>
  <si>
    <t>HSC06</t>
  </si>
  <si>
    <t>HSC07</t>
  </si>
  <si>
    <t>HSC08</t>
  </si>
  <si>
    <t>HSC09</t>
  </si>
  <si>
    <t>HSC10</t>
  </si>
  <si>
    <t>Teacher's Result Sheet for HSC Exam 2025-26</t>
  </si>
  <si>
    <t>Result Sheet</t>
  </si>
  <si>
    <t>Roll No</t>
  </si>
  <si>
    <t>Student Name</t>
  </si>
  <si>
    <t xml:space="preserve">Subject </t>
  </si>
  <si>
    <t>Obtain marks</t>
  </si>
  <si>
    <t>Total marks</t>
  </si>
  <si>
    <t>Total Marks</t>
  </si>
  <si>
    <t>Word file</t>
  </si>
  <si>
    <t>Link</t>
  </si>
  <si>
    <t>Code</t>
  </si>
  <si>
    <t>Business Head</t>
  </si>
  <si>
    <t>Data Scientist</t>
  </si>
  <si>
    <t>Data Analyst</t>
  </si>
  <si>
    <t>AI Enginner</t>
  </si>
  <si>
    <t>Python Developer</t>
  </si>
  <si>
    <t>Marketing Manager</t>
  </si>
  <si>
    <t>General Manager</t>
  </si>
  <si>
    <t>Security Guard</t>
  </si>
  <si>
    <t>Accountant</t>
  </si>
  <si>
    <t>BH</t>
  </si>
  <si>
    <t>DS</t>
  </si>
  <si>
    <t>DA</t>
  </si>
  <si>
    <t>PD</t>
  </si>
  <si>
    <t>MM</t>
  </si>
  <si>
    <t>GM</t>
  </si>
  <si>
    <t>SG</t>
  </si>
  <si>
    <t>AE</t>
  </si>
  <si>
    <t>AC</t>
  </si>
  <si>
    <t>Basic Salary</t>
  </si>
  <si>
    <t>TA</t>
  </si>
  <si>
    <t>HRA</t>
  </si>
  <si>
    <t>PF</t>
  </si>
  <si>
    <t>PT</t>
  </si>
  <si>
    <t>Employee name</t>
  </si>
  <si>
    <t xml:space="preserve">PF </t>
  </si>
  <si>
    <t>Job Title</t>
  </si>
  <si>
    <t>Gross</t>
  </si>
  <si>
    <t>Dhiren</t>
  </si>
  <si>
    <t>Shubham</t>
  </si>
  <si>
    <t>Employee Name</t>
  </si>
  <si>
    <t>Product No.</t>
  </si>
  <si>
    <t>Price</t>
  </si>
  <si>
    <t>GST</t>
  </si>
  <si>
    <t>Product Name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</si>
  <si>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</si>
  <si>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</si>
  <si>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</si>
  <si>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</si>
  <si>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</si>
  <si>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</si>
  <si>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</si>
  <si>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</si>
  <si>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</si>
  <si>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</si>
  <si>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</si>
  <si>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</si>
  <si>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</si>
  <si>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</si>
  <si>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</si>
  <si>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</si>
  <si>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</si>
  <si>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</si>
  <si>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</si>
  <si>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</si>
  <si>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</si>
  <si>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</si>
  <si>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</si>
  <si>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</si>
  <si>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</si>
  <si>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</si>
  <si>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</si>
  <si>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</si>
  <si>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</si>
  <si>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</si>
  <si>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</si>
  <si>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</si>
  <si>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</si>
  <si>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</si>
  <si>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</si>
  <si>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</si>
  <si>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</si>
  <si>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</si>
  <si>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</si>
  <si>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</si>
  <si>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</si>
  <si>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</si>
  <si>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</si>
  <si>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</si>
  <si>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</si>
  <si>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</si>
  <si>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</si>
  <si>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</si>
  <si>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</si>
  <si>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</si>
  <si>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</si>
  <si>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</si>
  <si>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</si>
  <si>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</si>
  <si>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</si>
  <si>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</si>
  <si>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</si>
  <si>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</si>
  <si>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</si>
  <si>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</si>
  <si>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</si>
  <si>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</si>
  <si>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</si>
  <si>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</si>
  <si>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</si>
  <si>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</si>
  <si>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</si>
  <si>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</si>
  <si>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</si>
  <si>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</si>
  <si>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</si>
  <si>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</si>
  <si>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</si>
  <si>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</si>
  <si>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</si>
  <si>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</si>
  <si>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</si>
  <si>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</si>
  <si>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</si>
  <si>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</si>
  <si>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</si>
  <si>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</si>
  <si>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</si>
  <si>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</si>
  <si>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</si>
  <si>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</si>
  <si>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</si>
  <si>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</si>
  <si>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</si>
  <si>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</si>
  <si>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</si>
  <si>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</si>
  <si>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</si>
  <si>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</si>
  <si>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</si>
  <si>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</si>
  <si>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</si>
  <si>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</si>
  <si>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</si>
  <si>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</si>
  <si>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MousePad</t>
  </si>
  <si>
    <t>Logitech Mouse</t>
  </si>
  <si>
    <t>Logitech Keyboard</t>
  </si>
  <si>
    <t>Samsung S24 Ultra</t>
  </si>
  <si>
    <t>Samsung SSD 1TB</t>
  </si>
  <si>
    <t>Acer Monitor</t>
  </si>
  <si>
    <t>Samsung Monitor</t>
  </si>
  <si>
    <t>DDR5 Ram 16 GB</t>
  </si>
  <si>
    <t>MotherBoard</t>
  </si>
  <si>
    <t>MSI Laptop</t>
  </si>
  <si>
    <t>Macbook</t>
  </si>
  <si>
    <t>IMAC</t>
  </si>
  <si>
    <t>Iphone 14 Pro</t>
  </si>
  <si>
    <t>Airpods</t>
  </si>
  <si>
    <t>Samsung Earbuds</t>
  </si>
  <si>
    <t>Billing + GST</t>
  </si>
  <si>
    <t>Magsafe Powerbank</t>
  </si>
  <si>
    <t>Ant-E Sports Cabinet</t>
  </si>
  <si>
    <t>250W Power Supply</t>
  </si>
  <si>
    <t>Portronics Wireless Mouse</t>
  </si>
  <si>
    <t>Laptop Stand</t>
  </si>
  <si>
    <t>Wireless GamePad</t>
  </si>
  <si>
    <t>Wired GamePad</t>
  </si>
  <si>
    <t>ACER 4K Monitor 244 Hz</t>
  </si>
  <si>
    <t>Laptop Bag</t>
  </si>
  <si>
    <t>RTX 3050Ti Graphic Card</t>
  </si>
  <si>
    <t>RTX 4050 Ti Graphic Card</t>
  </si>
  <si>
    <t>MineCraft Java Edition</t>
  </si>
  <si>
    <t>MineCraft Bedrock Edition</t>
  </si>
  <si>
    <t>Microsoft Office 365</t>
  </si>
  <si>
    <t>Normal Calculator</t>
  </si>
  <si>
    <t>Scientific Calculator</t>
  </si>
  <si>
    <t>Windows11 Key</t>
  </si>
  <si>
    <t>Boat Earbuds</t>
  </si>
  <si>
    <t>Boat Soundbar</t>
  </si>
  <si>
    <t>Samsung 8K OLED TV</t>
  </si>
  <si>
    <t>Ant-E Sports Gaming Wheel</t>
  </si>
  <si>
    <t>Forza Horizon 5</t>
  </si>
  <si>
    <t>Sr. No</t>
  </si>
  <si>
    <t>Net Price</t>
  </si>
  <si>
    <t>Quantity</t>
  </si>
  <si>
    <t>Amount</t>
  </si>
  <si>
    <t>Jainex Switch</t>
  </si>
  <si>
    <t>Computer Table (Normal)</t>
  </si>
  <si>
    <t>Computer Table (Adjustable)</t>
  </si>
  <si>
    <t>Ipad Mini</t>
  </si>
  <si>
    <t>Macbook Pro M4</t>
  </si>
  <si>
    <t>Macbook Pro M5</t>
  </si>
  <si>
    <t>DDR4 RAM 16GB</t>
  </si>
  <si>
    <t>Ipad Pro</t>
  </si>
  <si>
    <t>HP Printer</t>
  </si>
  <si>
    <t>LED Bulb</t>
  </si>
  <si>
    <t>LED Multicolour Light</t>
  </si>
  <si>
    <t>Gold Foil</t>
  </si>
  <si>
    <t>Apple Watch</t>
  </si>
  <si>
    <t>Samsung Smart Watch</t>
  </si>
  <si>
    <t>Noise Smart Watch</t>
  </si>
  <si>
    <t>Normal Chair</t>
  </si>
  <si>
    <t>Gaming Chair</t>
  </si>
  <si>
    <t>Laptop Charger</t>
  </si>
  <si>
    <t>Phone Charger</t>
  </si>
  <si>
    <t>Power Cable</t>
  </si>
  <si>
    <t>RDR2</t>
  </si>
  <si>
    <t>Type-c Cable</t>
  </si>
  <si>
    <t>Micro-usb Cable</t>
  </si>
  <si>
    <t>Thunderbolt Cable</t>
  </si>
  <si>
    <t>Premium Switches</t>
  </si>
  <si>
    <t>RGB Cabinet</t>
  </si>
  <si>
    <t>Normal Cabinet</t>
  </si>
  <si>
    <t>Wired Powerbank 10,000 mAh</t>
  </si>
  <si>
    <t>HP Victus</t>
  </si>
  <si>
    <t>Lenovo CPU</t>
  </si>
  <si>
    <t>Lenovo YOGA Lapotop</t>
  </si>
  <si>
    <t>Lenovo Legion</t>
  </si>
  <si>
    <t>Nintendo Switch</t>
  </si>
  <si>
    <t>PlayStation 5</t>
  </si>
  <si>
    <t>PlayStation 4</t>
  </si>
  <si>
    <t>XBOX Series2</t>
  </si>
  <si>
    <t>Plushes</t>
  </si>
  <si>
    <t>Mini Cars</t>
  </si>
  <si>
    <t>RC Cars</t>
  </si>
  <si>
    <t>Foot Rest</t>
  </si>
  <si>
    <t>Logitech Gaming Wheel</t>
  </si>
  <si>
    <t>Thermal Paste</t>
  </si>
  <si>
    <t>AMD Ryzen Processors</t>
  </si>
  <si>
    <t>Intel Processors</t>
  </si>
  <si>
    <t>NVIDIA Graphic Card</t>
  </si>
  <si>
    <t>Nike Shoes</t>
  </si>
  <si>
    <t>VolleyBall</t>
  </si>
  <si>
    <t>FootBall</t>
  </si>
  <si>
    <t>Cricket Bat</t>
  </si>
  <si>
    <t>Stumps</t>
  </si>
  <si>
    <t>Tennis Ball</t>
  </si>
  <si>
    <t>Badminton</t>
  </si>
  <si>
    <t>VolleyBall Net</t>
  </si>
  <si>
    <t>Table Tennis</t>
  </si>
  <si>
    <t>Pool Table</t>
  </si>
  <si>
    <t>Realme Narzo Phone</t>
  </si>
  <si>
    <t>Oppo Reno Series Phone</t>
  </si>
  <si>
    <t>4K High Res Monitor</t>
  </si>
  <si>
    <t>Curved 4K Monitor With OLED Panel</t>
  </si>
  <si>
    <t>Gaming Cabinet</t>
  </si>
  <si>
    <t>RGB Wireless Mouse</t>
  </si>
  <si>
    <t>RBG Full Size MousePad</t>
  </si>
  <si>
    <t>Windows11 Pro Key</t>
  </si>
  <si>
    <t>ProductNo.</t>
  </si>
  <si>
    <t>MRP</t>
  </si>
  <si>
    <t>Discount</t>
  </si>
  <si>
    <t>Net price</t>
  </si>
  <si>
    <t>Net Amount</t>
  </si>
  <si>
    <t>Month</t>
  </si>
  <si>
    <t>Salary</t>
  </si>
  <si>
    <t>Date</t>
  </si>
  <si>
    <t xml:space="preserve">Day </t>
  </si>
  <si>
    <t>Intime</t>
  </si>
  <si>
    <t>Outtime</t>
  </si>
  <si>
    <t>Working Hour</t>
  </si>
  <si>
    <t>Late Mark</t>
  </si>
  <si>
    <t>January</t>
  </si>
  <si>
    <t>Employee Attendence Sheet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</si>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</sst>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0" xfId="2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NumberFormat="1"/>
    <xf numFmtId="14" fontId="0" fillId="0" borderId="2" xfId="0" applyNumberFormat="1" applyBorder="1"/>
    <xf numFmtId="164" fontId="0" fillId="0" borderId="2" xfId="0" applyNumberFormat="1" applyBorder="1"/>
    <xf numFmtId="21" fontId="0" fillId="0" borderId="2" xfId="0" applyNumberFormat="1" applyBorder="1"/>
    <xf numFmtId="0" fontId="0" fillId="0" borderId="2" xfId="0" applyNumberFormat="1" applyBorder="1"/>
    <xf numFmtId="9" fontId="0" fillId="0" borderId="2" xfId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/>
    </xf>
    <xf numFmtId="43" fontId="0" fillId="0" borderId="2" xfId="3" applyFont="1" applyBorder="1"/>
    <xf numFmtId="43" fontId="0" fillId="0" borderId="2" xfId="3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8" xfId="0" applyBorder="1" applyAlignment="1"/>
    <xf numFmtId="0" fontId="0" fillId="0" borderId="0" xfId="0" applyBorder="1" applyAlignment="1"/>
    <xf numFmtId="0" fontId="6" fillId="0" borderId="2" xfId="0" applyFont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'Result Sheet'!$B$9:$C$9</c:f>
              <c:numCache>
                <c:formatCode>General</c:formatCode>
                <c:ptCount val="2"/>
                <c:pt idx="0">
                  <c:v>100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D-47C7-A731-B68BD333D394}"/>
            </c:ext>
          </c:extLst>
        </c:ser>
        <c:ser>
          <c:idx val="1"/>
          <c:order val="1"/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'Result Sheet'!$B$10:$C$10</c:f>
              <c:numCache>
                <c:formatCode>General</c:formatCode>
                <c:ptCount val="2"/>
                <c:pt idx="0">
                  <c:v>100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D-47C7-A731-B68BD333D394}"/>
            </c:ext>
          </c:extLst>
        </c:ser>
        <c:ser>
          <c:idx val="2"/>
          <c:order val="2"/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'Result Sheet'!$B$11:$C$11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D-47C7-A731-B68BD333D394}"/>
            </c:ext>
          </c:extLst>
        </c:ser>
        <c:ser>
          <c:idx val="3"/>
          <c:order val="3"/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'Result Sheet'!$B$12:$C$12</c:f>
              <c:numCache>
                <c:formatCode>General</c:formatCode>
                <c:ptCount val="2"/>
                <c:pt idx="0">
                  <c:v>100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CD-47C7-A731-B68BD333D394}"/>
            </c:ext>
          </c:extLst>
        </c:ser>
        <c:ser>
          <c:idx val="4"/>
          <c:order val="4"/>
          <c:spPr>
            <a:solidFill>
              <a:schemeClr val="accent4">
                <a:lumMod val="60000"/>
                <a:alpha val="88000"/>
              </a:schemeClr>
            </a:solidFill>
            <a:ln>
              <a:solidFill>
                <a:schemeClr val="accent4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'Result Sheet'!$B$13:$C$13</c:f>
              <c:numCache>
                <c:formatCode>General</c:formatCode>
                <c:ptCount val="2"/>
                <c:pt idx="0">
                  <c:v>100</c:v>
                </c:pt>
                <c:pt idx="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CD-47C7-A731-B68BD333D394}"/>
            </c:ext>
          </c:extLst>
        </c:ser>
        <c:ser>
          <c:idx val="5"/>
          <c:order val="5"/>
          <c:spPr>
            <a:solidFill>
              <a:schemeClr val="accent6">
                <a:lumMod val="60000"/>
                <a:alpha val="88000"/>
              </a:schemeClr>
            </a:solidFill>
            <a:ln>
              <a:solidFill>
                <a:schemeClr val="accent6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lumMod val="6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'Result Sheet'!$B$14:$C$14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CD-47C7-A731-B68BD333D3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35150527"/>
        <c:axId val="835149087"/>
        <c:axId val="0"/>
      </c:bar3DChart>
      <c:catAx>
        <c:axId val="8351505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49087"/>
        <c:crosses val="autoZero"/>
        <c:auto val="1"/>
        <c:lblAlgn val="ctr"/>
        <c:lblOffset val="100"/>
        <c:noMultiLvlLbl val="0"/>
      </c:catAx>
      <c:valAx>
        <c:axId val="835149087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8351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18317</xdr:colOff>
      <xdr:row>2</xdr:row>
      <xdr:rowOff>79129</xdr:rowOff>
    </xdr:from>
    <xdr:to>
      <xdr:col>13</xdr:col>
      <xdr:colOff>333374</xdr:colOff>
      <xdr:row>16</xdr:row>
      <xdr:rowOff>155329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2B401C-CDAE-DC68-5C16-827CD8675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607355</xdr:colOff>
      <xdr:row>8</xdr:row>
      <xdr:rowOff>66051</xdr:rowOff>
    </xdr:from>
    <xdr:ext cx="184731" cy="937629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9898F04-8D8E-6DB1-5BEF-04C126BA9910}"/>
            </a:ext>
          </a:extLst>
        </xdr:cNvPr>
        <xdr:cNvSpPr/>
      </xdr:nvSpPr>
      <xdr:spPr>
        <a:xfrm>
          <a:off x="5553028" y="1590051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0</xdr:rowOff>
        </xdr:from>
        <xdr:to>
          <xdr:col>5</xdr:col>
          <xdr:colOff>419100</xdr:colOff>
          <xdr:row>46</xdr:row>
          <xdr:rowOff>142875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7</xdr:col>
      <xdr:colOff>242521</xdr:colOff>
      <xdr:row>8</xdr:row>
      <xdr:rowOff>77665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7F04903-042E-8121-8501-60044D48271F}"/>
            </a:ext>
          </a:extLst>
        </xdr:cNvPr>
        <xdr:cNvSpPr txBox="1"/>
      </xdr:nvSpPr>
      <xdr:spPr>
        <a:xfrm>
          <a:off x="5188194" y="16016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 kern="1200"/>
        </a:p>
      </xdr:txBody>
    </xdr:sp>
    <xdr:clientData/>
  </xdr:oneCellAnchor>
  <xdr:oneCellAnchor>
    <xdr:from>
      <xdr:col>7</xdr:col>
      <xdr:colOff>242521</xdr:colOff>
      <xdr:row>8</xdr:row>
      <xdr:rowOff>77665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CD7ADA-64DA-0984-4E3D-66044B945037}"/>
            </a:ext>
          </a:extLst>
        </xdr:cNvPr>
        <xdr:cNvSpPr txBox="1"/>
      </xdr:nvSpPr>
      <xdr:spPr>
        <a:xfrm>
          <a:off x="5188194" y="16016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New%20Microsoft%20Word%20Document.docx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.doc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58B2-22D2-46FD-BA40-A7BF4470B0CD}">
  <dimension ref="B2:O17"/>
  <sheetViews>
    <sheetView zoomScale="160" zoomScaleNormal="160" workbookViewId="0">
      <pane ySplit="5" topLeftCell="A6" activePane="bottomLeft" state="frozen"/>
      <selection pane="bottomLeft" activeCell="A6" sqref="A6:XFD6"/>
    </sheetView>
  </sheetViews>
  <sheetFormatPr defaultRowHeight="15" x14ac:dyDescent="0.25"/>
  <cols>
    <col min="2" max="2" width="8.28515625" bestFit="1" customWidth="1"/>
    <col min="3" max="3" width="9.85546875" bestFit="1" customWidth="1"/>
    <col min="4" max="4" width="7.42578125" bestFit="1" customWidth="1"/>
    <col min="5" max="5" width="10" bestFit="1" customWidth="1"/>
    <col min="6" max="6" width="6.42578125" bestFit="1" customWidth="1"/>
    <col min="7" max="7" width="7.5703125" bestFit="1" customWidth="1"/>
    <col min="8" max="8" width="7.28515625" bestFit="1" customWidth="1"/>
    <col min="9" max="9" width="9.85546875" bestFit="1" customWidth="1"/>
    <col min="10" max="10" width="4.42578125" bestFit="1" customWidth="1"/>
    <col min="11" max="11" width="4.7109375" bestFit="1" customWidth="1"/>
    <col min="12" max="12" width="5.42578125" bestFit="1" customWidth="1"/>
    <col min="13" max="13" width="12.7109375" bestFit="1" customWidth="1"/>
    <col min="14" max="14" width="6.28515625" bestFit="1" customWidth="1"/>
    <col min="15" max="15" width="6.5703125" bestFit="1" customWidth="1"/>
  </cols>
  <sheetData>
    <row r="2" spans="2:15" x14ac:dyDescent="0.25">
      <c r="B2" s="3"/>
      <c r="C2" s="28" t="s">
        <v>34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"/>
    </row>
    <row r="3" spans="2:15" x14ac:dyDescent="0.25">
      <c r="B3" s="3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"/>
    </row>
    <row r="4" spans="2:15" x14ac:dyDescent="0.25">
      <c r="B4" s="4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4"/>
    </row>
    <row r="5" spans="2:15" x14ac:dyDescent="0.25">
      <c r="B5" s="26" t="s">
        <v>0</v>
      </c>
      <c r="C5" s="26" t="s">
        <v>1</v>
      </c>
      <c r="D5" s="26" t="s">
        <v>2</v>
      </c>
      <c r="E5" s="26" t="s">
        <v>3</v>
      </c>
      <c r="F5" s="26" t="s">
        <v>4</v>
      </c>
      <c r="G5" s="26" t="s">
        <v>5</v>
      </c>
      <c r="H5" s="26" t="s">
        <v>6</v>
      </c>
      <c r="I5" s="26" t="s">
        <v>7</v>
      </c>
      <c r="J5" s="26" t="s">
        <v>8</v>
      </c>
      <c r="K5" s="26" t="s">
        <v>9</v>
      </c>
      <c r="L5" s="26" t="s">
        <v>10</v>
      </c>
      <c r="M5" s="26" t="s">
        <v>11</v>
      </c>
      <c r="N5" s="26" t="s">
        <v>12</v>
      </c>
      <c r="O5" s="26" t="s">
        <v>13</v>
      </c>
    </row>
    <row r="6" spans="2:15" x14ac:dyDescent="0.25">
      <c r="B6" s="4" t="s">
        <v>24</v>
      </c>
      <c r="C6" s="4" t="s">
        <v>14</v>
      </c>
      <c r="D6" s="4">
        <v>99</v>
      </c>
      <c r="E6" s="4">
        <v>97</v>
      </c>
      <c r="F6" s="4">
        <v>100</v>
      </c>
      <c r="G6" s="4">
        <v>80</v>
      </c>
      <c r="H6" s="4">
        <v>86</v>
      </c>
      <c r="I6" s="4">
        <v>100</v>
      </c>
      <c r="J6" s="4">
        <f>MIN(D6:I6)</f>
        <v>80</v>
      </c>
      <c r="K6" s="4">
        <f>MAX(D6:I6)</f>
        <v>100</v>
      </c>
      <c r="L6" s="4">
        <f>SUM(D6:I6)</f>
        <v>562</v>
      </c>
      <c r="M6" s="5">
        <f>AVERAGE(D6:I6)</f>
        <v>93.666666666666671</v>
      </c>
      <c r="N6" s="4" t="str">
        <f>IF(M6&gt;90,"A",IF(M6&gt;80,"B",IF(M6&gt;70,"C",IF(M6&gt;=33,"D","E"))))</f>
        <v>A</v>
      </c>
      <c r="O6" s="4" t="str">
        <f>IF(M6&gt;=33, "Pass", "Fail")</f>
        <v>Pass</v>
      </c>
    </row>
    <row r="7" spans="2:15" x14ac:dyDescent="0.25">
      <c r="B7" s="4" t="s">
        <v>25</v>
      </c>
      <c r="C7" s="4" t="s">
        <v>15</v>
      </c>
      <c r="D7" s="4">
        <v>70</v>
      </c>
      <c r="E7" s="4">
        <v>71</v>
      </c>
      <c r="F7" s="4">
        <v>60</v>
      </c>
      <c r="G7" s="4">
        <v>98</v>
      </c>
      <c r="H7" s="4">
        <v>86</v>
      </c>
      <c r="I7" s="4">
        <v>80</v>
      </c>
      <c r="J7" s="4">
        <f t="shared" ref="J7:J15" si="0">MIN(D7:I7)</f>
        <v>60</v>
      </c>
      <c r="K7" s="4">
        <f t="shared" ref="K7:K15" si="1">MAX(D7:I7)</f>
        <v>98</v>
      </c>
      <c r="L7" s="4">
        <f t="shared" ref="L7:L15" si="2">SUM(D7:I7)</f>
        <v>465</v>
      </c>
      <c r="M7" s="5">
        <f t="shared" ref="M7:M15" si="3">AVERAGE(D7:I7)</f>
        <v>77.5</v>
      </c>
      <c r="N7" s="4" t="str">
        <f t="shared" ref="N7:N15" si="4">IF(M7&gt;90,"A",IF(M7&gt;80,"B",IF(M7&gt;70,"C",IF(M7&gt;=33,"D","E"))))</f>
        <v>C</v>
      </c>
      <c r="O7" s="4" t="str">
        <f t="shared" ref="O7:O15" si="5">IF(M7&gt;=33, "Pass", "Fail")</f>
        <v>Pass</v>
      </c>
    </row>
    <row r="8" spans="2:15" x14ac:dyDescent="0.25">
      <c r="B8" s="4" t="s">
        <v>26</v>
      </c>
      <c r="C8" s="4" t="s">
        <v>16</v>
      </c>
      <c r="D8" s="4">
        <v>34</v>
      </c>
      <c r="E8" s="4">
        <v>85</v>
      </c>
      <c r="F8" s="4">
        <v>60</v>
      </c>
      <c r="G8" s="4">
        <v>78</v>
      </c>
      <c r="H8" s="4">
        <v>83</v>
      </c>
      <c r="I8" s="4">
        <v>78</v>
      </c>
      <c r="J8" s="4">
        <f t="shared" si="0"/>
        <v>34</v>
      </c>
      <c r="K8" s="4">
        <f t="shared" si="1"/>
        <v>85</v>
      </c>
      <c r="L8" s="4">
        <f t="shared" si="2"/>
        <v>418</v>
      </c>
      <c r="M8" s="5">
        <f t="shared" si="3"/>
        <v>69.666666666666671</v>
      </c>
      <c r="N8" s="4" t="str">
        <f t="shared" si="4"/>
        <v>D</v>
      </c>
      <c r="O8" s="4" t="str">
        <f t="shared" si="5"/>
        <v>Pass</v>
      </c>
    </row>
    <row r="9" spans="2:15" x14ac:dyDescent="0.25">
      <c r="B9" s="4" t="s">
        <v>27</v>
      </c>
      <c r="C9" s="4" t="s">
        <v>17</v>
      </c>
      <c r="D9" s="4">
        <v>56</v>
      </c>
      <c r="E9" s="4">
        <v>34</v>
      </c>
      <c r="F9" s="4">
        <v>47</v>
      </c>
      <c r="G9" s="4">
        <v>77</v>
      </c>
      <c r="H9" s="4">
        <v>98</v>
      </c>
      <c r="I9" s="4">
        <v>88</v>
      </c>
      <c r="J9" s="4">
        <f t="shared" si="0"/>
        <v>34</v>
      </c>
      <c r="K9" s="4">
        <f t="shared" si="1"/>
        <v>98</v>
      </c>
      <c r="L9" s="4">
        <f t="shared" si="2"/>
        <v>400</v>
      </c>
      <c r="M9" s="5">
        <f t="shared" si="3"/>
        <v>66.666666666666671</v>
      </c>
      <c r="N9" s="4" t="str">
        <f t="shared" si="4"/>
        <v>D</v>
      </c>
      <c r="O9" s="4" t="str">
        <f t="shared" si="5"/>
        <v>Pass</v>
      </c>
    </row>
    <row r="10" spans="2:15" x14ac:dyDescent="0.25">
      <c r="B10" s="4" t="s">
        <v>28</v>
      </c>
      <c r="C10" s="4" t="s">
        <v>18</v>
      </c>
      <c r="D10" s="4">
        <v>28</v>
      </c>
      <c r="E10" s="4">
        <v>95</v>
      </c>
      <c r="F10" s="4">
        <v>30</v>
      </c>
      <c r="G10" s="4">
        <v>73</v>
      </c>
      <c r="H10" s="4">
        <v>62</v>
      </c>
      <c r="I10" s="4">
        <v>39</v>
      </c>
      <c r="J10" s="4">
        <f t="shared" si="0"/>
        <v>28</v>
      </c>
      <c r="K10" s="4">
        <f t="shared" si="1"/>
        <v>95</v>
      </c>
      <c r="L10" s="4">
        <f t="shared" si="2"/>
        <v>327</v>
      </c>
      <c r="M10" s="5">
        <f t="shared" si="3"/>
        <v>54.5</v>
      </c>
      <c r="N10" s="4" t="str">
        <f t="shared" si="4"/>
        <v>D</v>
      </c>
      <c r="O10" s="4" t="str">
        <f t="shared" si="5"/>
        <v>Pass</v>
      </c>
    </row>
    <row r="11" spans="2:15" x14ac:dyDescent="0.25">
      <c r="B11" s="4" t="s">
        <v>29</v>
      </c>
      <c r="C11" s="4" t="s">
        <v>19</v>
      </c>
      <c r="D11" s="4">
        <v>86</v>
      </c>
      <c r="E11" s="4">
        <v>38</v>
      </c>
      <c r="F11" s="4">
        <v>90</v>
      </c>
      <c r="G11" s="4">
        <v>67</v>
      </c>
      <c r="H11" s="4">
        <v>75</v>
      </c>
      <c r="I11" s="4">
        <v>40</v>
      </c>
      <c r="J11" s="4">
        <f t="shared" si="0"/>
        <v>38</v>
      </c>
      <c r="K11" s="4">
        <f t="shared" si="1"/>
        <v>90</v>
      </c>
      <c r="L11" s="4">
        <f t="shared" si="2"/>
        <v>396</v>
      </c>
      <c r="M11" s="5">
        <f t="shared" si="3"/>
        <v>66</v>
      </c>
      <c r="N11" s="4" t="str">
        <f t="shared" si="4"/>
        <v>D</v>
      </c>
      <c r="O11" s="4" t="str">
        <f t="shared" si="5"/>
        <v>Pass</v>
      </c>
    </row>
    <row r="12" spans="2:15" x14ac:dyDescent="0.25">
      <c r="B12" s="4" t="s">
        <v>30</v>
      </c>
      <c r="C12" s="4" t="s">
        <v>20</v>
      </c>
      <c r="D12" s="4">
        <v>97</v>
      </c>
      <c r="E12" s="4">
        <v>90</v>
      </c>
      <c r="F12" s="4">
        <v>78</v>
      </c>
      <c r="G12" s="4">
        <v>33</v>
      </c>
      <c r="H12" s="4">
        <v>75</v>
      </c>
      <c r="I12" s="4">
        <v>94</v>
      </c>
      <c r="J12" s="4">
        <f t="shared" si="0"/>
        <v>33</v>
      </c>
      <c r="K12" s="4">
        <f t="shared" si="1"/>
        <v>97</v>
      </c>
      <c r="L12" s="4">
        <f t="shared" si="2"/>
        <v>467</v>
      </c>
      <c r="M12" s="5">
        <f t="shared" si="3"/>
        <v>77.833333333333329</v>
      </c>
      <c r="N12" s="4" t="str">
        <f t="shared" si="4"/>
        <v>C</v>
      </c>
      <c r="O12" s="4" t="str">
        <f t="shared" si="5"/>
        <v>Pass</v>
      </c>
    </row>
    <row r="13" spans="2:15" x14ac:dyDescent="0.25">
      <c r="B13" s="4" t="s">
        <v>31</v>
      </c>
      <c r="C13" s="4" t="s">
        <v>22</v>
      </c>
      <c r="D13" s="4">
        <v>35</v>
      </c>
      <c r="E13" s="4">
        <v>46</v>
      </c>
      <c r="F13" s="4">
        <v>97</v>
      </c>
      <c r="G13" s="4">
        <v>70</v>
      </c>
      <c r="H13" s="4">
        <v>52</v>
      </c>
      <c r="I13" s="4">
        <v>98</v>
      </c>
      <c r="J13" s="4">
        <f t="shared" si="0"/>
        <v>35</v>
      </c>
      <c r="K13" s="4">
        <f t="shared" si="1"/>
        <v>98</v>
      </c>
      <c r="L13" s="4">
        <f t="shared" si="2"/>
        <v>398</v>
      </c>
      <c r="M13" s="5">
        <f t="shared" si="3"/>
        <v>66.333333333333329</v>
      </c>
      <c r="N13" s="4" t="str">
        <f t="shared" si="4"/>
        <v>D</v>
      </c>
      <c r="O13" s="4" t="str">
        <f t="shared" si="5"/>
        <v>Pass</v>
      </c>
    </row>
    <row r="14" spans="2:15" x14ac:dyDescent="0.25">
      <c r="B14" s="4" t="s">
        <v>32</v>
      </c>
      <c r="C14" s="4" t="s">
        <v>23</v>
      </c>
      <c r="D14" s="4">
        <v>71</v>
      </c>
      <c r="E14" s="4">
        <v>31</v>
      </c>
      <c r="F14" s="4">
        <v>96</v>
      </c>
      <c r="G14" s="4">
        <v>44</v>
      </c>
      <c r="H14" s="4">
        <v>59</v>
      </c>
      <c r="I14" s="4">
        <v>45</v>
      </c>
      <c r="J14" s="4">
        <f t="shared" si="0"/>
        <v>31</v>
      </c>
      <c r="K14" s="4">
        <f t="shared" si="1"/>
        <v>96</v>
      </c>
      <c r="L14" s="4">
        <f t="shared" si="2"/>
        <v>346</v>
      </c>
      <c r="M14" s="5">
        <f t="shared" si="3"/>
        <v>57.666666666666664</v>
      </c>
      <c r="N14" s="4" t="str">
        <f t="shared" si="4"/>
        <v>D</v>
      </c>
      <c r="O14" s="4" t="str">
        <f t="shared" si="5"/>
        <v>Pass</v>
      </c>
    </row>
    <row r="15" spans="2:15" x14ac:dyDescent="0.25">
      <c r="B15" s="4" t="s">
        <v>33</v>
      </c>
      <c r="C15" s="4" t="s">
        <v>21</v>
      </c>
      <c r="D15" s="4">
        <v>66</v>
      </c>
      <c r="E15" s="4">
        <v>90</v>
      </c>
      <c r="F15" s="4">
        <v>76</v>
      </c>
      <c r="G15" s="4">
        <v>40</v>
      </c>
      <c r="H15" s="4">
        <v>60</v>
      </c>
      <c r="I15" s="4">
        <v>75</v>
      </c>
      <c r="J15" s="4">
        <f t="shared" si="0"/>
        <v>40</v>
      </c>
      <c r="K15" s="4">
        <f t="shared" si="1"/>
        <v>90</v>
      </c>
      <c r="L15" s="4">
        <f t="shared" si="2"/>
        <v>407</v>
      </c>
      <c r="M15" s="5">
        <f t="shared" si="3"/>
        <v>67.833333333333329</v>
      </c>
      <c r="N15" s="4" t="str">
        <f t="shared" si="4"/>
        <v>D</v>
      </c>
      <c r="O15" s="4" t="str">
        <f t="shared" si="5"/>
        <v>Pass</v>
      </c>
    </row>
    <row r="17" spans="2:7" x14ac:dyDescent="0.25">
      <c r="B17" s="2"/>
      <c r="C17" s="2"/>
      <c r="D17" s="2"/>
      <c r="E17" s="2"/>
      <c r="F17" s="2"/>
      <c r="G17" s="2"/>
    </row>
  </sheetData>
  <mergeCells count="1">
    <mergeCell ref="C2:N4"/>
  </mergeCells>
  <phoneticPr fontId="2" type="noConversion"/>
  <conditionalFormatting sqref="D6:I15">
    <cfRule type="cellIs" dxfId="7" priority="7" operator="equal">
      <formula>33</formula>
    </cfRule>
    <cfRule type="cellIs" dxfId="6" priority="8" operator="lessThan">
      <formula>33</formula>
    </cfRule>
    <cfRule type="cellIs" dxfId="5" priority="9" operator="greaterThan">
      <formula>33</formula>
    </cfRule>
  </conditionalFormatting>
  <conditionalFormatting sqref="M6:M15">
    <cfRule type="cellIs" dxfId="4" priority="1" operator="equal">
      <formula>33</formula>
    </cfRule>
    <cfRule type="cellIs" dxfId="3" priority="2" operator="lessThan">
      <formula>33</formula>
    </cfRule>
    <cfRule type="cellIs" dxfId="2" priority="4" operator="greaterThan">
      <formula>33</formula>
    </cfRule>
  </conditionalFormatting>
  <conditionalFormatting sqref="O6:O15">
    <cfRule type="cellIs" dxfId="1" priority="5" operator="equal">
      <formula>"Fail"</formula>
    </cfRule>
    <cfRule type="cellIs" dxfId="0" priority="6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3A62-E832-4567-AEC7-B237D8A0C95E}">
  <dimension ref="A1:C26"/>
  <sheetViews>
    <sheetView zoomScale="130" zoomScaleNormal="130" workbookViewId="0">
      <selection activeCell="D7" sqref="D7"/>
    </sheetView>
  </sheetViews>
  <sheetFormatPr defaultRowHeight="15" x14ac:dyDescent="0.25"/>
  <cols>
    <col min="1" max="1" width="13.85546875" bestFit="1" customWidth="1"/>
    <col min="2" max="2" width="11.140625" bestFit="1" customWidth="1"/>
    <col min="3" max="3" width="12.7109375" bestFit="1" customWidth="1"/>
  </cols>
  <sheetData>
    <row r="1" spans="1:3" x14ac:dyDescent="0.25">
      <c r="A1" s="31" t="s">
        <v>35</v>
      </c>
      <c r="B1" s="32"/>
      <c r="C1" s="33"/>
    </row>
    <row r="2" spans="1:3" x14ac:dyDescent="0.25">
      <c r="A2" s="34"/>
      <c r="B2" s="35"/>
      <c r="C2" s="36"/>
    </row>
    <row r="3" spans="1:3" x14ac:dyDescent="0.25">
      <c r="A3" s="34"/>
      <c r="B3" s="35"/>
      <c r="C3" s="36"/>
    </row>
    <row r="4" spans="1:3" x14ac:dyDescent="0.25">
      <c r="A4" s="37"/>
      <c r="B4" s="38"/>
      <c r="C4" s="39"/>
    </row>
    <row r="5" spans="1:3" x14ac:dyDescent="0.25">
      <c r="A5" s="24" t="s">
        <v>36</v>
      </c>
      <c r="B5" s="29" t="s">
        <v>24</v>
      </c>
      <c r="C5" s="30"/>
    </row>
    <row r="6" spans="1:3" x14ac:dyDescent="0.25">
      <c r="A6" s="24" t="s">
        <v>37</v>
      </c>
      <c r="B6" s="29" t="str">
        <f>IF(B5="","",VLOOKUP(B5,'Teacher''s Sheet'!$B$5:$O$15,2,FALSE))</f>
        <v>Krish</v>
      </c>
      <c r="C6" s="30"/>
    </row>
    <row r="7" spans="1:3" x14ac:dyDescent="0.25">
      <c r="A7" s="29"/>
      <c r="B7" s="40"/>
      <c r="C7" s="30"/>
    </row>
    <row r="8" spans="1:3" x14ac:dyDescent="0.25">
      <c r="A8" s="24" t="s">
        <v>38</v>
      </c>
      <c r="B8" s="24" t="s">
        <v>40</v>
      </c>
      <c r="C8" s="24" t="s">
        <v>39</v>
      </c>
    </row>
    <row r="9" spans="1:3" x14ac:dyDescent="0.25">
      <c r="A9" s="26" t="s">
        <v>2</v>
      </c>
      <c r="B9" s="3">
        <v>100</v>
      </c>
      <c r="C9" s="3">
        <f>IF(B5="","",VLOOKUP(B5,'Teacher''s Sheet'!$B$5:$O$15,3,FALSE))</f>
        <v>99</v>
      </c>
    </row>
    <row r="10" spans="1:3" x14ac:dyDescent="0.25">
      <c r="A10" s="26" t="s">
        <v>3</v>
      </c>
      <c r="B10" s="3">
        <v>100</v>
      </c>
      <c r="C10" s="3">
        <f>IF(B5="","",VLOOKUP(B5,'Teacher''s Sheet'!$B$5:$O$15,4,FALSE))</f>
        <v>97</v>
      </c>
    </row>
    <row r="11" spans="1:3" x14ac:dyDescent="0.25">
      <c r="A11" s="26" t="s">
        <v>4</v>
      </c>
      <c r="B11" s="3">
        <v>100</v>
      </c>
      <c r="C11" s="3">
        <f>IF(B5="","",VLOOKUP(B5,'Teacher''s Sheet'!$B$5:$O$15,5,FALSE))</f>
        <v>100</v>
      </c>
    </row>
    <row r="12" spans="1:3" x14ac:dyDescent="0.25">
      <c r="A12" s="26" t="s">
        <v>5</v>
      </c>
      <c r="B12" s="3">
        <v>100</v>
      </c>
      <c r="C12" s="3">
        <f>IF(B5="","",VLOOKUP(B5,'Teacher''s Sheet'!$B$5:$O$15,6,FALSE))</f>
        <v>80</v>
      </c>
    </row>
    <row r="13" spans="1:3" x14ac:dyDescent="0.25">
      <c r="A13" s="26" t="s">
        <v>6</v>
      </c>
      <c r="B13" s="3">
        <v>100</v>
      </c>
      <c r="C13" s="3">
        <f>IF(B5="","",VLOOKUP(B5,'Teacher''s Sheet'!$B$5:$O$15,7,FALSE))</f>
        <v>86</v>
      </c>
    </row>
    <row r="14" spans="1:3" x14ac:dyDescent="0.25">
      <c r="A14" s="26" t="s">
        <v>7</v>
      </c>
      <c r="B14" s="3">
        <v>100</v>
      </c>
      <c r="C14" s="3">
        <f>IF(B5="","",VLOOKUP(B5,'Teacher''s Sheet'!$B$5:$O$15,8,FALSE))</f>
        <v>100</v>
      </c>
    </row>
    <row r="15" spans="1:3" x14ac:dyDescent="0.25">
      <c r="A15" s="29"/>
      <c r="B15" s="40"/>
      <c r="C15" s="30"/>
    </row>
    <row r="16" spans="1:3" x14ac:dyDescent="0.25">
      <c r="A16" s="24" t="s">
        <v>41</v>
      </c>
      <c r="B16" s="3">
        <f>SUM(B9:B14)</f>
        <v>600</v>
      </c>
      <c r="C16" s="3">
        <f>IF(B5="","",VLOOKUP(B5,'Teacher''s Sheet'!$B$5:$O$15,11,FALSE))</f>
        <v>562</v>
      </c>
    </row>
    <row r="17" spans="1:3" x14ac:dyDescent="0.25">
      <c r="A17" s="24" t="s">
        <v>11</v>
      </c>
      <c r="B17" s="41">
        <f>IF(B5="","",VLOOKUP(B5,'Teacher''s Sheet'!$B$5:$O$15,12,FALSE))</f>
        <v>93.666666666666671</v>
      </c>
      <c r="C17" s="42"/>
    </row>
    <row r="18" spans="1:3" x14ac:dyDescent="0.25">
      <c r="A18" s="24" t="s">
        <v>12</v>
      </c>
      <c r="B18" s="29" t="str">
        <f>IF(B5="","",VLOOKUP(B5,'Teacher''s Sheet'!$B$5:$O$15,13,FALSE))</f>
        <v>A</v>
      </c>
      <c r="C18" s="30"/>
    </row>
    <row r="19" spans="1:3" x14ac:dyDescent="0.25">
      <c r="A19" s="24" t="s">
        <v>13</v>
      </c>
      <c r="B19" s="29" t="str">
        <f>IF(B5="","",VLOOKUP(B5,'Teacher''s Sheet'!$B$5:$O$15,14,FALSE))</f>
        <v>Pass</v>
      </c>
      <c r="C19" s="30"/>
    </row>
    <row r="26" spans="1:3" x14ac:dyDescent="0.25">
      <c r="A26" t="s">
        <v>42</v>
      </c>
      <c r="B26" s="6" t="s">
        <v>43</v>
      </c>
    </row>
  </sheetData>
  <mergeCells count="8">
    <mergeCell ref="B19:C19"/>
    <mergeCell ref="B5:C5"/>
    <mergeCell ref="B6:C6"/>
    <mergeCell ref="A1:C4"/>
    <mergeCell ref="A7:C7"/>
    <mergeCell ref="A15:C15"/>
    <mergeCell ref="B17:C17"/>
    <mergeCell ref="B18:C18"/>
  </mergeCells>
  <hyperlinks>
    <hyperlink ref="B26" r:id="rId1" xr:uid="{2274B718-84D7-4C6C-8AD0-8FBD22B3F3D0}"/>
  </hyperlinks>
  <pageMargins left="0.7" right="0.7" top="0.75" bottom="0.75" header="0.3" footer="0.3"/>
  <pageSetup orientation="portrait" r:id="rId2"/>
  <headerFooter>
    <oddHeader>&amp;C&amp;P</oddHeader>
  </headerFooter>
  <drawing r:id="rId3"/>
  <legacyDrawing r:id="rId4"/>
  <oleObjects>
    <mc:AlternateContent xmlns:mc="http://schemas.openxmlformats.org/markup-compatibility/2006">
      <mc:Choice Requires="x14">
        <oleObject progId="Word.Document.8" shapeId="3076" r:id="rId5">
          <objectPr defaultSize="0" r:id="rId6">
            <anchor moveWithCells="1">
              <from>
                <xdr:col>1</xdr:col>
                <xdr:colOff>0</xdr:colOff>
                <xdr:row>39</xdr:row>
                <xdr:rowOff>0</xdr:rowOff>
              </from>
              <to>
                <xdr:col>5</xdr:col>
                <xdr:colOff>419100</xdr:colOff>
                <xdr:row>46</xdr:row>
                <xdr:rowOff>142875</xdr:rowOff>
              </to>
            </anchor>
          </objectPr>
        </oleObject>
      </mc:Choice>
      <mc:Fallback>
        <oleObject progId="Word.Document.8" shapeId="3076" r:id="rId5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A21E59-289A-4591-BB42-3F83B142A25B}">
          <x14:formula1>
            <xm:f>'Teacher''s Sheet'!$B$6:$B$15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3A9A-87DB-44A5-B85C-EF1E49EDFF50}">
  <dimension ref="A3:H12"/>
  <sheetViews>
    <sheetView zoomScale="190" zoomScaleNormal="190" workbookViewId="0">
      <selection activeCell="A3" sqref="A3:H3"/>
    </sheetView>
  </sheetViews>
  <sheetFormatPr defaultRowHeight="15" x14ac:dyDescent="0.25"/>
  <cols>
    <col min="1" max="1" width="18.42578125" style="1" bestFit="1" customWidth="1"/>
    <col min="2" max="2" width="9.140625" style="1"/>
    <col min="3" max="3" width="12.5703125" style="1" bestFit="1" customWidth="1"/>
    <col min="4" max="16384" width="9.140625" style="1"/>
  </cols>
  <sheetData>
    <row r="3" spans="1:8" x14ac:dyDescent="0.25">
      <c r="A3" s="26" t="s">
        <v>70</v>
      </c>
      <c r="B3" s="26" t="s">
        <v>44</v>
      </c>
      <c r="C3" s="26" t="s">
        <v>63</v>
      </c>
      <c r="D3" s="26" t="s">
        <v>56</v>
      </c>
      <c r="E3" s="26" t="s">
        <v>64</v>
      </c>
      <c r="F3" s="26" t="s">
        <v>65</v>
      </c>
      <c r="G3" s="26" t="s">
        <v>66</v>
      </c>
      <c r="H3" s="26" t="s">
        <v>67</v>
      </c>
    </row>
    <row r="4" spans="1:8" x14ac:dyDescent="0.25">
      <c r="A4" s="4" t="s">
        <v>45</v>
      </c>
      <c r="B4" s="4" t="s">
        <v>54</v>
      </c>
      <c r="C4" s="19">
        <v>100000</v>
      </c>
      <c r="D4" s="20">
        <v>0.12</v>
      </c>
      <c r="E4" s="20">
        <v>0.12</v>
      </c>
      <c r="F4" s="21">
        <v>9500</v>
      </c>
      <c r="G4" s="20">
        <v>0.15</v>
      </c>
      <c r="H4" s="20">
        <v>0.15</v>
      </c>
    </row>
    <row r="5" spans="1:8" x14ac:dyDescent="0.25">
      <c r="A5" s="4" t="s">
        <v>46</v>
      </c>
      <c r="B5" s="4" t="s">
        <v>55</v>
      </c>
      <c r="C5" s="19">
        <v>90000</v>
      </c>
      <c r="D5" s="20">
        <v>0.12</v>
      </c>
      <c r="E5" s="20">
        <v>0.12</v>
      </c>
      <c r="F5" s="21">
        <v>9500</v>
      </c>
      <c r="G5" s="20">
        <v>0.15</v>
      </c>
      <c r="H5" s="20">
        <v>0.15</v>
      </c>
    </row>
    <row r="6" spans="1:8" x14ac:dyDescent="0.25">
      <c r="A6" s="4" t="s">
        <v>47</v>
      </c>
      <c r="B6" s="4" t="s">
        <v>56</v>
      </c>
      <c r="C6" s="19">
        <v>80000</v>
      </c>
      <c r="D6" s="20">
        <v>0.1</v>
      </c>
      <c r="E6" s="20">
        <v>0.1</v>
      </c>
      <c r="F6" s="21">
        <v>6500</v>
      </c>
      <c r="G6" s="20">
        <v>0.12</v>
      </c>
      <c r="H6" s="20">
        <v>0.12</v>
      </c>
    </row>
    <row r="7" spans="1:8" x14ac:dyDescent="0.25">
      <c r="A7" s="4" t="s">
        <v>48</v>
      </c>
      <c r="B7" s="4" t="s">
        <v>61</v>
      </c>
      <c r="C7" s="19">
        <v>95000</v>
      </c>
      <c r="D7" s="20">
        <v>0.1</v>
      </c>
      <c r="E7" s="20">
        <v>0.1</v>
      </c>
      <c r="F7" s="21">
        <v>6500</v>
      </c>
      <c r="G7" s="20">
        <v>0.12</v>
      </c>
      <c r="H7" s="20">
        <v>0.12</v>
      </c>
    </row>
    <row r="8" spans="1:8" x14ac:dyDescent="0.25">
      <c r="A8" s="4" t="s">
        <v>49</v>
      </c>
      <c r="B8" s="4" t="s">
        <v>57</v>
      </c>
      <c r="C8" s="19">
        <v>85000</v>
      </c>
      <c r="D8" s="20">
        <v>0.1</v>
      </c>
      <c r="E8" s="20">
        <v>0.1</v>
      </c>
      <c r="F8" s="21">
        <v>6500</v>
      </c>
      <c r="G8" s="20">
        <v>0.12</v>
      </c>
      <c r="H8" s="20">
        <v>0.12</v>
      </c>
    </row>
    <row r="9" spans="1:8" x14ac:dyDescent="0.25">
      <c r="A9" s="4" t="s">
        <v>50</v>
      </c>
      <c r="B9" s="4" t="s">
        <v>58</v>
      </c>
      <c r="C9" s="19">
        <v>70000</v>
      </c>
      <c r="D9" s="20">
        <v>0.1</v>
      </c>
      <c r="E9" s="20">
        <v>0.1</v>
      </c>
      <c r="F9" s="21">
        <v>6500</v>
      </c>
      <c r="G9" s="20">
        <v>0.12</v>
      </c>
      <c r="H9" s="20">
        <v>0.12</v>
      </c>
    </row>
    <row r="10" spans="1:8" x14ac:dyDescent="0.25">
      <c r="A10" s="4" t="s">
        <v>51</v>
      </c>
      <c r="B10" s="4" t="s">
        <v>59</v>
      </c>
      <c r="C10" s="19">
        <v>75000</v>
      </c>
      <c r="D10" s="20">
        <v>0.1</v>
      </c>
      <c r="E10" s="20">
        <v>0.1</v>
      </c>
      <c r="F10" s="21">
        <v>6500</v>
      </c>
      <c r="G10" s="20">
        <v>0.12</v>
      </c>
      <c r="H10" s="20">
        <v>0.12</v>
      </c>
    </row>
    <row r="11" spans="1:8" x14ac:dyDescent="0.25">
      <c r="A11" s="4" t="s">
        <v>53</v>
      </c>
      <c r="B11" s="4" t="s">
        <v>62</v>
      </c>
      <c r="C11" s="19">
        <v>90000</v>
      </c>
      <c r="D11" s="20">
        <v>0.08</v>
      </c>
      <c r="E11" s="20">
        <v>0.08</v>
      </c>
      <c r="F11" s="21">
        <v>5500</v>
      </c>
      <c r="G11" s="20">
        <v>0.1</v>
      </c>
      <c r="H11" s="20">
        <v>0.1</v>
      </c>
    </row>
    <row r="12" spans="1:8" x14ac:dyDescent="0.25">
      <c r="A12" s="4" t="s">
        <v>52</v>
      </c>
      <c r="B12" s="4" t="s">
        <v>60</v>
      </c>
      <c r="C12" s="19">
        <v>50000</v>
      </c>
      <c r="D12" s="20">
        <v>0.06</v>
      </c>
      <c r="E12" s="20">
        <v>0.06</v>
      </c>
      <c r="F12" s="21">
        <v>4500</v>
      </c>
      <c r="G12" s="20">
        <v>0.1</v>
      </c>
      <c r="H12" s="20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32EC-7399-4C0A-934B-A9D448987F47}">
  <dimension ref="A6:I16"/>
  <sheetViews>
    <sheetView zoomScale="145" zoomScaleNormal="145" workbookViewId="0">
      <selection activeCell="A11" sqref="A11"/>
    </sheetView>
  </sheetViews>
  <sheetFormatPr defaultRowHeight="15" x14ac:dyDescent="0.25"/>
  <cols>
    <col min="1" max="1" width="18.140625" customWidth="1"/>
    <col min="3" max="3" width="12" bestFit="1" customWidth="1"/>
    <col min="4" max="4" width="10.42578125" bestFit="1" customWidth="1"/>
    <col min="5" max="5" width="11.28515625" bestFit="1" customWidth="1"/>
    <col min="6" max="6" width="9.42578125" bestFit="1" customWidth="1"/>
    <col min="7" max="8" width="10.42578125" bestFit="1" customWidth="1"/>
    <col min="9" max="9" width="12" bestFit="1" customWidth="1"/>
  </cols>
  <sheetData>
    <row r="6" spans="1:9" x14ac:dyDescent="0.25">
      <c r="A6" s="27" t="s">
        <v>68</v>
      </c>
      <c r="B6" s="24" t="s">
        <v>44</v>
      </c>
      <c r="C6" s="24" t="s">
        <v>63</v>
      </c>
      <c r="D6" s="24" t="s">
        <v>56</v>
      </c>
      <c r="E6" s="24" t="s">
        <v>64</v>
      </c>
      <c r="F6" s="24" t="s">
        <v>65</v>
      </c>
      <c r="G6" s="24" t="s">
        <v>69</v>
      </c>
      <c r="H6" s="24" t="s">
        <v>67</v>
      </c>
      <c r="I6" s="24" t="s">
        <v>71</v>
      </c>
    </row>
    <row r="7" spans="1:9" x14ac:dyDescent="0.25">
      <c r="A7" s="3" t="s">
        <v>14</v>
      </c>
      <c r="B7" s="3" t="s">
        <v>54</v>
      </c>
      <c r="C7" s="18">
        <f>IF(B7="","",IF(B7="BH",100000,IF(B7="DS",90000,IF(B7="DA",80000,IF(B7="AE",95000,IF(B7="PD",85000,IF(B7="MM",70000,IF(B7="GM",75000,IF(B7="AC",90000,IF(B7="SG",50000,""))))))))))</f>
        <v>100000</v>
      </c>
      <c r="D7" s="18">
        <f>IF(B7="","",IF(B7="BH",100000*12%,IF(B7="DS",90000*12%,IF(B7="DA",80000*10%,IF(B7="AE",95000*10%,IF(B7="PD",85000*10%,IF(B7="MM",70000*10%,IF(B7="GM",75000*10%,IF(B7="AC",90000*8%,IF(B7="SG",50000*6%,""))))))))))</f>
        <v>12000</v>
      </c>
      <c r="E7" s="18">
        <f>IF(B7="","",IF(B7="BH",100000*12%,IF(B7="DS",90000*12%,IF(B7="DA",80000*10%,IF(B7="AE",95000*10%,IF(B7="PD",85000*10%,IF(B7="MM",70000*10%,IF(B7="GM",75000*10%,IF(B7="AC",90000*8%,IF(B7="SG",50000*6%,""))))))))))</f>
        <v>12000</v>
      </c>
      <c r="F7" s="18">
        <f>IF(B7="","",IF(B7="BH",9500,IF(B7="DS",9500,IF(B7="DA",6500,IF(B7="AE",6500,IF(B7="PD",6500,IF(B7="MM",6500,IF(B7="GM",6500,IF(B7="AC",5500,IF(B7="SG",4500,""))))))))))</f>
        <v>9500</v>
      </c>
      <c r="G7" s="18">
        <f>IF(B7="","",IF(B7="BH",100000*15%,IF(B7="DS",90000*15%,IF(B7="DA",80000*12%,IF(B7="AE",95000*12%,IF(B7="PD",85000*12%,IF(B7="MM",70000*12%,IF(B7="GM",75000*12%,IF(B7="AC",90000*10%,IF(B7="SG",50000*10%,""))))))))))</f>
        <v>15000</v>
      </c>
      <c r="H7" s="18">
        <f>IF(B7="","",IF(B7="BH",100000*15%,IF(B7="DS",90000*15%,IF(B7="DA",80000*12%,IF(B7="AE",95000*12%,IF(B7="PD",85000*12%,IF(B7="MM",70000*12%,IF(B7="GM",75000*12%,IF(B7="AC",90000*10%,IF(B7="SG",50000*10%,""))))))))))</f>
        <v>15000</v>
      </c>
      <c r="I7" s="18">
        <f>IF(B7="","",C7+D7+E7+F7-G7-H7)</f>
        <v>103500</v>
      </c>
    </row>
    <row r="8" spans="1:9" x14ac:dyDescent="0.25">
      <c r="A8" s="3" t="s">
        <v>72</v>
      </c>
      <c r="B8" s="3" t="s">
        <v>55</v>
      </c>
      <c r="C8" s="18">
        <f>IF(B8="","",IF(B8="BH",100000,IF(B8="DS",90000,IF(B8="DA",80000,IF(B8="AE",95000,IF(B8="PD",85000,IF(B8="MM",70000,IF(B8="GM",75000,IF(B8="AC",90000,IF(B8="SG",50000,""))))))))))</f>
        <v>90000</v>
      </c>
      <c r="D8" s="18">
        <f>IF(B8="","",IF(B8="BH",100000*12%,IF(B8="DS",90000*12%,IF(B8="DA",80000*10%,IF(B8="AE",95000*10%,IF(B8="PD",85000*10%,IF(B8="MM",70000*10%,IF(B8="GM",75000*10%,IF(B8="AC",90000*8%,IF(B8="SG",50000*6%,""))))))))))</f>
        <v>10800</v>
      </c>
      <c r="E8" s="18">
        <f>IF(B8="","",IF(B8="BH",100000*12%,IF(B8="DS",90000*12%,IF(B8="DA",80000*10%,IF(B8="AE",95000*10%,IF(B8="PD",85000*10%,IF(B8="MM",70000*10%,IF(B8="GM",75000*10%,IF(B8="AC",90000*8%,IF(B8="SG",50000*6%,""))))))))))</f>
        <v>10800</v>
      </c>
      <c r="F8" s="18">
        <f>IF(B8="","",IF(B8="BH",9500,IF(B8="DS",9500,IF(B8="DA",6500,IF(B8="AE",6500,IF(B8="PD",6500,IF(B8="MM",6500,IF(B8="GM",6500,IF(B8="AC",5500,IF(B8="SG",4500,""))))))))))</f>
        <v>9500</v>
      </c>
      <c r="G8" s="18">
        <f>IF(B8="","",IF(B8="BH",100000*15%,IF(B8="DS",90000*15%,IF(B8="DA",80000*12%,IF(B8="AE",95000*12%,IF(B8="PD",85000*12%,IF(B8="MM",70000*12%,IF(B8="GM",75000*12%,IF(B8="AC",90000*10%,IF(B8="SG",50000*10%,""))))))))))</f>
        <v>13500</v>
      </c>
      <c r="H8" s="18">
        <f>IF(B8="","",IF(B8="BH",100000*15%,IF(B8="DS",90000*15%,IF(B8="DA",80000*12%,IF(B8="AE",95000*12%,IF(B8="PD",85000*12%,IF(B8="MM",70000*12%,IF(B8="GM",75000*12%,IF(B8="AC",90000*10%,IF(B8="SG",50000*10%,""))))))))))</f>
        <v>13500</v>
      </c>
      <c r="I8" s="18">
        <f t="shared" ref="I8:I9" si="0">IF(B8="","",C8+D8+E8+F8-G8-H8)</f>
        <v>94100</v>
      </c>
    </row>
    <row r="9" spans="1:9" x14ac:dyDescent="0.25">
      <c r="A9" s="3" t="s">
        <v>73</v>
      </c>
      <c r="B9" s="3" t="s">
        <v>56</v>
      </c>
      <c r="C9" s="18">
        <f>IF(B9="","",IF(B9="BH",100000,IF(B9="DS",90000,IF(B9="DA",80000,IF(B9="AE",95000,IF(B9="PD",85000,IF(B9="MM",70000,IF(B9="GM",75000,IF(B9="AC",90000,IF(B9="SG",50000,""))))))))))</f>
        <v>80000</v>
      </c>
      <c r="D9" s="18">
        <f>IF(B9="","",IF(B9="BH",100000*12%,IF(B9="DS",90000*12%,IF(B9="DA",80000*10%,IF(B9="AE",95000*10%,IF(B9="PD",85000*10%,IF(B9="MM",70000*10%,IF(B9="GM",75000*10%,IF(B9="AC",90000*8%,IF(B9="SG",50000*6%,""))))))))))</f>
        <v>8000</v>
      </c>
      <c r="E9" s="18">
        <f>IF(B9="","",IF(B9="BH",100000*12%,IF(B9="DS",90000*12%,IF(B9="DA",80000*10%,IF(B9="AE",95000*10%,IF(B9="PD",85000*10%,IF(B9="MM",70000*10%,IF(B9="GM",75000*10%,IF(B9="AC",90000*8%,IF(B9="SG",50000*6%,""))))))))))</f>
        <v>8000</v>
      </c>
      <c r="F9" s="18">
        <f>IF(B9="","",IF(B9="BH",9500,IF(B9="DS",9500,IF(B9="DA",6500,IF(B9="AE",6500,IF(B9="PD",6500,IF(B9="MM",6500,IF(B9="GM",6500,IF(B9="AC",5500,IF(B9="SG",4500,""))))))))))</f>
        <v>6500</v>
      </c>
      <c r="G9" s="18">
        <f>IF(B9="","",IF(B9="BH",100000*15%,IF(B9="DS",90000*15%,IF(B9="DA",80000*12%,IF(B9="AE",95000*12%,IF(B9="PD",85000*12%,IF(B9="MM",70000*12%,IF(B9="GM",75000*12%,IF(B9="AC",90000*10%,IF(B9="SG",50000*10%,""))))))))))</f>
        <v>9600</v>
      </c>
      <c r="H9" s="18">
        <f>IF(B9="","",IF(B9="BH",100000*15%,IF(B9="DS",90000*15%,IF(B9="DA",80000*12%,IF(B9="AE",95000*12%,IF(B9="PD",85000*12%,IF(B9="MM",70000*12%,IF(B9="GM",75000*12%,IF(B9="AC",90000*10%,IF(B9="SG",50000*10%,""))))))))))</f>
        <v>9600</v>
      </c>
      <c r="I9" s="18">
        <f t="shared" si="0"/>
        <v>83300</v>
      </c>
    </row>
    <row r="13" spans="1:9" x14ac:dyDescent="0.25">
      <c r="A13" s="24" t="s">
        <v>74</v>
      </c>
      <c r="B13" s="24" t="s">
        <v>44</v>
      </c>
      <c r="C13" s="24" t="s">
        <v>63</v>
      </c>
      <c r="D13" s="24" t="s">
        <v>56</v>
      </c>
      <c r="E13" s="24" t="s">
        <v>64</v>
      </c>
      <c r="F13" s="24" t="s">
        <v>65</v>
      </c>
      <c r="G13" s="24" t="s">
        <v>66</v>
      </c>
      <c r="H13" s="24" t="s">
        <v>67</v>
      </c>
      <c r="I13" s="24" t="s">
        <v>71</v>
      </c>
    </row>
    <row r="14" spans="1:9" x14ac:dyDescent="0.25">
      <c r="A14" s="3" t="s">
        <v>14</v>
      </c>
      <c r="B14" s="3" t="s">
        <v>54</v>
      </c>
      <c r="C14" s="18">
        <f>IF(B14="","",VLOOKUP(B14,'Salary data'!$B$3:$H$12,2,FALSE))</f>
        <v>100000</v>
      </c>
      <c r="D14" s="18">
        <f>IF(B14="","",C14*VLOOKUP(B14,'Salary data'!$B$3:$H$12,3,FALSE))</f>
        <v>12000</v>
      </c>
      <c r="E14" s="18">
        <f>IF(B14="","",C14*VLOOKUP(B14,'Salary data'!$B$3:$H$12,4,FALSE))</f>
        <v>12000</v>
      </c>
      <c r="F14" s="18">
        <f>IF(B14="","",VLOOKUP(B14,'Salary data'!$B$3:$H$12,5,FALSE))</f>
        <v>9500</v>
      </c>
      <c r="G14" s="18">
        <f>IF(B14="","",C14*VLOOKUP(B14,'Salary data'!$B$3:$H$12,6,FALSE))</f>
        <v>15000</v>
      </c>
      <c r="H14" s="18">
        <f>IF(B14="","",C14*VLOOKUP(B14,'Salary data'!$B$3:$H$12,7,FALSE))</f>
        <v>15000</v>
      </c>
      <c r="I14" s="18">
        <f>IF(B14="","",C14+D14+E14+F14-G14-H14)</f>
        <v>103500</v>
      </c>
    </row>
    <row r="15" spans="1:9" x14ac:dyDescent="0.25">
      <c r="A15" s="3" t="s">
        <v>72</v>
      </c>
      <c r="B15" s="3" t="s">
        <v>55</v>
      </c>
      <c r="C15" s="18">
        <f>IF(B15="","",VLOOKUP(B15,'Salary data'!$B$3:$H$12,2,FALSE))</f>
        <v>90000</v>
      </c>
      <c r="D15" s="18">
        <f>IF(B15="","",C15*VLOOKUP(B15,'Salary data'!$B$3:$H$12,3,FALSE))</f>
        <v>10800</v>
      </c>
      <c r="E15" s="18">
        <f>IF(B15="","",C15*VLOOKUP(B15,'Salary data'!$B$3:$H$12,4,FALSE))</f>
        <v>10800</v>
      </c>
      <c r="F15" s="18">
        <f>IF(B15="","",VLOOKUP(B15,'Salary data'!$B$3:$H$12,5,FALSE))</f>
        <v>9500</v>
      </c>
      <c r="G15" s="18">
        <f>IF(B15="","",C15*VLOOKUP(B15,'Salary data'!$B$3:$H$12,6,FALSE))</f>
        <v>13500</v>
      </c>
      <c r="H15" s="18">
        <f>IF(B15="","",C15*VLOOKUP(B15,'Salary data'!$B$3:$H$12,7,FALSE))</f>
        <v>13500</v>
      </c>
      <c r="I15" s="18">
        <f t="shared" ref="I15:I16" si="1">IF(B15="","",C15+D15+E15+F15-G15-H15)</f>
        <v>94100</v>
      </c>
    </row>
    <row r="16" spans="1:9" x14ac:dyDescent="0.25">
      <c r="A16" s="3" t="s">
        <v>73</v>
      </c>
      <c r="B16" s="3" t="s">
        <v>56</v>
      </c>
      <c r="C16" s="18">
        <f>IF(B16="","",VLOOKUP(B16,'Salary data'!$B$3:$H$12,2,FALSE))</f>
        <v>80000</v>
      </c>
      <c r="D16" s="18">
        <f>IF(B16="","",C16*VLOOKUP(B16,'Salary data'!$B$3:$H$12,3,FALSE))</f>
        <v>8000</v>
      </c>
      <c r="E16" s="18">
        <f>IF(B16="","",C16*VLOOKUP(B16,'Salary data'!$B$3:$H$12,4,FALSE))</f>
        <v>8000</v>
      </c>
      <c r="F16" s="18">
        <f>IF(B16="","",VLOOKUP(B16,'Salary data'!$B$3:$H$12,5,FALSE))</f>
        <v>6500</v>
      </c>
      <c r="G16" s="18">
        <f>IF(B16="","",C16*VLOOKUP(B16,'Salary data'!$B$3:$H$12,6,FALSE))</f>
        <v>9600</v>
      </c>
      <c r="H16" s="18">
        <f>IF(B16="","",C16*VLOOKUP(B16,'Salary data'!$B$3:$H$12,7,FALSE))</f>
        <v>9600</v>
      </c>
      <c r="I16" s="18">
        <f t="shared" si="1"/>
        <v>83300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4D2AA7-8183-4A81-BC10-3FD9D461E9FB}">
          <x14:formula1>
            <xm:f>'Salary data'!$B$4:$B$12</xm:f>
          </x14:formula1>
          <xm:sqref>B7:B9 B14:B16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54D6-E872-47A9-8FC9-7C5AD5D0A3C4}">
  <dimension ref="B4:E104"/>
  <sheetViews>
    <sheetView zoomScale="160" zoomScaleNormal="160"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2" max="2" width="11.42578125" bestFit="1" customWidth="1"/>
    <col min="3" max="3" width="33.28515625" bestFit="1" customWidth="1"/>
    <col min="4" max="4" width="8.42578125" bestFit="1" customWidth="1"/>
    <col min="5" max="5" width="10.28515625" bestFit="1" customWidth="1"/>
  </cols>
  <sheetData>
    <row r="4" spans="2:5" x14ac:dyDescent="0.25">
      <c r="B4" s="26" t="s">
        <v>75</v>
      </c>
      <c r="C4" s="26" t="s">
        <v>78</v>
      </c>
      <c r="D4" s="26" t="s">
        <v>76</v>
      </c>
      <c r="E4" s="26" t="s">
        <v>77</v>
      </c>
    </row>
    <row r="5" spans="2:5" x14ac:dyDescent="0.25">
      <c r="B5" s="4" t="s">
        <v>79</v>
      </c>
      <c r="C5" s="4" t="s">
        <v>179</v>
      </c>
      <c r="D5" s="4">
        <v>461</v>
      </c>
      <c r="E5" s="17">
        <v>0.28000000000000003</v>
      </c>
    </row>
    <row r="6" spans="2:5" x14ac:dyDescent="0.25">
      <c r="B6" s="4" t="s">
        <v>80</v>
      </c>
      <c r="C6" s="4" t="s">
        <v>181</v>
      </c>
      <c r="D6" s="4">
        <v>452</v>
      </c>
      <c r="E6" s="17">
        <v>0.28999999999999998</v>
      </c>
    </row>
    <row r="7" spans="2:5" x14ac:dyDescent="0.25">
      <c r="B7" s="4" t="s">
        <v>81</v>
      </c>
      <c r="C7" s="4" t="s">
        <v>180</v>
      </c>
      <c r="D7" s="4">
        <v>178</v>
      </c>
      <c r="E7" s="17">
        <v>0.11</v>
      </c>
    </row>
    <row r="8" spans="2:5" x14ac:dyDescent="0.25">
      <c r="B8" s="4" t="s">
        <v>82</v>
      </c>
      <c r="C8" s="4" t="s">
        <v>182</v>
      </c>
      <c r="D8" s="4">
        <v>299</v>
      </c>
      <c r="E8" s="17">
        <v>0.26</v>
      </c>
    </row>
    <row r="9" spans="2:5" x14ac:dyDescent="0.25">
      <c r="B9" s="4" t="s">
        <v>83</v>
      </c>
      <c r="C9" s="4" t="s">
        <v>183</v>
      </c>
      <c r="D9" s="4">
        <v>449</v>
      </c>
      <c r="E9" s="17">
        <v>0.12</v>
      </c>
    </row>
    <row r="10" spans="2:5" x14ac:dyDescent="0.25">
      <c r="B10" s="4" t="s">
        <v>84</v>
      </c>
      <c r="C10" s="4" t="s">
        <v>184</v>
      </c>
      <c r="D10" s="4">
        <v>357</v>
      </c>
      <c r="E10" s="17">
        <v>0.25</v>
      </c>
    </row>
    <row r="11" spans="2:5" x14ac:dyDescent="0.25">
      <c r="B11" s="4" t="s">
        <v>85</v>
      </c>
      <c r="C11" s="4" t="s">
        <v>185</v>
      </c>
      <c r="D11" s="4">
        <v>498</v>
      </c>
      <c r="E11" s="17">
        <v>0.24</v>
      </c>
    </row>
    <row r="12" spans="2:5" x14ac:dyDescent="0.25">
      <c r="B12" s="4" t="s">
        <v>86</v>
      </c>
      <c r="C12" s="4" t="s">
        <v>186</v>
      </c>
      <c r="D12" s="4">
        <v>385</v>
      </c>
      <c r="E12" s="17">
        <v>0.28999999999999998</v>
      </c>
    </row>
    <row r="13" spans="2:5" x14ac:dyDescent="0.25">
      <c r="B13" s="4" t="s">
        <v>87</v>
      </c>
      <c r="C13" s="4" t="s">
        <v>187</v>
      </c>
      <c r="D13" s="4">
        <v>83</v>
      </c>
      <c r="E13" s="17">
        <v>0.05</v>
      </c>
    </row>
    <row r="14" spans="2:5" x14ac:dyDescent="0.25">
      <c r="B14" s="4" t="s">
        <v>88</v>
      </c>
      <c r="C14" s="4" t="s">
        <v>188</v>
      </c>
      <c r="D14" s="4">
        <v>468</v>
      </c>
      <c r="E14" s="17">
        <v>0.21</v>
      </c>
    </row>
    <row r="15" spans="2:5" x14ac:dyDescent="0.25">
      <c r="B15" s="4" t="s">
        <v>89</v>
      </c>
      <c r="C15" s="4" t="s">
        <v>189</v>
      </c>
      <c r="D15" s="4">
        <v>203</v>
      </c>
      <c r="E15" s="17">
        <v>0.28000000000000003</v>
      </c>
    </row>
    <row r="16" spans="2:5" x14ac:dyDescent="0.25">
      <c r="B16" s="4" t="s">
        <v>90</v>
      </c>
      <c r="C16" s="4" t="s">
        <v>190</v>
      </c>
      <c r="D16" s="4">
        <v>436</v>
      </c>
      <c r="E16" s="17">
        <v>0.22</v>
      </c>
    </row>
    <row r="17" spans="2:5" x14ac:dyDescent="0.25">
      <c r="B17" s="4" t="s">
        <v>91</v>
      </c>
      <c r="C17" s="4" t="s">
        <v>191</v>
      </c>
      <c r="D17" s="4">
        <v>328</v>
      </c>
      <c r="E17" s="17">
        <v>0.12</v>
      </c>
    </row>
    <row r="18" spans="2:5" x14ac:dyDescent="0.25">
      <c r="B18" s="4" t="s">
        <v>92</v>
      </c>
      <c r="C18" s="4" t="s">
        <v>192</v>
      </c>
      <c r="D18" s="4">
        <v>328</v>
      </c>
      <c r="E18" s="17">
        <v>0.19</v>
      </c>
    </row>
    <row r="19" spans="2:5" x14ac:dyDescent="0.25">
      <c r="B19" s="4" t="s">
        <v>93</v>
      </c>
      <c r="C19" s="4" t="s">
        <v>193</v>
      </c>
      <c r="D19" s="4">
        <v>154</v>
      </c>
      <c r="E19" s="17">
        <v>0.21</v>
      </c>
    </row>
    <row r="20" spans="2:5" x14ac:dyDescent="0.25">
      <c r="B20" s="4" t="s">
        <v>94</v>
      </c>
      <c r="C20" s="4" t="s">
        <v>195</v>
      </c>
      <c r="D20" s="4">
        <v>200</v>
      </c>
      <c r="E20" s="17">
        <v>0.25</v>
      </c>
    </row>
    <row r="21" spans="2:5" x14ac:dyDescent="0.25">
      <c r="B21" s="4" t="s">
        <v>95</v>
      </c>
      <c r="C21" s="4" t="s">
        <v>196</v>
      </c>
      <c r="D21" s="4">
        <v>176</v>
      </c>
      <c r="E21" s="17">
        <v>0.06</v>
      </c>
    </row>
    <row r="22" spans="2:5" x14ac:dyDescent="0.25">
      <c r="B22" s="4" t="s">
        <v>96</v>
      </c>
      <c r="C22" s="4" t="s">
        <v>197</v>
      </c>
      <c r="D22" s="4">
        <v>54</v>
      </c>
      <c r="E22" s="17">
        <v>0.21</v>
      </c>
    </row>
    <row r="23" spans="2:5" x14ac:dyDescent="0.25">
      <c r="B23" s="4" t="s">
        <v>97</v>
      </c>
      <c r="C23" s="4" t="s">
        <v>198</v>
      </c>
      <c r="D23" s="4">
        <v>369</v>
      </c>
      <c r="E23" s="17">
        <v>0.13</v>
      </c>
    </row>
    <row r="24" spans="2:5" x14ac:dyDescent="0.25">
      <c r="B24" s="4" t="s">
        <v>98</v>
      </c>
      <c r="C24" s="4" t="s">
        <v>199</v>
      </c>
      <c r="D24" s="4">
        <v>292</v>
      </c>
      <c r="E24" s="17">
        <v>0.08</v>
      </c>
    </row>
    <row r="25" spans="2:5" x14ac:dyDescent="0.25">
      <c r="B25" s="4" t="s">
        <v>99</v>
      </c>
      <c r="C25" s="4" t="s">
        <v>200</v>
      </c>
      <c r="D25" s="4">
        <v>256</v>
      </c>
      <c r="E25" s="17">
        <v>0.09</v>
      </c>
    </row>
    <row r="26" spans="2:5" x14ac:dyDescent="0.25">
      <c r="B26" s="4" t="s">
        <v>100</v>
      </c>
      <c r="C26" s="4" t="s">
        <v>201</v>
      </c>
      <c r="D26" s="4">
        <v>390</v>
      </c>
      <c r="E26" s="17">
        <v>0.09</v>
      </c>
    </row>
    <row r="27" spans="2:5" x14ac:dyDescent="0.25">
      <c r="B27" s="4" t="s">
        <v>101</v>
      </c>
      <c r="C27" s="4" t="s">
        <v>202</v>
      </c>
      <c r="D27" s="4">
        <v>375</v>
      </c>
      <c r="E27" s="17">
        <v>0.21</v>
      </c>
    </row>
    <row r="28" spans="2:5" x14ac:dyDescent="0.25">
      <c r="B28" s="4" t="s">
        <v>102</v>
      </c>
      <c r="C28" s="4" t="s">
        <v>203</v>
      </c>
      <c r="D28" s="4">
        <v>220</v>
      </c>
      <c r="E28" s="17">
        <v>0.2</v>
      </c>
    </row>
    <row r="29" spans="2:5" x14ac:dyDescent="0.25">
      <c r="B29" s="4" t="s">
        <v>103</v>
      </c>
      <c r="C29" s="4" t="s">
        <v>204</v>
      </c>
      <c r="D29" s="4">
        <v>449</v>
      </c>
      <c r="E29" s="17">
        <v>0.05</v>
      </c>
    </row>
    <row r="30" spans="2:5" x14ac:dyDescent="0.25">
      <c r="B30" s="4" t="s">
        <v>104</v>
      </c>
      <c r="C30" s="4" t="s">
        <v>205</v>
      </c>
      <c r="D30" s="4">
        <v>153</v>
      </c>
      <c r="E30" s="17">
        <v>0.16</v>
      </c>
    </row>
    <row r="31" spans="2:5" x14ac:dyDescent="0.25">
      <c r="B31" s="4" t="s">
        <v>105</v>
      </c>
      <c r="C31" s="4" t="s">
        <v>206</v>
      </c>
      <c r="D31" s="4">
        <v>391</v>
      </c>
      <c r="E31" s="17">
        <v>0.24</v>
      </c>
    </row>
    <row r="32" spans="2:5" x14ac:dyDescent="0.25">
      <c r="B32" s="4" t="s">
        <v>106</v>
      </c>
      <c r="C32" s="4" t="s">
        <v>207</v>
      </c>
      <c r="D32" s="4">
        <v>318</v>
      </c>
      <c r="E32" s="17">
        <v>0.25</v>
      </c>
    </row>
    <row r="33" spans="2:5" x14ac:dyDescent="0.25">
      <c r="B33" s="4" t="s">
        <v>107</v>
      </c>
      <c r="C33" s="4" t="s">
        <v>208</v>
      </c>
      <c r="D33" s="4">
        <v>367</v>
      </c>
      <c r="E33" s="17">
        <v>0.18</v>
      </c>
    </row>
    <row r="34" spans="2:5" x14ac:dyDescent="0.25">
      <c r="B34" s="4" t="s">
        <v>108</v>
      </c>
      <c r="C34" s="4" t="s">
        <v>209</v>
      </c>
      <c r="D34" s="4">
        <v>216</v>
      </c>
      <c r="E34" s="17">
        <v>0.08</v>
      </c>
    </row>
    <row r="35" spans="2:5" x14ac:dyDescent="0.25">
      <c r="B35" s="4" t="s">
        <v>109</v>
      </c>
      <c r="C35" s="4" t="s">
        <v>210</v>
      </c>
      <c r="D35" s="4">
        <v>309</v>
      </c>
      <c r="E35" s="17">
        <v>0.14000000000000001</v>
      </c>
    </row>
    <row r="36" spans="2:5" x14ac:dyDescent="0.25">
      <c r="B36" s="4" t="s">
        <v>110</v>
      </c>
      <c r="C36" s="4" t="s">
        <v>211</v>
      </c>
      <c r="D36" s="4">
        <v>298</v>
      </c>
      <c r="E36" s="17">
        <v>0.16</v>
      </c>
    </row>
    <row r="37" spans="2:5" x14ac:dyDescent="0.25">
      <c r="B37" s="4" t="s">
        <v>111</v>
      </c>
      <c r="C37" s="4" t="s">
        <v>212</v>
      </c>
      <c r="D37" s="4">
        <v>143</v>
      </c>
      <c r="E37" s="17">
        <v>0.2</v>
      </c>
    </row>
    <row r="38" spans="2:5" x14ac:dyDescent="0.25">
      <c r="B38" s="4" t="s">
        <v>112</v>
      </c>
      <c r="C38" s="4" t="s">
        <v>213</v>
      </c>
      <c r="D38" s="4">
        <v>273</v>
      </c>
      <c r="E38" s="17">
        <v>0.13</v>
      </c>
    </row>
    <row r="39" spans="2:5" x14ac:dyDescent="0.25">
      <c r="B39" s="4" t="s">
        <v>113</v>
      </c>
      <c r="C39" s="4" t="s">
        <v>214</v>
      </c>
      <c r="D39" s="4">
        <v>357</v>
      </c>
      <c r="E39" s="17">
        <v>0.14000000000000001</v>
      </c>
    </row>
    <row r="40" spans="2:5" x14ac:dyDescent="0.25">
      <c r="B40" s="4" t="s">
        <v>114</v>
      </c>
      <c r="C40" s="4" t="s">
        <v>215</v>
      </c>
      <c r="D40" s="4">
        <v>53</v>
      </c>
      <c r="E40" s="17">
        <v>7.0000000000000007E-2</v>
      </c>
    </row>
    <row r="41" spans="2:5" x14ac:dyDescent="0.25">
      <c r="B41" s="4" t="s">
        <v>115</v>
      </c>
      <c r="C41" s="4" t="s">
        <v>216</v>
      </c>
      <c r="D41" s="4">
        <v>118</v>
      </c>
      <c r="E41" s="17">
        <v>0.26</v>
      </c>
    </row>
    <row r="42" spans="2:5" x14ac:dyDescent="0.25">
      <c r="B42" s="4" t="s">
        <v>116</v>
      </c>
      <c r="C42" s="4" t="s">
        <v>221</v>
      </c>
      <c r="D42" s="4">
        <v>251</v>
      </c>
      <c r="E42" s="17">
        <v>0.15</v>
      </c>
    </row>
    <row r="43" spans="2:5" x14ac:dyDescent="0.25">
      <c r="B43" s="4" t="s">
        <v>117</v>
      </c>
      <c r="C43" s="4" t="s">
        <v>222</v>
      </c>
      <c r="D43" s="4">
        <v>449</v>
      </c>
      <c r="E43" s="17">
        <v>0.19</v>
      </c>
    </row>
    <row r="44" spans="2:5" x14ac:dyDescent="0.25">
      <c r="B44" s="4" t="s">
        <v>118</v>
      </c>
      <c r="C44" s="4" t="s">
        <v>223</v>
      </c>
      <c r="D44" s="4">
        <v>185</v>
      </c>
      <c r="E44" s="17">
        <v>7.0000000000000007E-2</v>
      </c>
    </row>
    <row r="45" spans="2:5" x14ac:dyDescent="0.25">
      <c r="B45" s="4" t="s">
        <v>119</v>
      </c>
      <c r="C45" s="4" t="s">
        <v>224</v>
      </c>
      <c r="D45" s="4">
        <v>403</v>
      </c>
      <c r="E45" s="17">
        <v>0.24</v>
      </c>
    </row>
    <row r="46" spans="2:5" x14ac:dyDescent="0.25">
      <c r="B46" s="4" t="s">
        <v>120</v>
      </c>
      <c r="C46" s="4" t="s">
        <v>225</v>
      </c>
      <c r="D46" s="4">
        <v>82</v>
      </c>
      <c r="E46" s="17">
        <v>0.19</v>
      </c>
    </row>
    <row r="47" spans="2:5" x14ac:dyDescent="0.25">
      <c r="B47" s="4" t="s">
        <v>121</v>
      </c>
      <c r="C47" s="4" t="s">
        <v>226</v>
      </c>
      <c r="D47" s="4">
        <v>314</v>
      </c>
      <c r="E47" s="17">
        <v>0.2</v>
      </c>
    </row>
    <row r="48" spans="2:5" x14ac:dyDescent="0.25">
      <c r="B48" s="4" t="s">
        <v>122</v>
      </c>
      <c r="C48" s="4" t="s">
        <v>227</v>
      </c>
      <c r="D48" s="4">
        <v>403</v>
      </c>
      <c r="E48" s="17">
        <v>0.17</v>
      </c>
    </row>
    <row r="49" spans="2:5" x14ac:dyDescent="0.25">
      <c r="B49" s="4" t="s">
        <v>123</v>
      </c>
      <c r="C49" s="4" t="s">
        <v>228</v>
      </c>
      <c r="D49" s="4">
        <v>109</v>
      </c>
      <c r="E49" s="17">
        <v>0.16</v>
      </c>
    </row>
    <row r="50" spans="2:5" x14ac:dyDescent="0.25">
      <c r="B50" s="4" t="s">
        <v>124</v>
      </c>
      <c r="C50" s="4" t="s">
        <v>229</v>
      </c>
      <c r="D50" s="4">
        <v>470</v>
      </c>
      <c r="E50" s="17">
        <v>0.28000000000000003</v>
      </c>
    </row>
    <row r="51" spans="2:5" x14ac:dyDescent="0.25">
      <c r="B51" s="4" t="s">
        <v>125</v>
      </c>
      <c r="C51" s="4" t="s">
        <v>230</v>
      </c>
      <c r="D51" s="4">
        <v>230</v>
      </c>
      <c r="E51" s="17">
        <v>0.16</v>
      </c>
    </row>
    <row r="52" spans="2:5" x14ac:dyDescent="0.25">
      <c r="B52" s="4" t="s">
        <v>126</v>
      </c>
      <c r="C52" s="4" t="s">
        <v>231</v>
      </c>
      <c r="D52" s="4">
        <v>110</v>
      </c>
      <c r="E52" s="17">
        <v>0.16</v>
      </c>
    </row>
    <row r="53" spans="2:5" x14ac:dyDescent="0.25">
      <c r="B53" s="4" t="s">
        <v>127</v>
      </c>
      <c r="C53" s="4" t="s">
        <v>232</v>
      </c>
      <c r="D53" s="4">
        <v>484</v>
      </c>
      <c r="E53" s="17">
        <v>0.23</v>
      </c>
    </row>
    <row r="54" spans="2:5" x14ac:dyDescent="0.25">
      <c r="B54" s="4" t="s">
        <v>128</v>
      </c>
      <c r="C54" s="4" t="s">
        <v>233</v>
      </c>
      <c r="D54" s="4">
        <v>52</v>
      </c>
      <c r="E54" s="17">
        <v>0.11</v>
      </c>
    </row>
    <row r="55" spans="2:5" x14ac:dyDescent="0.25">
      <c r="B55" s="4" t="s">
        <v>129</v>
      </c>
      <c r="C55" s="4" t="s">
        <v>234</v>
      </c>
      <c r="D55" s="4">
        <v>429</v>
      </c>
      <c r="E55" s="17">
        <v>0.27</v>
      </c>
    </row>
    <row r="56" spans="2:5" x14ac:dyDescent="0.25">
      <c r="B56" s="4" t="s">
        <v>130</v>
      </c>
      <c r="C56" s="4" t="s">
        <v>235</v>
      </c>
      <c r="D56" s="4">
        <v>456</v>
      </c>
      <c r="E56" s="17">
        <v>7.0000000000000007E-2</v>
      </c>
    </row>
    <row r="57" spans="2:5" x14ac:dyDescent="0.25">
      <c r="B57" s="4" t="s">
        <v>131</v>
      </c>
      <c r="C57" s="4" t="s">
        <v>236</v>
      </c>
      <c r="D57" s="4">
        <v>339</v>
      </c>
      <c r="E57" s="17">
        <v>0.14000000000000001</v>
      </c>
    </row>
    <row r="58" spans="2:5" x14ac:dyDescent="0.25">
      <c r="B58" s="4" t="s">
        <v>132</v>
      </c>
      <c r="C58" s="4" t="s">
        <v>237</v>
      </c>
      <c r="D58" s="4">
        <v>322</v>
      </c>
      <c r="E58" s="17">
        <v>0.23</v>
      </c>
    </row>
    <row r="59" spans="2:5" x14ac:dyDescent="0.25">
      <c r="B59" s="4" t="s">
        <v>133</v>
      </c>
      <c r="C59" s="4" t="s">
        <v>238</v>
      </c>
      <c r="D59" s="4">
        <v>222</v>
      </c>
      <c r="E59" s="17">
        <v>0.14000000000000001</v>
      </c>
    </row>
    <row r="60" spans="2:5" x14ac:dyDescent="0.25">
      <c r="B60" s="4" t="s">
        <v>134</v>
      </c>
      <c r="C60" s="4" t="s">
        <v>239</v>
      </c>
      <c r="D60" s="4">
        <v>464</v>
      </c>
      <c r="E60" s="17">
        <v>0.23</v>
      </c>
    </row>
    <row r="61" spans="2:5" x14ac:dyDescent="0.25">
      <c r="B61" s="4" t="s">
        <v>135</v>
      </c>
      <c r="C61" s="4" t="s">
        <v>240</v>
      </c>
      <c r="D61" s="4">
        <v>291</v>
      </c>
      <c r="E61" s="17">
        <v>0.05</v>
      </c>
    </row>
    <row r="62" spans="2:5" x14ac:dyDescent="0.25">
      <c r="B62" s="4" t="s">
        <v>136</v>
      </c>
      <c r="C62" s="4" t="s">
        <v>241</v>
      </c>
      <c r="D62" s="4">
        <v>484</v>
      </c>
      <c r="E62" s="17">
        <v>0.09</v>
      </c>
    </row>
    <row r="63" spans="2:5" x14ac:dyDescent="0.25">
      <c r="B63" s="4" t="s">
        <v>137</v>
      </c>
      <c r="C63" s="4" t="s">
        <v>242</v>
      </c>
      <c r="D63" s="4">
        <v>228</v>
      </c>
      <c r="E63" s="17">
        <v>0.13</v>
      </c>
    </row>
    <row r="64" spans="2:5" x14ac:dyDescent="0.25">
      <c r="B64" s="4" t="s">
        <v>138</v>
      </c>
      <c r="C64" s="4" t="s">
        <v>243</v>
      </c>
      <c r="D64" s="4">
        <v>304</v>
      </c>
      <c r="E64" s="17">
        <v>0.23</v>
      </c>
    </row>
    <row r="65" spans="2:5" x14ac:dyDescent="0.25">
      <c r="B65" s="4" t="s">
        <v>139</v>
      </c>
      <c r="C65" s="4" t="s">
        <v>244</v>
      </c>
      <c r="D65" s="4">
        <v>379</v>
      </c>
      <c r="E65" s="17">
        <v>0.21</v>
      </c>
    </row>
    <row r="66" spans="2:5" x14ac:dyDescent="0.25">
      <c r="B66" s="4" t="s">
        <v>140</v>
      </c>
      <c r="C66" s="4" t="s">
        <v>245</v>
      </c>
      <c r="D66" s="4">
        <v>224</v>
      </c>
      <c r="E66" s="17">
        <v>0.23</v>
      </c>
    </row>
    <row r="67" spans="2:5" x14ac:dyDescent="0.25">
      <c r="B67" s="4" t="s">
        <v>141</v>
      </c>
      <c r="C67" s="4" t="s">
        <v>246</v>
      </c>
      <c r="D67" s="4">
        <v>439</v>
      </c>
      <c r="E67" s="17">
        <v>0.2</v>
      </c>
    </row>
    <row r="68" spans="2:5" x14ac:dyDescent="0.25">
      <c r="B68" s="4" t="s">
        <v>142</v>
      </c>
      <c r="C68" s="4" t="s">
        <v>247</v>
      </c>
      <c r="D68" s="4">
        <v>75</v>
      </c>
      <c r="E68" s="17">
        <v>0.22</v>
      </c>
    </row>
    <row r="69" spans="2:5" x14ac:dyDescent="0.25">
      <c r="B69" s="4" t="s">
        <v>143</v>
      </c>
      <c r="C69" s="4" t="s">
        <v>248</v>
      </c>
      <c r="D69" s="4">
        <v>187</v>
      </c>
      <c r="E69" s="17">
        <v>0.09</v>
      </c>
    </row>
    <row r="70" spans="2:5" x14ac:dyDescent="0.25">
      <c r="B70" s="4" t="s">
        <v>144</v>
      </c>
      <c r="C70" s="4" t="s">
        <v>249</v>
      </c>
      <c r="D70" s="4">
        <v>196</v>
      </c>
      <c r="E70" s="17">
        <v>0.09</v>
      </c>
    </row>
    <row r="71" spans="2:5" x14ac:dyDescent="0.25">
      <c r="B71" s="4" t="s">
        <v>145</v>
      </c>
      <c r="C71" s="4" t="s">
        <v>250</v>
      </c>
      <c r="D71" s="4">
        <v>419</v>
      </c>
      <c r="E71" s="17">
        <v>0.08</v>
      </c>
    </row>
    <row r="72" spans="2:5" x14ac:dyDescent="0.25">
      <c r="B72" s="4" t="s">
        <v>146</v>
      </c>
      <c r="C72" s="4" t="s">
        <v>251</v>
      </c>
      <c r="D72" s="4">
        <v>63</v>
      </c>
      <c r="E72" s="17">
        <v>0.18</v>
      </c>
    </row>
    <row r="73" spans="2:5" x14ac:dyDescent="0.25">
      <c r="B73" s="4" t="s">
        <v>147</v>
      </c>
      <c r="C73" s="4" t="s">
        <v>252</v>
      </c>
      <c r="D73" s="4">
        <v>283</v>
      </c>
      <c r="E73" s="17">
        <v>0.18</v>
      </c>
    </row>
    <row r="74" spans="2:5" x14ac:dyDescent="0.25">
      <c r="B74" s="4" t="s">
        <v>148</v>
      </c>
      <c r="C74" s="4" t="s">
        <v>253</v>
      </c>
      <c r="D74" s="4">
        <v>292</v>
      </c>
      <c r="E74" s="17">
        <v>0.08</v>
      </c>
    </row>
    <row r="75" spans="2:5" x14ac:dyDescent="0.25">
      <c r="B75" s="4" t="s">
        <v>149</v>
      </c>
      <c r="C75" s="4" t="s">
        <v>254</v>
      </c>
      <c r="D75" s="4">
        <v>124</v>
      </c>
      <c r="E75" s="17">
        <v>0.26</v>
      </c>
    </row>
    <row r="76" spans="2:5" x14ac:dyDescent="0.25">
      <c r="B76" s="4" t="s">
        <v>150</v>
      </c>
      <c r="C76" s="4" t="s">
        <v>255</v>
      </c>
      <c r="D76" s="4">
        <v>245</v>
      </c>
      <c r="E76" s="17">
        <v>0.15</v>
      </c>
    </row>
    <row r="77" spans="2:5" x14ac:dyDescent="0.25">
      <c r="B77" s="4" t="s">
        <v>151</v>
      </c>
      <c r="C77" s="4" t="s">
        <v>256</v>
      </c>
      <c r="D77" s="4">
        <v>420</v>
      </c>
      <c r="E77" s="17">
        <v>0.09</v>
      </c>
    </row>
    <row r="78" spans="2:5" x14ac:dyDescent="0.25">
      <c r="B78" s="4" t="s">
        <v>152</v>
      </c>
      <c r="C78" s="4" t="s">
        <v>257</v>
      </c>
      <c r="D78" s="4">
        <v>122</v>
      </c>
      <c r="E78" s="17">
        <v>0.13</v>
      </c>
    </row>
    <row r="79" spans="2:5" x14ac:dyDescent="0.25">
      <c r="B79" s="4" t="s">
        <v>153</v>
      </c>
      <c r="C79" s="4" t="s">
        <v>258</v>
      </c>
      <c r="D79" s="4">
        <v>368</v>
      </c>
      <c r="E79" s="17">
        <v>0.06</v>
      </c>
    </row>
    <row r="80" spans="2:5" x14ac:dyDescent="0.25">
      <c r="B80" s="4" t="s">
        <v>154</v>
      </c>
      <c r="C80" s="4" t="s">
        <v>259</v>
      </c>
      <c r="D80" s="4">
        <v>415</v>
      </c>
      <c r="E80" s="17">
        <v>0.25</v>
      </c>
    </row>
    <row r="81" spans="2:5" x14ac:dyDescent="0.25">
      <c r="B81" s="4" t="s">
        <v>155</v>
      </c>
      <c r="C81" s="4" t="s">
        <v>260</v>
      </c>
      <c r="D81" s="4">
        <v>461</v>
      </c>
      <c r="E81" s="17">
        <v>0.2</v>
      </c>
    </row>
    <row r="82" spans="2:5" x14ac:dyDescent="0.25">
      <c r="B82" s="4" t="s">
        <v>156</v>
      </c>
      <c r="C82" s="4" t="s">
        <v>261</v>
      </c>
      <c r="D82" s="4">
        <v>61</v>
      </c>
      <c r="E82" s="17">
        <v>0.26</v>
      </c>
    </row>
    <row r="83" spans="2:5" x14ac:dyDescent="0.25">
      <c r="B83" s="4" t="s">
        <v>157</v>
      </c>
      <c r="C83" s="4" t="s">
        <v>262</v>
      </c>
      <c r="D83" s="4">
        <v>456</v>
      </c>
      <c r="E83" s="17">
        <v>0.19</v>
      </c>
    </row>
    <row r="84" spans="2:5" x14ac:dyDescent="0.25">
      <c r="B84" s="4" t="s">
        <v>158</v>
      </c>
      <c r="C84" s="4" t="s">
        <v>264</v>
      </c>
      <c r="D84" s="4">
        <v>65</v>
      </c>
      <c r="E84" s="17">
        <v>0.26</v>
      </c>
    </row>
    <row r="85" spans="2:5" x14ac:dyDescent="0.25">
      <c r="B85" s="4" t="s">
        <v>159</v>
      </c>
      <c r="C85" s="4" t="s">
        <v>263</v>
      </c>
      <c r="D85" s="4">
        <v>74</v>
      </c>
      <c r="E85" s="17">
        <v>0.06</v>
      </c>
    </row>
    <row r="86" spans="2:5" x14ac:dyDescent="0.25">
      <c r="B86" s="4" t="s">
        <v>160</v>
      </c>
      <c r="C86" s="4" t="s">
        <v>265</v>
      </c>
      <c r="D86" s="4">
        <v>412</v>
      </c>
      <c r="E86" s="17">
        <v>0.11</v>
      </c>
    </row>
    <row r="87" spans="2:5" x14ac:dyDescent="0.25">
      <c r="B87" s="4" t="s">
        <v>161</v>
      </c>
      <c r="C87" s="4" t="s">
        <v>266</v>
      </c>
      <c r="D87" s="4">
        <v>341</v>
      </c>
      <c r="E87" s="17">
        <v>0.09</v>
      </c>
    </row>
    <row r="88" spans="2:5" x14ac:dyDescent="0.25">
      <c r="B88" s="4" t="s">
        <v>162</v>
      </c>
      <c r="C88" s="4" t="s">
        <v>267</v>
      </c>
      <c r="D88" s="4">
        <v>472</v>
      </c>
      <c r="E88" s="17">
        <v>0.21</v>
      </c>
    </row>
    <row r="89" spans="2:5" x14ac:dyDescent="0.25">
      <c r="B89" s="4" t="s">
        <v>163</v>
      </c>
      <c r="C89" s="4" t="s">
        <v>268</v>
      </c>
      <c r="D89" s="4">
        <v>325</v>
      </c>
      <c r="E89" s="17">
        <v>0.3</v>
      </c>
    </row>
    <row r="90" spans="2:5" x14ac:dyDescent="0.25">
      <c r="B90" s="4" t="s">
        <v>164</v>
      </c>
      <c r="C90" s="4" t="s">
        <v>269</v>
      </c>
      <c r="D90" s="4">
        <v>464</v>
      </c>
      <c r="E90" s="17">
        <v>0.1</v>
      </c>
    </row>
    <row r="91" spans="2:5" x14ac:dyDescent="0.25">
      <c r="B91" s="4" t="s">
        <v>165</v>
      </c>
      <c r="C91" s="4" t="s">
        <v>270</v>
      </c>
      <c r="D91" s="4">
        <v>143</v>
      </c>
      <c r="E91" s="17">
        <v>0.16</v>
      </c>
    </row>
    <row r="92" spans="2:5" x14ac:dyDescent="0.25">
      <c r="B92" s="4" t="s">
        <v>166</v>
      </c>
      <c r="C92" s="4" t="s">
        <v>271</v>
      </c>
      <c r="D92" s="4">
        <v>240</v>
      </c>
      <c r="E92" s="17">
        <v>0.06</v>
      </c>
    </row>
    <row r="93" spans="2:5" x14ac:dyDescent="0.25">
      <c r="B93" s="4" t="s">
        <v>167</v>
      </c>
      <c r="C93" s="4" t="s">
        <v>272</v>
      </c>
      <c r="D93" s="4">
        <v>371</v>
      </c>
      <c r="E93" s="17">
        <v>0.15</v>
      </c>
    </row>
    <row r="94" spans="2:5" x14ac:dyDescent="0.25">
      <c r="B94" s="4" t="s">
        <v>168</v>
      </c>
      <c r="C94" s="4" t="s">
        <v>273</v>
      </c>
      <c r="D94" s="4">
        <v>324</v>
      </c>
      <c r="E94" s="17">
        <v>0.19</v>
      </c>
    </row>
    <row r="95" spans="2:5" x14ac:dyDescent="0.25">
      <c r="B95" s="4" t="s">
        <v>169</v>
      </c>
      <c r="C95" s="4" t="s">
        <v>274</v>
      </c>
      <c r="D95" s="4">
        <v>208</v>
      </c>
      <c r="E95" s="17">
        <v>0.12</v>
      </c>
    </row>
    <row r="96" spans="2:5" x14ac:dyDescent="0.25">
      <c r="B96" s="4" t="s">
        <v>170</v>
      </c>
      <c r="C96" s="4" t="s">
        <v>275</v>
      </c>
      <c r="D96" s="4">
        <v>443</v>
      </c>
      <c r="E96" s="17">
        <v>0.28000000000000003</v>
      </c>
    </row>
    <row r="97" spans="2:5" x14ac:dyDescent="0.25">
      <c r="B97" s="4" t="s">
        <v>171</v>
      </c>
      <c r="C97" s="4" t="s">
        <v>276</v>
      </c>
      <c r="D97" s="4">
        <v>217</v>
      </c>
      <c r="E97" s="17">
        <v>0.11</v>
      </c>
    </row>
    <row r="98" spans="2:5" x14ac:dyDescent="0.25">
      <c r="B98" s="4" t="s">
        <v>172</v>
      </c>
      <c r="C98" s="4" t="s">
        <v>277</v>
      </c>
      <c r="D98" s="4">
        <v>134</v>
      </c>
      <c r="E98" s="17">
        <v>0.19</v>
      </c>
    </row>
    <row r="99" spans="2:5" x14ac:dyDescent="0.25">
      <c r="B99" s="4" t="s">
        <v>173</v>
      </c>
      <c r="C99" s="4" t="s">
        <v>278</v>
      </c>
      <c r="D99" s="4">
        <v>350</v>
      </c>
      <c r="E99" s="17">
        <v>0.11</v>
      </c>
    </row>
    <row r="100" spans="2:5" x14ac:dyDescent="0.25">
      <c r="B100" s="4" t="s">
        <v>174</v>
      </c>
      <c r="C100" s="4" t="s">
        <v>279</v>
      </c>
      <c r="D100" s="4">
        <v>94</v>
      </c>
      <c r="E100" s="17">
        <v>0.15</v>
      </c>
    </row>
    <row r="101" spans="2:5" x14ac:dyDescent="0.25">
      <c r="B101" s="4" t="s">
        <v>175</v>
      </c>
      <c r="C101" s="4" t="s">
        <v>280</v>
      </c>
      <c r="D101" s="4">
        <v>446</v>
      </c>
      <c r="E101" s="17">
        <v>7.0000000000000007E-2</v>
      </c>
    </row>
    <row r="102" spans="2:5" x14ac:dyDescent="0.25">
      <c r="B102" s="4" t="s">
        <v>176</v>
      </c>
      <c r="C102" s="4" t="s">
        <v>281</v>
      </c>
      <c r="D102" s="4">
        <v>423</v>
      </c>
      <c r="E102" s="17">
        <v>0.16</v>
      </c>
    </row>
    <row r="103" spans="2:5" x14ac:dyDescent="0.25">
      <c r="B103" s="4" t="s">
        <v>177</v>
      </c>
      <c r="C103" s="4" t="s">
        <v>282</v>
      </c>
      <c r="D103" s="4">
        <v>242</v>
      </c>
      <c r="E103" s="17">
        <v>0.15</v>
      </c>
    </row>
    <row r="104" spans="2:5" x14ac:dyDescent="0.25">
      <c r="B104" s="4" t="s">
        <v>178</v>
      </c>
      <c r="C104" s="4" t="s">
        <v>283</v>
      </c>
      <c r="D104" s="4">
        <v>339</v>
      </c>
      <c r="E104" s="17">
        <v>0.28000000000000003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F289-FF6D-40FB-BCD2-092366A82B1C}">
  <dimension ref="B2:I104"/>
  <sheetViews>
    <sheetView zoomScale="160" zoomScaleNormal="16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2" max="2" width="11.7109375" bestFit="1" customWidth="1"/>
    <col min="3" max="3" width="11.42578125" bestFit="1" customWidth="1"/>
    <col min="4" max="4" width="33.28515625" bestFit="1" customWidth="1"/>
    <col min="6" max="6" width="11" bestFit="1" customWidth="1"/>
  </cols>
  <sheetData>
    <row r="2" spans="2:9" x14ac:dyDescent="0.25">
      <c r="B2" s="43" t="s">
        <v>194</v>
      </c>
      <c r="C2" s="43"/>
      <c r="D2" s="43"/>
      <c r="E2" s="43"/>
      <c r="F2" s="43"/>
      <c r="G2" s="43"/>
      <c r="H2" s="43"/>
      <c r="I2" s="43"/>
    </row>
    <row r="3" spans="2:9" x14ac:dyDescent="0.25">
      <c r="B3" s="43"/>
      <c r="C3" s="43"/>
      <c r="D3" s="43"/>
      <c r="E3" s="43"/>
      <c r="F3" s="43"/>
      <c r="G3" s="43"/>
      <c r="H3" s="43"/>
      <c r="I3" s="43"/>
    </row>
    <row r="4" spans="2:9" x14ac:dyDescent="0.25">
      <c r="B4" s="25" t="s">
        <v>217</v>
      </c>
      <c r="C4" s="25" t="s">
        <v>75</v>
      </c>
      <c r="D4" s="25" t="s">
        <v>78</v>
      </c>
      <c r="E4" s="25" t="s">
        <v>76</v>
      </c>
      <c r="F4" s="25" t="s">
        <v>77</v>
      </c>
      <c r="G4" s="25" t="s">
        <v>218</v>
      </c>
      <c r="H4" s="25" t="s">
        <v>219</v>
      </c>
      <c r="I4" s="25" t="s">
        <v>220</v>
      </c>
    </row>
    <row r="5" spans="2:9" x14ac:dyDescent="0.25">
      <c r="B5" s="8">
        <v>1</v>
      </c>
      <c r="C5" s="8" t="s">
        <v>79</v>
      </c>
      <c r="D5" s="8" t="str">
        <f>IF(C5="","",VLOOKUP(C5,'Product Sheet'!$B$4:$E$104,2,FALSE))</f>
        <v>MousePad</v>
      </c>
      <c r="E5" s="8">
        <f>IF(C5="","",VLOOKUP(C5,'Product Sheet'!$B$4:$E$104,3,FALSE))</f>
        <v>461</v>
      </c>
      <c r="F5" s="16">
        <f>IF(C5="","",E5*VLOOKUP(C5,'Product Sheet'!$B$4:$E$104,4,FALSE))</f>
        <v>129.08000000000001</v>
      </c>
      <c r="G5" s="8">
        <f>E5+F5</f>
        <v>590.08000000000004</v>
      </c>
      <c r="H5" s="8">
        <v>10</v>
      </c>
      <c r="I5" s="8">
        <f>G5*H5</f>
        <v>5900.8</v>
      </c>
    </row>
    <row r="6" spans="2:9" x14ac:dyDescent="0.25">
      <c r="B6" s="8">
        <v>2</v>
      </c>
      <c r="C6" s="8" t="s">
        <v>80</v>
      </c>
      <c r="D6" s="8" t="str">
        <f>IF(C6="","",VLOOKUP(C6,'Product Sheet'!$B$4:$E$104,2,FALSE))</f>
        <v>Logitech Keyboard</v>
      </c>
      <c r="E6" s="8">
        <f>IF(C6="","",VLOOKUP(C6,'Product Sheet'!$B$4:$E$104,3,FALSE))</f>
        <v>452</v>
      </c>
      <c r="F6" s="16">
        <f>IF(C6="","",E6*VLOOKUP(C6,'Product Sheet'!$B$4:$E$104,4,FALSE))</f>
        <v>131.07999999999998</v>
      </c>
      <c r="G6" s="8">
        <f t="shared" ref="G6:G69" si="0">E6+F6</f>
        <v>583.07999999999993</v>
      </c>
      <c r="H6" s="8">
        <v>7</v>
      </c>
      <c r="I6" s="8">
        <f t="shared" ref="I6:I69" si="1">G6*H6</f>
        <v>4081.5599999999995</v>
      </c>
    </row>
    <row r="7" spans="2:9" x14ac:dyDescent="0.25">
      <c r="B7" s="8">
        <v>3</v>
      </c>
      <c r="C7" s="8" t="s">
        <v>81</v>
      </c>
      <c r="D7" s="8" t="str">
        <f>IF(C7="","",VLOOKUP(C7,'Product Sheet'!$B$4:$E$104,2,FALSE))</f>
        <v>Logitech Mouse</v>
      </c>
      <c r="E7" s="8">
        <f>IF(C7="","",VLOOKUP(C7,'Product Sheet'!$B$4:$E$104,3,FALSE))</f>
        <v>178</v>
      </c>
      <c r="F7" s="16">
        <f>IF(C7="","",E7*VLOOKUP(C7,'Product Sheet'!$B$4:$E$104,4,FALSE))</f>
        <v>19.580000000000002</v>
      </c>
      <c r="G7" s="8">
        <f t="shared" si="0"/>
        <v>197.58</v>
      </c>
      <c r="H7" s="8">
        <v>3</v>
      </c>
      <c r="I7" s="8">
        <f t="shared" si="1"/>
        <v>592.74</v>
      </c>
    </row>
    <row r="8" spans="2:9" x14ac:dyDescent="0.25">
      <c r="B8" s="8">
        <v>4</v>
      </c>
      <c r="C8" s="8" t="s">
        <v>82</v>
      </c>
      <c r="D8" s="8" t="str">
        <f>IF(C8="","",VLOOKUP(C8,'Product Sheet'!$B$4:$E$104,2,FALSE))</f>
        <v>Samsung S24 Ultra</v>
      </c>
      <c r="E8" s="8">
        <f>IF(C8="","",VLOOKUP(C8,'Product Sheet'!$B$4:$E$104,3,FALSE))</f>
        <v>299</v>
      </c>
      <c r="F8" s="16">
        <f>IF(C8="","",E8*VLOOKUP(C8,'Product Sheet'!$B$4:$E$104,4,FALSE))</f>
        <v>77.740000000000009</v>
      </c>
      <c r="G8" s="8">
        <f t="shared" si="0"/>
        <v>376.74</v>
      </c>
      <c r="H8" s="8">
        <v>9</v>
      </c>
      <c r="I8" s="8">
        <f t="shared" si="1"/>
        <v>3390.66</v>
      </c>
    </row>
    <row r="9" spans="2:9" x14ac:dyDescent="0.25">
      <c r="B9" s="8">
        <v>5</v>
      </c>
      <c r="C9" s="8" t="s">
        <v>83</v>
      </c>
      <c r="D9" s="8" t="str">
        <f>IF(C9="","",VLOOKUP(C9,'Product Sheet'!$B$4:$E$104,2,FALSE))</f>
        <v>Samsung SSD 1TB</v>
      </c>
      <c r="E9" s="8">
        <f>IF(C9="","",VLOOKUP(C9,'Product Sheet'!$B$4:$E$104,3,FALSE))</f>
        <v>449</v>
      </c>
      <c r="F9" s="16">
        <f>IF(C9="","",E9*VLOOKUP(C9,'Product Sheet'!$B$4:$E$104,4,FALSE))</f>
        <v>53.879999999999995</v>
      </c>
      <c r="G9" s="8">
        <f t="shared" si="0"/>
        <v>502.88</v>
      </c>
      <c r="H9" s="8">
        <v>2</v>
      </c>
      <c r="I9" s="8">
        <f t="shared" si="1"/>
        <v>1005.76</v>
      </c>
    </row>
    <row r="10" spans="2:9" x14ac:dyDescent="0.25">
      <c r="B10" s="8">
        <v>6</v>
      </c>
      <c r="C10" s="8" t="s">
        <v>84</v>
      </c>
      <c r="D10" s="8" t="str">
        <f>IF(C10="","",VLOOKUP(C10,'Product Sheet'!$B$4:$E$104,2,FALSE))</f>
        <v>Acer Monitor</v>
      </c>
      <c r="E10" s="8">
        <f>IF(C10="","",VLOOKUP(C10,'Product Sheet'!$B$4:$E$104,3,FALSE))</f>
        <v>357</v>
      </c>
      <c r="F10" s="16">
        <f>IF(C10="","",E10*VLOOKUP(C10,'Product Sheet'!$B$4:$E$104,4,FALSE))</f>
        <v>89.25</v>
      </c>
      <c r="G10" s="8">
        <f t="shared" si="0"/>
        <v>446.25</v>
      </c>
      <c r="H10" s="8">
        <v>10</v>
      </c>
      <c r="I10" s="8">
        <f t="shared" si="1"/>
        <v>4462.5</v>
      </c>
    </row>
    <row r="11" spans="2:9" x14ac:dyDescent="0.25">
      <c r="B11" s="8">
        <v>7</v>
      </c>
      <c r="C11" s="8" t="s">
        <v>85</v>
      </c>
      <c r="D11" s="8" t="str">
        <f>IF(C11="","",VLOOKUP(C11,'Product Sheet'!$B$4:$E$104,2,FALSE))</f>
        <v>Samsung Monitor</v>
      </c>
      <c r="E11" s="8">
        <f>IF(C11="","",VLOOKUP(C11,'Product Sheet'!$B$4:$E$104,3,FALSE))</f>
        <v>498</v>
      </c>
      <c r="F11" s="16">
        <f>IF(C11="","",E11*VLOOKUP(C11,'Product Sheet'!$B$4:$E$104,4,FALSE))</f>
        <v>119.52</v>
      </c>
      <c r="G11" s="8">
        <f t="shared" si="0"/>
        <v>617.52</v>
      </c>
      <c r="H11" s="8">
        <v>3</v>
      </c>
      <c r="I11" s="8">
        <f t="shared" si="1"/>
        <v>1852.56</v>
      </c>
    </row>
    <row r="12" spans="2:9" x14ac:dyDescent="0.25">
      <c r="B12" s="8">
        <v>8</v>
      </c>
      <c r="C12" s="8" t="s">
        <v>86</v>
      </c>
      <c r="D12" s="8" t="str">
        <f>IF(C12="","",VLOOKUP(C12,'Product Sheet'!$B$4:$E$104,2,FALSE))</f>
        <v>DDR5 Ram 16 GB</v>
      </c>
      <c r="E12" s="8">
        <f>IF(C12="","",VLOOKUP(C12,'Product Sheet'!$B$4:$E$104,3,FALSE))</f>
        <v>385</v>
      </c>
      <c r="F12" s="16">
        <f>IF(C12="","",E12*VLOOKUP(C12,'Product Sheet'!$B$4:$E$104,4,FALSE))</f>
        <v>111.64999999999999</v>
      </c>
      <c r="G12" s="8">
        <f t="shared" si="0"/>
        <v>496.65</v>
      </c>
      <c r="H12" s="8">
        <v>7</v>
      </c>
      <c r="I12" s="8">
        <f t="shared" si="1"/>
        <v>3476.5499999999997</v>
      </c>
    </row>
    <row r="13" spans="2:9" x14ac:dyDescent="0.25">
      <c r="B13" s="8">
        <v>9</v>
      </c>
      <c r="C13" s="8" t="s">
        <v>87</v>
      </c>
      <c r="D13" s="8" t="str">
        <f>IF(C13="","",VLOOKUP(C13,'Product Sheet'!$B$4:$E$104,2,FALSE))</f>
        <v>MotherBoard</v>
      </c>
      <c r="E13" s="8">
        <f>IF(C13="","",VLOOKUP(C13,'Product Sheet'!$B$4:$E$104,3,FALSE))</f>
        <v>83</v>
      </c>
      <c r="F13" s="16">
        <f>IF(C13="","",E13*VLOOKUP(C13,'Product Sheet'!$B$4:$E$104,4,FALSE))</f>
        <v>4.1500000000000004</v>
      </c>
      <c r="G13" s="8">
        <f t="shared" si="0"/>
        <v>87.15</v>
      </c>
      <c r="H13" s="8">
        <v>7</v>
      </c>
      <c r="I13" s="8">
        <f t="shared" si="1"/>
        <v>610.05000000000007</v>
      </c>
    </row>
    <row r="14" spans="2:9" x14ac:dyDescent="0.25">
      <c r="B14" s="8">
        <v>10</v>
      </c>
      <c r="C14" s="8" t="s">
        <v>88</v>
      </c>
      <c r="D14" s="8" t="str">
        <f>IF(C14="","",VLOOKUP(C14,'Product Sheet'!$B$4:$E$104,2,FALSE))</f>
        <v>MSI Laptop</v>
      </c>
      <c r="E14" s="8">
        <f>IF(C14="","",VLOOKUP(C14,'Product Sheet'!$B$4:$E$104,3,FALSE))</f>
        <v>468</v>
      </c>
      <c r="F14" s="16">
        <f>IF(C14="","",E14*VLOOKUP(C14,'Product Sheet'!$B$4:$E$104,4,FALSE))</f>
        <v>98.28</v>
      </c>
      <c r="G14" s="8">
        <f t="shared" si="0"/>
        <v>566.28</v>
      </c>
      <c r="H14" s="8">
        <v>5</v>
      </c>
      <c r="I14" s="8">
        <f t="shared" si="1"/>
        <v>2831.3999999999996</v>
      </c>
    </row>
    <row r="15" spans="2:9" x14ac:dyDescent="0.25">
      <c r="B15" s="8">
        <v>11</v>
      </c>
      <c r="C15" s="8" t="s">
        <v>89</v>
      </c>
      <c r="D15" s="8" t="str">
        <f>IF(C15="","",VLOOKUP(C15,'Product Sheet'!$B$4:$E$104,2,FALSE))</f>
        <v>Macbook</v>
      </c>
      <c r="E15" s="8">
        <f>IF(C15="","",VLOOKUP(C15,'Product Sheet'!$B$4:$E$104,3,FALSE))</f>
        <v>203</v>
      </c>
      <c r="F15" s="16">
        <f>IF(C15="","",E15*VLOOKUP(C15,'Product Sheet'!$B$4:$E$104,4,FALSE))</f>
        <v>56.84</v>
      </c>
      <c r="G15" s="8">
        <f t="shared" si="0"/>
        <v>259.84000000000003</v>
      </c>
      <c r="H15" s="8">
        <v>5</v>
      </c>
      <c r="I15" s="8">
        <f t="shared" si="1"/>
        <v>1299.2000000000003</v>
      </c>
    </row>
    <row r="16" spans="2:9" x14ac:dyDescent="0.25">
      <c r="B16" s="8">
        <v>12</v>
      </c>
      <c r="C16" s="8" t="s">
        <v>90</v>
      </c>
      <c r="D16" s="8" t="str">
        <f>IF(C16="","",VLOOKUP(C16,'Product Sheet'!$B$4:$E$104,2,FALSE))</f>
        <v>IMAC</v>
      </c>
      <c r="E16" s="8">
        <f>IF(C16="","",VLOOKUP(C16,'Product Sheet'!$B$4:$E$104,3,FALSE))</f>
        <v>436</v>
      </c>
      <c r="F16" s="16">
        <f>IF(C16="","",E16*VLOOKUP(C16,'Product Sheet'!$B$4:$E$104,4,FALSE))</f>
        <v>95.92</v>
      </c>
      <c r="G16" s="8">
        <f t="shared" si="0"/>
        <v>531.91999999999996</v>
      </c>
      <c r="H16" s="8">
        <v>8</v>
      </c>
      <c r="I16" s="8">
        <f t="shared" si="1"/>
        <v>4255.3599999999997</v>
      </c>
    </row>
    <row r="17" spans="2:9" x14ac:dyDescent="0.25">
      <c r="B17" s="8">
        <v>13</v>
      </c>
      <c r="C17" s="8" t="s">
        <v>91</v>
      </c>
      <c r="D17" s="8" t="str">
        <f>IF(C17="","",VLOOKUP(C17,'Product Sheet'!$B$4:$E$104,2,FALSE))</f>
        <v>Iphone 14 Pro</v>
      </c>
      <c r="E17" s="8">
        <f>IF(C17="","",VLOOKUP(C17,'Product Sheet'!$B$4:$E$104,3,FALSE))</f>
        <v>328</v>
      </c>
      <c r="F17" s="16">
        <f>IF(C17="","",E17*VLOOKUP(C17,'Product Sheet'!$B$4:$E$104,4,FALSE))</f>
        <v>39.36</v>
      </c>
      <c r="G17" s="8">
        <f t="shared" si="0"/>
        <v>367.36</v>
      </c>
      <c r="H17" s="8">
        <v>5</v>
      </c>
      <c r="I17" s="8">
        <f t="shared" si="1"/>
        <v>1836.8000000000002</v>
      </c>
    </row>
    <row r="18" spans="2:9" x14ac:dyDescent="0.25">
      <c r="B18" s="8">
        <v>14</v>
      </c>
      <c r="C18" s="8" t="s">
        <v>92</v>
      </c>
      <c r="D18" s="8" t="str">
        <f>IF(C18="","",VLOOKUP(C18,'Product Sheet'!$B$4:$E$104,2,FALSE))</f>
        <v>Airpods</v>
      </c>
      <c r="E18" s="8">
        <f>IF(C18="","",VLOOKUP(C18,'Product Sheet'!$B$4:$E$104,3,FALSE))</f>
        <v>328</v>
      </c>
      <c r="F18" s="16">
        <f>IF(C18="","",E18*VLOOKUP(C18,'Product Sheet'!$B$4:$E$104,4,FALSE))</f>
        <v>62.32</v>
      </c>
      <c r="G18" s="8">
        <f t="shared" si="0"/>
        <v>390.32</v>
      </c>
      <c r="H18" s="8">
        <v>2</v>
      </c>
      <c r="I18" s="8">
        <f t="shared" si="1"/>
        <v>780.64</v>
      </c>
    </row>
    <row r="19" spans="2:9" x14ac:dyDescent="0.25">
      <c r="B19" s="8">
        <v>15</v>
      </c>
      <c r="C19" s="8" t="s">
        <v>93</v>
      </c>
      <c r="D19" s="8" t="str">
        <f>IF(C19="","",VLOOKUP(C19,'Product Sheet'!$B$4:$E$104,2,FALSE))</f>
        <v>Samsung Earbuds</v>
      </c>
      <c r="E19" s="8">
        <f>IF(C19="","",VLOOKUP(C19,'Product Sheet'!$B$4:$E$104,3,FALSE))</f>
        <v>154</v>
      </c>
      <c r="F19" s="16">
        <f>IF(C19="","",E19*VLOOKUP(C19,'Product Sheet'!$B$4:$E$104,4,FALSE))</f>
        <v>32.339999999999996</v>
      </c>
      <c r="G19" s="8">
        <f t="shared" si="0"/>
        <v>186.34</v>
      </c>
      <c r="H19" s="8">
        <v>8</v>
      </c>
      <c r="I19" s="8">
        <f t="shared" si="1"/>
        <v>1490.72</v>
      </c>
    </row>
    <row r="20" spans="2:9" x14ac:dyDescent="0.25">
      <c r="B20" s="8">
        <v>16</v>
      </c>
      <c r="C20" s="8" t="s">
        <v>94</v>
      </c>
      <c r="D20" s="8" t="str">
        <f>IF(C20="","",VLOOKUP(C20,'Product Sheet'!$B$4:$E$104,2,FALSE))</f>
        <v>Magsafe Powerbank</v>
      </c>
      <c r="E20" s="8">
        <f>IF(C20="","",VLOOKUP(C20,'Product Sheet'!$B$4:$E$104,3,FALSE))</f>
        <v>200</v>
      </c>
      <c r="F20" s="16">
        <f>IF(C20="","",E20*VLOOKUP(C20,'Product Sheet'!$B$4:$E$104,4,FALSE))</f>
        <v>50</v>
      </c>
      <c r="G20" s="8">
        <f t="shared" si="0"/>
        <v>250</v>
      </c>
      <c r="H20" s="8">
        <v>9</v>
      </c>
      <c r="I20" s="8">
        <f t="shared" si="1"/>
        <v>2250</v>
      </c>
    </row>
    <row r="21" spans="2:9" x14ac:dyDescent="0.25">
      <c r="B21" s="8">
        <v>17</v>
      </c>
      <c r="C21" s="8" t="s">
        <v>95</v>
      </c>
      <c r="D21" s="8" t="str">
        <f>IF(C21="","",VLOOKUP(C21,'Product Sheet'!$B$4:$E$104,2,FALSE))</f>
        <v>Ant-E Sports Cabinet</v>
      </c>
      <c r="E21" s="8">
        <f>IF(C21="","",VLOOKUP(C21,'Product Sheet'!$B$4:$E$104,3,FALSE))</f>
        <v>176</v>
      </c>
      <c r="F21" s="16">
        <f>IF(C21="","",E21*VLOOKUP(C21,'Product Sheet'!$B$4:$E$104,4,FALSE))</f>
        <v>10.559999999999999</v>
      </c>
      <c r="G21" s="8">
        <f t="shared" si="0"/>
        <v>186.56</v>
      </c>
      <c r="H21" s="8">
        <v>4</v>
      </c>
      <c r="I21" s="8">
        <f t="shared" si="1"/>
        <v>746.24</v>
      </c>
    </row>
    <row r="22" spans="2:9" x14ac:dyDescent="0.25">
      <c r="B22" s="8">
        <v>18</v>
      </c>
      <c r="C22" s="8" t="s">
        <v>96</v>
      </c>
      <c r="D22" s="8" t="str">
        <f>IF(C22="","",VLOOKUP(C22,'Product Sheet'!$B$4:$E$104,2,FALSE))</f>
        <v>250W Power Supply</v>
      </c>
      <c r="E22" s="8">
        <f>IF(C22="","",VLOOKUP(C22,'Product Sheet'!$B$4:$E$104,3,FALSE))</f>
        <v>54</v>
      </c>
      <c r="F22" s="16">
        <f>IF(C22="","",E22*VLOOKUP(C22,'Product Sheet'!$B$4:$E$104,4,FALSE))</f>
        <v>11.34</v>
      </c>
      <c r="G22" s="8">
        <f t="shared" si="0"/>
        <v>65.34</v>
      </c>
      <c r="H22" s="8">
        <v>5</v>
      </c>
      <c r="I22" s="8">
        <f t="shared" si="1"/>
        <v>326.70000000000005</v>
      </c>
    </row>
    <row r="23" spans="2:9" x14ac:dyDescent="0.25">
      <c r="B23" s="8">
        <v>19</v>
      </c>
      <c r="C23" s="8" t="s">
        <v>97</v>
      </c>
      <c r="D23" s="8" t="str">
        <f>IF(C23="","",VLOOKUP(C23,'Product Sheet'!$B$4:$E$104,2,FALSE))</f>
        <v>Portronics Wireless Mouse</v>
      </c>
      <c r="E23" s="8">
        <f>IF(C23="","",VLOOKUP(C23,'Product Sheet'!$B$4:$E$104,3,FALSE))</f>
        <v>369</v>
      </c>
      <c r="F23" s="16">
        <f>IF(C23="","",E23*VLOOKUP(C23,'Product Sheet'!$B$4:$E$104,4,FALSE))</f>
        <v>47.97</v>
      </c>
      <c r="G23" s="8">
        <f t="shared" si="0"/>
        <v>416.97</v>
      </c>
      <c r="H23" s="8">
        <v>9</v>
      </c>
      <c r="I23" s="8">
        <f t="shared" si="1"/>
        <v>3752.7300000000005</v>
      </c>
    </row>
    <row r="24" spans="2:9" x14ac:dyDescent="0.25">
      <c r="B24" s="8">
        <v>20</v>
      </c>
      <c r="C24" s="8" t="s">
        <v>98</v>
      </c>
      <c r="D24" s="8" t="str">
        <f>IF(C24="","",VLOOKUP(C24,'Product Sheet'!$B$4:$E$104,2,FALSE))</f>
        <v>Laptop Stand</v>
      </c>
      <c r="E24" s="8">
        <f>IF(C24="","",VLOOKUP(C24,'Product Sheet'!$B$4:$E$104,3,FALSE))</f>
        <v>292</v>
      </c>
      <c r="F24" s="16">
        <f>IF(C24="","",E24*VLOOKUP(C24,'Product Sheet'!$B$4:$E$104,4,FALSE))</f>
        <v>23.36</v>
      </c>
      <c r="G24" s="8">
        <f t="shared" si="0"/>
        <v>315.36</v>
      </c>
      <c r="H24" s="8">
        <v>6</v>
      </c>
      <c r="I24" s="8">
        <f t="shared" si="1"/>
        <v>1892.16</v>
      </c>
    </row>
    <row r="25" spans="2:9" x14ac:dyDescent="0.25">
      <c r="B25" s="8">
        <v>21</v>
      </c>
      <c r="C25" s="8" t="s">
        <v>99</v>
      </c>
      <c r="D25" s="8" t="str">
        <f>IF(C25="","",VLOOKUP(C25,'Product Sheet'!$B$4:$E$104,2,FALSE))</f>
        <v>Wireless GamePad</v>
      </c>
      <c r="E25" s="8">
        <f>IF(C25="","",VLOOKUP(C25,'Product Sheet'!$B$4:$E$104,3,FALSE))</f>
        <v>256</v>
      </c>
      <c r="F25" s="16">
        <f>IF(C25="","",E25*VLOOKUP(C25,'Product Sheet'!$B$4:$E$104,4,FALSE))</f>
        <v>23.04</v>
      </c>
      <c r="G25" s="8">
        <f t="shared" si="0"/>
        <v>279.04000000000002</v>
      </c>
      <c r="H25" s="8">
        <v>7</v>
      </c>
      <c r="I25" s="8">
        <f t="shared" si="1"/>
        <v>1953.2800000000002</v>
      </c>
    </row>
    <row r="26" spans="2:9" x14ac:dyDescent="0.25">
      <c r="B26" s="8">
        <v>22</v>
      </c>
      <c r="C26" s="8" t="s">
        <v>100</v>
      </c>
      <c r="D26" s="8" t="str">
        <f>IF(C26="","",VLOOKUP(C26,'Product Sheet'!$B$4:$E$104,2,FALSE))</f>
        <v>Wired GamePad</v>
      </c>
      <c r="E26" s="8">
        <f>IF(C26="","",VLOOKUP(C26,'Product Sheet'!$B$4:$E$104,3,FALSE))</f>
        <v>390</v>
      </c>
      <c r="F26" s="16">
        <f>IF(C26="","",E26*VLOOKUP(C26,'Product Sheet'!$B$4:$E$104,4,FALSE))</f>
        <v>35.1</v>
      </c>
      <c r="G26" s="8">
        <f t="shared" si="0"/>
        <v>425.1</v>
      </c>
      <c r="H26" s="8">
        <v>4</v>
      </c>
      <c r="I26" s="8">
        <f t="shared" si="1"/>
        <v>1700.4</v>
      </c>
    </row>
    <row r="27" spans="2:9" x14ac:dyDescent="0.25">
      <c r="B27" s="8">
        <v>23</v>
      </c>
      <c r="C27" s="8" t="s">
        <v>101</v>
      </c>
      <c r="D27" s="8" t="str">
        <f>IF(C27="","",VLOOKUP(C27,'Product Sheet'!$B$4:$E$104,2,FALSE))</f>
        <v>ACER 4K Monitor 244 Hz</v>
      </c>
      <c r="E27" s="8">
        <f>IF(C27="","",VLOOKUP(C27,'Product Sheet'!$B$4:$E$104,3,FALSE))</f>
        <v>375</v>
      </c>
      <c r="F27" s="16">
        <f>IF(C27="","",E27*VLOOKUP(C27,'Product Sheet'!$B$4:$E$104,4,FALSE))</f>
        <v>78.75</v>
      </c>
      <c r="G27" s="8">
        <f t="shared" si="0"/>
        <v>453.75</v>
      </c>
      <c r="H27" s="8">
        <v>2</v>
      </c>
      <c r="I27" s="8">
        <f t="shared" si="1"/>
        <v>907.5</v>
      </c>
    </row>
    <row r="28" spans="2:9" x14ac:dyDescent="0.25">
      <c r="B28" s="8">
        <v>24</v>
      </c>
      <c r="C28" s="8" t="s">
        <v>102</v>
      </c>
      <c r="D28" s="8" t="str">
        <f>IF(C28="","",VLOOKUP(C28,'Product Sheet'!$B$4:$E$104,2,FALSE))</f>
        <v>Laptop Bag</v>
      </c>
      <c r="E28" s="8">
        <f>IF(C28="","",VLOOKUP(C28,'Product Sheet'!$B$4:$E$104,3,FALSE))</f>
        <v>220</v>
      </c>
      <c r="F28" s="16">
        <f>IF(C28="","",E28*VLOOKUP(C28,'Product Sheet'!$B$4:$E$104,4,FALSE))</f>
        <v>44</v>
      </c>
      <c r="G28" s="8">
        <f t="shared" si="0"/>
        <v>264</v>
      </c>
      <c r="H28" s="8">
        <v>2</v>
      </c>
      <c r="I28" s="8">
        <f t="shared" si="1"/>
        <v>528</v>
      </c>
    </row>
    <row r="29" spans="2:9" x14ac:dyDescent="0.25">
      <c r="B29" s="8">
        <v>25</v>
      </c>
      <c r="C29" s="8" t="s">
        <v>103</v>
      </c>
      <c r="D29" s="8" t="str">
        <f>IF(C29="","",VLOOKUP(C29,'Product Sheet'!$B$4:$E$104,2,FALSE))</f>
        <v>RTX 3050Ti Graphic Card</v>
      </c>
      <c r="E29" s="8">
        <f>IF(C29="","",VLOOKUP(C29,'Product Sheet'!$B$4:$E$104,3,FALSE))</f>
        <v>449</v>
      </c>
      <c r="F29" s="16">
        <f>IF(C29="","",E29*VLOOKUP(C29,'Product Sheet'!$B$4:$E$104,4,FALSE))</f>
        <v>22.450000000000003</v>
      </c>
      <c r="G29" s="8">
        <f t="shared" si="0"/>
        <v>471.45</v>
      </c>
      <c r="H29" s="8">
        <v>9</v>
      </c>
      <c r="I29" s="8">
        <f t="shared" si="1"/>
        <v>4243.05</v>
      </c>
    </row>
    <row r="30" spans="2:9" x14ac:dyDescent="0.25">
      <c r="B30" s="8">
        <v>26</v>
      </c>
      <c r="C30" s="8" t="s">
        <v>104</v>
      </c>
      <c r="D30" s="8" t="str">
        <f>IF(C30="","",VLOOKUP(C30,'Product Sheet'!$B$4:$E$104,2,FALSE))</f>
        <v>RTX 4050 Ti Graphic Card</v>
      </c>
      <c r="E30" s="8">
        <f>IF(C30="","",VLOOKUP(C30,'Product Sheet'!$B$4:$E$104,3,FALSE))</f>
        <v>153</v>
      </c>
      <c r="F30" s="16">
        <f>IF(C30="","",E30*VLOOKUP(C30,'Product Sheet'!$B$4:$E$104,4,FALSE))</f>
        <v>24.48</v>
      </c>
      <c r="G30" s="8">
        <f t="shared" si="0"/>
        <v>177.48</v>
      </c>
      <c r="H30" s="8">
        <v>10</v>
      </c>
      <c r="I30" s="8">
        <f t="shared" si="1"/>
        <v>1774.8</v>
      </c>
    </row>
    <row r="31" spans="2:9" x14ac:dyDescent="0.25">
      <c r="B31" s="8">
        <v>27</v>
      </c>
      <c r="C31" s="8" t="s">
        <v>105</v>
      </c>
      <c r="D31" s="8" t="str">
        <f>IF(C31="","",VLOOKUP(C31,'Product Sheet'!$B$4:$E$104,2,FALSE))</f>
        <v>MineCraft Java Edition</v>
      </c>
      <c r="E31" s="8">
        <f>IF(C31="","",VLOOKUP(C31,'Product Sheet'!$B$4:$E$104,3,FALSE))</f>
        <v>391</v>
      </c>
      <c r="F31" s="16">
        <f>IF(C31="","",E31*VLOOKUP(C31,'Product Sheet'!$B$4:$E$104,4,FALSE))</f>
        <v>93.84</v>
      </c>
      <c r="G31" s="8">
        <f t="shared" si="0"/>
        <v>484.84000000000003</v>
      </c>
      <c r="H31" s="8">
        <v>8</v>
      </c>
      <c r="I31" s="8">
        <f t="shared" si="1"/>
        <v>3878.7200000000003</v>
      </c>
    </row>
    <row r="32" spans="2:9" x14ac:dyDescent="0.25">
      <c r="B32" s="8">
        <v>28</v>
      </c>
      <c r="C32" s="8" t="s">
        <v>106</v>
      </c>
      <c r="D32" s="8" t="str">
        <f>IF(C32="","",VLOOKUP(C32,'Product Sheet'!$B$4:$E$104,2,FALSE))</f>
        <v>MineCraft Bedrock Edition</v>
      </c>
      <c r="E32" s="8">
        <f>IF(C32="","",VLOOKUP(C32,'Product Sheet'!$B$4:$E$104,3,FALSE))</f>
        <v>318</v>
      </c>
      <c r="F32" s="16">
        <f>IF(C32="","",E32*VLOOKUP(C32,'Product Sheet'!$B$4:$E$104,4,FALSE))</f>
        <v>79.5</v>
      </c>
      <c r="G32" s="8">
        <f t="shared" si="0"/>
        <v>397.5</v>
      </c>
      <c r="H32" s="8">
        <v>6</v>
      </c>
      <c r="I32" s="8">
        <f t="shared" si="1"/>
        <v>2385</v>
      </c>
    </row>
    <row r="33" spans="2:9" x14ac:dyDescent="0.25">
      <c r="B33" s="8">
        <v>29</v>
      </c>
      <c r="C33" s="8" t="s">
        <v>107</v>
      </c>
      <c r="D33" s="8" t="str">
        <f>IF(C33="","",VLOOKUP(C33,'Product Sheet'!$B$4:$E$104,2,FALSE))</f>
        <v>Microsoft Office 365</v>
      </c>
      <c r="E33" s="8">
        <f>IF(C33="","",VLOOKUP(C33,'Product Sheet'!$B$4:$E$104,3,FALSE))</f>
        <v>367</v>
      </c>
      <c r="F33" s="16">
        <f>IF(C33="","",E33*VLOOKUP(C33,'Product Sheet'!$B$4:$E$104,4,FALSE))</f>
        <v>66.06</v>
      </c>
      <c r="G33" s="8">
        <f t="shared" si="0"/>
        <v>433.06</v>
      </c>
      <c r="H33" s="8">
        <v>9</v>
      </c>
      <c r="I33" s="8">
        <f t="shared" si="1"/>
        <v>3897.54</v>
      </c>
    </row>
    <row r="34" spans="2:9" x14ac:dyDescent="0.25">
      <c r="B34" s="8">
        <v>30</v>
      </c>
      <c r="C34" s="8" t="s">
        <v>108</v>
      </c>
      <c r="D34" s="8" t="str">
        <f>IF(C34="","",VLOOKUP(C34,'Product Sheet'!$B$4:$E$104,2,FALSE))</f>
        <v>Normal Calculator</v>
      </c>
      <c r="E34" s="8">
        <f>IF(C34="","",VLOOKUP(C34,'Product Sheet'!$B$4:$E$104,3,FALSE))</f>
        <v>216</v>
      </c>
      <c r="F34" s="16">
        <f>IF(C34="","",E34*VLOOKUP(C34,'Product Sheet'!$B$4:$E$104,4,FALSE))</f>
        <v>17.28</v>
      </c>
      <c r="G34" s="8">
        <f t="shared" si="0"/>
        <v>233.28</v>
      </c>
      <c r="H34" s="8">
        <v>3</v>
      </c>
      <c r="I34" s="8">
        <f t="shared" si="1"/>
        <v>699.84</v>
      </c>
    </row>
    <row r="35" spans="2:9" x14ac:dyDescent="0.25">
      <c r="B35" s="8">
        <v>31</v>
      </c>
      <c r="C35" s="8" t="s">
        <v>109</v>
      </c>
      <c r="D35" s="8" t="str">
        <f>IF(C35="","",VLOOKUP(C35,'Product Sheet'!$B$4:$E$104,2,FALSE))</f>
        <v>Scientific Calculator</v>
      </c>
      <c r="E35" s="8">
        <f>IF(C35="","",VLOOKUP(C35,'Product Sheet'!$B$4:$E$104,3,FALSE))</f>
        <v>309</v>
      </c>
      <c r="F35" s="16">
        <f>IF(C35="","",E35*VLOOKUP(C35,'Product Sheet'!$B$4:$E$104,4,FALSE))</f>
        <v>43.260000000000005</v>
      </c>
      <c r="G35" s="8">
        <f t="shared" si="0"/>
        <v>352.26</v>
      </c>
      <c r="H35" s="8">
        <v>5</v>
      </c>
      <c r="I35" s="8">
        <f t="shared" si="1"/>
        <v>1761.3</v>
      </c>
    </row>
    <row r="36" spans="2:9" x14ac:dyDescent="0.25">
      <c r="B36" s="8">
        <v>32</v>
      </c>
      <c r="C36" s="8" t="s">
        <v>110</v>
      </c>
      <c r="D36" s="8" t="str">
        <f>IF(C36="","",VLOOKUP(C36,'Product Sheet'!$B$4:$E$104,2,FALSE))</f>
        <v>Windows11 Key</v>
      </c>
      <c r="E36" s="8">
        <f>IF(C36="","",VLOOKUP(C36,'Product Sheet'!$B$4:$E$104,3,FALSE))</f>
        <v>298</v>
      </c>
      <c r="F36" s="16">
        <f>IF(C36="","",E36*VLOOKUP(C36,'Product Sheet'!$B$4:$E$104,4,FALSE))</f>
        <v>47.68</v>
      </c>
      <c r="G36" s="8">
        <f t="shared" si="0"/>
        <v>345.68</v>
      </c>
      <c r="H36" s="8">
        <v>5</v>
      </c>
      <c r="I36" s="8">
        <f t="shared" si="1"/>
        <v>1728.4</v>
      </c>
    </row>
    <row r="37" spans="2:9" x14ac:dyDescent="0.25">
      <c r="B37" s="8">
        <v>33</v>
      </c>
      <c r="C37" s="8" t="s">
        <v>111</v>
      </c>
      <c r="D37" s="8" t="str">
        <f>IF(C37="","",VLOOKUP(C37,'Product Sheet'!$B$4:$E$104,2,FALSE))</f>
        <v>Boat Earbuds</v>
      </c>
      <c r="E37" s="8">
        <f>IF(C37="","",VLOOKUP(C37,'Product Sheet'!$B$4:$E$104,3,FALSE))</f>
        <v>143</v>
      </c>
      <c r="F37" s="16">
        <f>IF(C37="","",E37*VLOOKUP(C37,'Product Sheet'!$B$4:$E$104,4,FALSE))</f>
        <v>28.6</v>
      </c>
      <c r="G37" s="8">
        <f t="shared" si="0"/>
        <v>171.6</v>
      </c>
      <c r="H37" s="8">
        <v>6</v>
      </c>
      <c r="I37" s="8">
        <f t="shared" si="1"/>
        <v>1029.5999999999999</v>
      </c>
    </row>
    <row r="38" spans="2:9" x14ac:dyDescent="0.25">
      <c r="B38" s="8">
        <v>34</v>
      </c>
      <c r="C38" s="8" t="s">
        <v>112</v>
      </c>
      <c r="D38" s="8" t="str">
        <f>IF(C38="","",VLOOKUP(C38,'Product Sheet'!$B$4:$E$104,2,FALSE))</f>
        <v>Boat Soundbar</v>
      </c>
      <c r="E38" s="8">
        <f>IF(C38="","",VLOOKUP(C38,'Product Sheet'!$B$4:$E$104,3,FALSE))</f>
        <v>273</v>
      </c>
      <c r="F38" s="16">
        <f>IF(C38="","",E38*VLOOKUP(C38,'Product Sheet'!$B$4:$E$104,4,FALSE))</f>
        <v>35.49</v>
      </c>
      <c r="G38" s="8">
        <f t="shared" si="0"/>
        <v>308.49</v>
      </c>
      <c r="H38" s="8">
        <v>8</v>
      </c>
      <c r="I38" s="8">
        <f t="shared" si="1"/>
        <v>2467.92</v>
      </c>
    </row>
    <row r="39" spans="2:9" x14ac:dyDescent="0.25">
      <c r="B39" s="8">
        <v>35</v>
      </c>
      <c r="C39" s="8" t="s">
        <v>113</v>
      </c>
      <c r="D39" s="8" t="str">
        <f>IF(C39="","",VLOOKUP(C39,'Product Sheet'!$B$4:$E$104,2,FALSE))</f>
        <v>Samsung 8K OLED TV</v>
      </c>
      <c r="E39" s="8">
        <f>IF(C39="","",VLOOKUP(C39,'Product Sheet'!$B$4:$E$104,3,FALSE))</f>
        <v>357</v>
      </c>
      <c r="F39" s="16">
        <f>IF(C39="","",E39*VLOOKUP(C39,'Product Sheet'!$B$4:$E$104,4,FALSE))</f>
        <v>49.980000000000004</v>
      </c>
      <c r="G39" s="8">
        <f t="shared" si="0"/>
        <v>406.98</v>
      </c>
      <c r="H39" s="8">
        <v>1</v>
      </c>
      <c r="I39" s="8">
        <f t="shared" si="1"/>
        <v>406.98</v>
      </c>
    </row>
    <row r="40" spans="2:9" x14ac:dyDescent="0.25">
      <c r="B40" s="8">
        <v>36</v>
      </c>
      <c r="C40" s="8" t="s">
        <v>114</v>
      </c>
      <c r="D40" s="8" t="str">
        <f>IF(C40="","",VLOOKUP(C40,'Product Sheet'!$B$4:$E$104,2,FALSE))</f>
        <v>Ant-E Sports Gaming Wheel</v>
      </c>
      <c r="E40" s="8">
        <f>IF(C40="","",VLOOKUP(C40,'Product Sheet'!$B$4:$E$104,3,FALSE))</f>
        <v>53</v>
      </c>
      <c r="F40" s="16">
        <f>IF(C40="","",E40*VLOOKUP(C40,'Product Sheet'!$B$4:$E$104,4,FALSE))</f>
        <v>3.7100000000000004</v>
      </c>
      <c r="G40" s="8">
        <f t="shared" si="0"/>
        <v>56.71</v>
      </c>
      <c r="H40" s="8">
        <v>4</v>
      </c>
      <c r="I40" s="8">
        <f t="shared" si="1"/>
        <v>226.84</v>
      </c>
    </row>
    <row r="41" spans="2:9" x14ac:dyDescent="0.25">
      <c r="B41" s="8">
        <v>37</v>
      </c>
      <c r="C41" s="8" t="s">
        <v>115</v>
      </c>
      <c r="D41" s="8" t="str">
        <f>IF(C41="","",VLOOKUP(C41,'Product Sheet'!$B$4:$E$104,2,FALSE))</f>
        <v>Forza Horizon 5</v>
      </c>
      <c r="E41" s="8">
        <f>IF(C41="","",VLOOKUP(C41,'Product Sheet'!$B$4:$E$104,3,FALSE))</f>
        <v>118</v>
      </c>
      <c r="F41" s="16">
        <f>IF(C41="","",E41*VLOOKUP(C41,'Product Sheet'!$B$4:$E$104,4,FALSE))</f>
        <v>30.68</v>
      </c>
      <c r="G41" s="8">
        <f t="shared" si="0"/>
        <v>148.68</v>
      </c>
      <c r="H41" s="8">
        <v>6</v>
      </c>
      <c r="I41" s="8">
        <f t="shared" si="1"/>
        <v>892.08</v>
      </c>
    </row>
    <row r="42" spans="2:9" x14ac:dyDescent="0.25">
      <c r="B42" s="8">
        <v>38</v>
      </c>
      <c r="C42" s="8" t="s">
        <v>116</v>
      </c>
      <c r="D42" s="8" t="str">
        <f>IF(C42="","",VLOOKUP(C42,'Product Sheet'!$B$4:$E$104,2,FALSE))</f>
        <v>Jainex Switch</v>
      </c>
      <c r="E42" s="8">
        <f>IF(C42="","",VLOOKUP(C42,'Product Sheet'!$B$4:$E$104,3,FALSE))</f>
        <v>251</v>
      </c>
      <c r="F42" s="16">
        <f>IF(C42="","",E42*VLOOKUP(C42,'Product Sheet'!$B$4:$E$104,4,FALSE))</f>
        <v>37.65</v>
      </c>
      <c r="G42" s="8">
        <f t="shared" si="0"/>
        <v>288.64999999999998</v>
      </c>
      <c r="H42" s="8">
        <v>7</v>
      </c>
      <c r="I42" s="8">
        <f t="shared" si="1"/>
        <v>2020.5499999999997</v>
      </c>
    </row>
    <row r="43" spans="2:9" x14ac:dyDescent="0.25">
      <c r="B43" s="8">
        <v>39</v>
      </c>
      <c r="C43" s="8" t="s">
        <v>117</v>
      </c>
      <c r="D43" s="8" t="str">
        <f>IF(C43="","",VLOOKUP(C43,'Product Sheet'!$B$4:$E$104,2,FALSE))</f>
        <v>Computer Table (Normal)</v>
      </c>
      <c r="E43" s="8">
        <f>IF(C43="","",VLOOKUP(C43,'Product Sheet'!$B$4:$E$104,3,FALSE))</f>
        <v>449</v>
      </c>
      <c r="F43" s="16">
        <f>IF(C43="","",E43*VLOOKUP(C43,'Product Sheet'!$B$4:$E$104,4,FALSE))</f>
        <v>85.31</v>
      </c>
      <c r="G43" s="8">
        <f t="shared" si="0"/>
        <v>534.30999999999995</v>
      </c>
      <c r="H43" s="8">
        <v>7</v>
      </c>
      <c r="I43" s="8">
        <f t="shared" si="1"/>
        <v>3740.1699999999996</v>
      </c>
    </row>
    <row r="44" spans="2:9" x14ac:dyDescent="0.25">
      <c r="B44" s="8">
        <v>40</v>
      </c>
      <c r="C44" s="8" t="s">
        <v>118</v>
      </c>
      <c r="D44" s="8" t="str">
        <f>IF(C44="","",VLOOKUP(C44,'Product Sheet'!$B$4:$E$104,2,FALSE))</f>
        <v>Computer Table (Adjustable)</v>
      </c>
      <c r="E44" s="8">
        <f>IF(C44="","",VLOOKUP(C44,'Product Sheet'!$B$4:$E$104,3,FALSE))</f>
        <v>185</v>
      </c>
      <c r="F44" s="16">
        <f>IF(C44="","",E44*VLOOKUP(C44,'Product Sheet'!$B$4:$E$104,4,FALSE))</f>
        <v>12.950000000000001</v>
      </c>
      <c r="G44" s="8">
        <f t="shared" si="0"/>
        <v>197.95</v>
      </c>
      <c r="H44" s="8">
        <v>4</v>
      </c>
      <c r="I44" s="8">
        <f t="shared" si="1"/>
        <v>791.8</v>
      </c>
    </row>
    <row r="45" spans="2:9" x14ac:dyDescent="0.25">
      <c r="B45" s="8">
        <v>41</v>
      </c>
      <c r="C45" s="8" t="s">
        <v>119</v>
      </c>
      <c r="D45" s="8" t="str">
        <f>IF(C45="","",VLOOKUP(C45,'Product Sheet'!$B$4:$E$104,2,FALSE))</f>
        <v>Ipad Mini</v>
      </c>
      <c r="E45" s="8">
        <f>IF(C45="","",VLOOKUP(C45,'Product Sheet'!$B$4:$E$104,3,FALSE))</f>
        <v>403</v>
      </c>
      <c r="F45" s="16">
        <f>IF(C45="","",E45*VLOOKUP(C45,'Product Sheet'!$B$4:$E$104,4,FALSE))</f>
        <v>96.72</v>
      </c>
      <c r="G45" s="8">
        <f t="shared" si="0"/>
        <v>499.72</v>
      </c>
      <c r="H45" s="8">
        <v>1</v>
      </c>
      <c r="I45" s="8">
        <f t="shared" si="1"/>
        <v>499.72</v>
      </c>
    </row>
    <row r="46" spans="2:9" x14ac:dyDescent="0.25">
      <c r="B46" s="8">
        <v>42</v>
      </c>
      <c r="C46" s="8" t="s">
        <v>120</v>
      </c>
      <c r="D46" s="8" t="str">
        <f>IF(C46="","",VLOOKUP(C46,'Product Sheet'!$B$4:$E$104,2,FALSE))</f>
        <v>Macbook Pro M4</v>
      </c>
      <c r="E46" s="8">
        <f>IF(C46="","",VLOOKUP(C46,'Product Sheet'!$B$4:$E$104,3,FALSE))</f>
        <v>82</v>
      </c>
      <c r="F46" s="16">
        <f>IF(C46="","",E46*VLOOKUP(C46,'Product Sheet'!$B$4:$E$104,4,FALSE))</f>
        <v>15.58</v>
      </c>
      <c r="G46" s="8">
        <f t="shared" si="0"/>
        <v>97.58</v>
      </c>
      <c r="H46" s="8">
        <v>3</v>
      </c>
      <c r="I46" s="8">
        <f t="shared" si="1"/>
        <v>292.74</v>
      </c>
    </row>
    <row r="47" spans="2:9" x14ac:dyDescent="0.25">
      <c r="B47" s="8">
        <v>43</v>
      </c>
      <c r="C47" s="8" t="s">
        <v>121</v>
      </c>
      <c r="D47" s="8" t="str">
        <f>IF(C47="","",VLOOKUP(C47,'Product Sheet'!$B$4:$E$104,2,FALSE))</f>
        <v>Macbook Pro M5</v>
      </c>
      <c r="E47" s="8">
        <f>IF(C47="","",VLOOKUP(C47,'Product Sheet'!$B$4:$E$104,3,FALSE))</f>
        <v>314</v>
      </c>
      <c r="F47" s="16">
        <f>IF(C47="","",E47*VLOOKUP(C47,'Product Sheet'!$B$4:$E$104,4,FALSE))</f>
        <v>62.800000000000004</v>
      </c>
      <c r="G47" s="8">
        <f t="shared" si="0"/>
        <v>376.8</v>
      </c>
      <c r="H47" s="8">
        <v>8</v>
      </c>
      <c r="I47" s="8">
        <f t="shared" si="1"/>
        <v>3014.4</v>
      </c>
    </row>
    <row r="48" spans="2:9" x14ac:dyDescent="0.25">
      <c r="B48" s="8">
        <v>44</v>
      </c>
      <c r="C48" s="8" t="s">
        <v>122</v>
      </c>
      <c r="D48" s="8" t="str">
        <f>IF(C48="","",VLOOKUP(C48,'Product Sheet'!$B$4:$E$104,2,FALSE))</f>
        <v>DDR4 RAM 16GB</v>
      </c>
      <c r="E48" s="8">
        <f>IF(C48="","",VLOOKUP(C48,'Product Sheet'!$B$4:$E$104,3,FALSE))</f>
        <v>403</v>
      </c>
      <c r="F48" s="16">
        <f>IF(C48="","",E48*VLOOKUP(C48,'Product Sheet'!$B$4:$E$104,4,FALSE))</f>
        <v>68.510000000000005</v>
      </c>
      <c r="G48" s="8">
        <f t="shared" si="0"/>
        <v>471.51</v>
      </c>
      <c r="H48" s="8">
        <v>3</v>
      </c>
      <c r="I48" s="8">
        <f t="shared" si="1"/>
        <v>1414.53</v>
      </c>
    </row>
    <row r="49" spans="2:9" x14ac:dyDescent="0.25">
      <c r="B49" s="8">
        <v>45</v>
      </c>
      <c r="C49" s="8" t="s">
        <v>123</v>
      </c>
      <c r="D49" s="8" t="str">
        <f>IF(C49="","",VLOOKUP(C49,'Product Sheet'!$B$4:$E$104,2,FALSE))</f>
        <v>Ipad Pro</v>
      </c>
      <c r="E49" s="8">
        <f>IF(C49="","",VLOOKUP(C49,'Product Sheet'!$B$4:$E$104,3,FALSE))</f>
        <v>109</v>
      </c>
      <c r="F49" s="16">
        <f>IF(C49="","",E49*VLOOKUP(C49,'Product Sheet'!$B$4:$E$104,4,FALSE))</f>
        <v>17.440000000000001</v>
      </c>
      <c r="G49" s="8">
        <f t="shared" si="0"/>
        <v>126.44</v>
      </c>
      <c r="H49" s="8">
        <v>4</v>
      </c>
      <c r="I49" s="8">
        <f t="shared" si="1"/>
        <v>505.76</v>
      </c>
    </row>
    <row r="50" spans="2:9" x14ac:dyDescent="0.25">
      <c r="B50" s="8">
        <v>46</v>
      </c>
      <c r="C50" s="8" t="s">
        <v>124</v>
      </c>
      <c r="D50" s="8" t="str">
        <f>IF(C50="","",VLOOKUP(C50,'Product Sheet'!$B$4:$E$104,2,FALSE))</f>
        <v>HP Printer</v>
      </c>
      <c r="E50" s="8">
        <f>IF(C50="","",VLOOKUP(C50,'Product Sheet'!$B$4:$E$104,3,FALSE))</f>
        <v>470</v>
      </c>
      <c r="F50" s="16">
        <f>IF(C50="","",E50*VLOOKUP(C50,'Product Sheet'!$B$4:$E$104,4,FALSE))</f>
        <v>131.60000000000002</v>
      </c>
      <c r="G50" s="8">
        <f t="shared" si="0"/>
        <v>601.6</v>
      </c>
      <c r="H50" s="8">
        <v>7</v>
      </c>
      <c r="I50" s="8">
        <f t="shared" si="1"/>
        <v>4211.2</v>
      </c>
    </row>
    <row r="51" spans="2:9" x14ac:dyDescent="0.25">
      <c r="B51" s="8">
        <v>47</v>
      </c>
      <c r="C51" s="8" t="s">
        <v>125</v>
      </c>
      <c r="D51" s="8" t="str">
        <f>IF(C51="","",VLOOKUP(C51,'Product Sheet'!$B$4:$E$104,2,FALSE))</f>
        <v>LED Bulb</v>
      </c>
      <c r="E51" s="8">
        <f>IF(C51="","",VLOOKUP(C51,'Product Sheet'!$B$4:$E$104,3,FALSE))</f>
        <v>230</v>
      </c>
      <c r="F51" s="16">
        <f>IF(C51="","",E51*VLOOKUP(C51,'Product Sheet'!$B$4:$E$104,4,FALSE))</f>
        <v>36.800000000000004</v>
      </c>
      <c r="G51" s="8">
        <f t="shared" si="0"/>
        <v>266.8</v>
      </c>
      <c r="H51" s="8">
        <v>8</v>
      </c>
      <c r="I51" s="8">
        <f t="shared" si="1"/>
        <v>2134.4</v>
      </c>
    </row>
    <row r="52" spans="2:9" x14ac:dyDescent="0.25">
      <c r="B52" s="8">
        <v>48</v>
      </c>
      <c r="C52" s="8" t="s">
        <v>126</v>
      </c>
      <c r="D52" s="8" t="str">
        <f>IF(C52="","",VLOOKUP(C52,'Product Sheet'!$B$4:$E$104,2,FALSE))</f>
        <v>LED Multicolour Light</v>
      </c>
      <c r="E52" s="8">
        <f>IF(C52="","",VLOOKUP(C52,'Product Sheet'!$B$4:$E$104,3,FALSE))</f>
        <v>110</v>
      </c>
      <c r="F52" s="16">
        <f>IF(C52="","",E52*VLOOKUP(C52,'Product Sheet'!$B$4:$E$104,4,FALSE))</f>
        <v>17.600000000000001</v>
      </c>
      <c r="G52" s="8">
        <f t="shared" si="0"/>
        <v>127.6</v>
      </c>
      <c r="H52" s="8">
        <v>8</v>
      </c>
      <c r="I52" s="8">
        <f t="shared" si="1"/>
        <v>1020.8</v>
      </c>
    </row>
    <row r="53" spans="2:9" x14ac:dyDescent="0.25">
      <c r="B53" s="8">
        <v>49</v>
      </c>
      <c r="C53" s="8" t="s">
        <v>127</v>
      </c>
      <c r="D53" s="8" t="str">
        <f>IF(C53="","",VLOOKUP(C53,'Product Sheet'!$B$4:$E$104,2,FALSE))</f>
        <v>Gold Foil</v>
      </c>
      <c r="E53" s="8">
        <f>IF(C53="","",VLOOKUP(C53,'Product Sheet'!$B$4:$E$104,3,FALSE))</f>
        <v>484</v>
      </c>
      <c r="F53" s="16">
        <f>IF(C53="","",E53*VLOOKUP(C53,'Product Sheet'!$B$4:$E$104,4,FALSE))</f>
        <v>111.32000000000001</v>
      </c>
      <c r="G53" s="8">
        <f t="shared" si="0"/>
        <v>595.32000000000005</v>
      </c>
      <c r="H53" s="8">
        <v>1</v>
      </c>
      <c r="I53" s="8">
        <f t="shared" si="1"/>
        <v>595.32000000000005</v>
      </c>
    </row>
    <row r="54" spans="2:9" x14ac:dyDescent="0.25">
      <c r="B54" s="8">
        <v>50</v>
      </c>
      <c r="C54" s="8" t="s">
        <v>128</v>
      </c>
      <c r="D54" s="8" t="str">
        <f>IF(C54="","",VLOOKUP(C54,'Product Sheet'!$B$4:$E$104,2,FALSE))</f>
        <v>Apple Watch</v>
      </c>
      <c r="E54" s="8">
        <f>IF(C54="","",VLOOKUP(C54,'Product Sheet'!$B$4:$E$104,3,FALSE))</f>
        <v>52</v>
      </c>
      <c r="F54" s="16">
        <f>IF(C54="","",E54*VLOOKUP(C54,'Product Sheet'!$B$4:$E$104,4,FALSE))</f>
        <v>5.72</v>
      </c>
      <c r="G54" s="8">
        <f t="shared" si="0"/>
        <v>57.72</v>
      </c>
      <c r="H54" s="8">
        <v>6</v>
      </c>
      <c r="I54" s="8">
        <f t="shared" si="1"/>
        <v>346.32</v>
      </c>
    </row>
    <row r="55" spans="2:9" x14ac:dyDescent="0.25">
      <c r="B55" s="8">
        <v>51</v>
      </c>
      <c r="C55" s="8" t="s">
        <v>129</v>
      </c>
      <c r="D55" s="8" t="str">
        <f>IF(C55="","",VLOOKUP(C55,'Product Sheet'!$B$4:$E$104,2,FALSE))</f>
        <v>Samsung Smart Watch</v>
      </c>
      <c r="E55" s="8">
        <f>IF(C55="","",VLOOKUP(C55,'Product Sheet'!$B$4:$E$104,3,FALSE))</f>
        <v>429</v>
      </c>
      <c r="F55" s="16">
        <f>IF(C55="","",E55*VLOOKUP(C55,'Product Sheet'!$B$4:$E$104,4,FALSE))</f>
        <v>115.83000000000001</v>
      </c>
      <c r="G55" s="8">
        <f t="shared" si="0"/>
        <v>544.83000000000004</v>
      </c>
      <c r="H55" s="8">
        <v>10</v>
      </c>
      <c r="I55" s="8">
        <f t="shared" si="1"/>
        <v>5448.3</v>
      </c>
    </row>
    <row r="56" spans="2:9" x14ac:dyDescent="0.25">
      <c r="B56" s="8">
        <v>52</v>
      </c>
      <c r="C56" s="8" t="s">
        <v>130</v>
      </c>
      <c r="D56" s="8" t="str">
        <f>IF(C56="","",VLOOKUP(C56,'Product Sheet'!$B$4:$E$104,2,FALSE))</f>
        <v>Noise Smart Watch</v>
      </c>
      <c r="E56" s="8">
        <f>IF(C56="","",VLOOKUP(C56,'Product Sheet'!$B$4:$E$104,3,FALSE))</f>
        <v>456</v>
      </c>
      <c r="F56" s="16">
        <f>IF(C56="","",E56*VLOOKUP(C56,'Product Sheet'!$B$4:$E$104,4,FALSE))</f>
        <v>31.92</v>
      </c>
      <c r="G56" s="8">
        <f t="shared" si="0"/>
        <v>487.92</v>
      </c>
      <c r="H56" s="8">
        <v>2</v>
      </c>
      <c r="I56" s="8">
        <f t="shared" si="1"/>
        <v>975.84</v>
      </c>
    </row>
    <row r="57" spans="2:9" x14ac:dyDescent="0.25">
      <c r="B57" s="8">
        <v>53</v>
      </c>
      <c r="C57" s="8" t="s">
        <v>131</v>
      </c>
      <c r="D57" s="8" t="str">
        <f>IF(C57="","",VLOOKUP(C57,'Product Sheet'!$B$4:$E$104,2,FALSE))</f>
        <v>Normal Chair</v>
      </c>
      <c r="E57" s="8">
        <f>IF(C57="","",VLOOKUP(C57,'Product Sheet'!$B$4:$E$104,3,FALSE))</f>
        <v>339</v>
      </c>
      <c r="F57" s="16">
        <f>IF(C57="","",E57*VLOOKUP(C57,'Product Sheet'!$B$4:$E$104,4,FALSE))</f>
        <v>47.460000000000008</v>
      </c>
      <c r="G57" s="8">
        <f t="shared" si="0"/>
        <v>386.46000000000004</v>
      </c>
      <c r="H57" s="8">
        <v>7</v>
      </c>
      <c r="I57" s="8">
        <f t="shared" si="1"/>
        <v>2705.2200000000003</v>
      </c>
    </row>
    <row r="58" spans="2:9" x14ac:dyDescent="0.25">
      <c r="B58" s="8">
        <v>54</v>
      </c>
      <c r="C58" s="8" t="s">
        <v>132</v>
      </c>
      <c r="D58" s="8" t="str">
        <f>IF(C58="","",VLOOKUP(C58,'Product Sheet'!$B$4:$E$104,2,FALSE))</f>
        <v>Gaming Chair</v>
      </c>
      <c r="E58" s="8">
        <f>IF(C58="","",VLOOKUP(C58,'Product Sheet'!$B$4:$E$104,3,FALSE))</f>
        <v>322</v>
      </c>
      <c r="F58" s="16">
        <f>IF(C58="","",E58*VLOOKUP(C58,'Product Sheet'!$B$4:$E$104,4,FALSE))</f>
        <v>74.06</v>
      </c>
      <c r="G58" s="8">
        <f t="shared" si="0"/>
        <v>396.06</v>
      </c>
      <c r="H58" s="8">
        <v>5</v>
      </c>
      <c r="I58" s="8">
        <f t="shared" si="1"/>
        <v>1980.3</v>
      </c>
    </row>
    <row r="59" spans="2:9" x14ac:dyDescent="0.25">
      <c r="B59" s="8">
        <v>55</v>
      </c>
      <c r="C59" s="8" t="s">
        <v>133</v>
      </c>
      <c r="D59" s="8" t="str">
        <f>IF(C59="","",VLOOKUP(C59,'Product Sheet'!$B$4:$E$104,2,FALSE))</f>
        <v>Laptop Charger</v>
      </c>
      <c r="E59" s="8">
        <f>IF(C59="","",VLOOKUP(C59,'Product Sheet'!$B$4:$E$104,3,FALSE))</f>
        <v>222</v>
      </c>
      <c r="F59" s="16">
        <f>IF(C59="","",E59*VLOOKUP(C59,'Product Sheet'!$B$4:$E$104,4,FALSE))</f>
        <v>31.080000000000002</v>
      </c>
      <c r="G59" s="8">
        <f t="shared" si="0"/>
        <v>253.08</v>
      </c>
      <c r="H59" s="8">
        <v>9</v>
      </c>
      <c r="I59" s="8">
        <f t="shared" si="1"/>
        <v>2277.7200000000003</v>
      </c>
    </row>
    <row r="60" spans="2:9" x14ac:dyDescent="0.25">
      <c r="B60" s="8">
        <v>56</v>
      </c>
      <c r="C60" s="8" t="s">
        <v>134</v>
      </c>
      <c r="D60" s="8" t="str">
        <f>IF(C60="","",VLOOKUP(C60,'Product Sheet'!$B$4:$E$104,2,FALSE))</f>
        <v>Phone Charger</v>
      </c>
      <c r="E60" s="8">
        <f>IF(C60="","",VLOOKUP(C60,'Product Sheet'!$B$4:$E$104,3,FALSE))</f>
        <v>464</v>
      </c>
      <c r="F60" s="16">
        <f>IF(C60="","",E60*VLOOKUP(C60,'Product Sheet'!$B$4:$E$104,4,FALSE))</f>
        <v>106.72</v>
      </c>
      <c r="G60" s="8">
        <f t="shared" si="0"/>
        <v>570.72</v>
      </c>
      <c r="H60" s="8">
        <v>5</v>
      </c>
      <c r="I60" s="8">
        <f t="shared" si="1"/>
        <v>2853.6000000000004</v>
      </c>
    </row>
    <row r="61" spans="2:9" x14ac:dyDescent="0.25">
      <c r="B61" s="8">
        <v>57</v>
      </c>
      <c r="C61" s="8" t="s">
        <v>135</v>
      </c>
      <c r="D61" s="8" t="str">
        <f>IF(C61="","",VLOOKUP(C61,'Product Sheet'!$B$4:$E$104,2,FALSE))</f>
        <v>Power Cable</v>
      </c>
      <c r="E61" s="8">
        <f>IF(C61="","",VLOOKUP(C61,'Product Sheet'!$B$4:$E$104,3,FALSE))</f>
        <v>291</v>
      </c>
      <c r="F61" s="16">
        <f>IF(C61="","",E61*VLOOKUP(C61,'Product Sheet'!$B$4:$E$104,4,FALSE))</f>
        <v>14.55</v>
      </c>
      <c r="G61" s="8">
        <f t="shared" si="0"/>
        <v>305.55</v>
      </c>
      <c r="H61" s="8">
        <v>7</v>
      </c>
      <c r="I61" s="8">
        <f t="shared" si="1"/>
        <v>2138.85</v>
      </c>
    </row>
    <row r="62" spans="2:9" x14ac:dyDescent="0.25">
      <c r="B62" s="8">
        <v>58</v>
      </c>
      <c r="C62" s="8" t="s">
        <v>136</v>
      </c>
      <c r="D62" s="8" t="str">
        <f>IF(C62="","",VLOOKUP(C62,'Product Sheet'!$B$4:$E$104,2,FALSE))</f>
        <v>RDR2</v>
      </c>
      <c r="E62" s="8">
        <f>IF(C62="","",VLOOKUP(C62,'Product Sheet'!$B$4:$E$104,3,FALSE))</f>
        <v>484</v>
      </c>
      <c r="F62" s="16">
        <f>IF(C62="","",E62*VLOOKUP(C62,'Product Sheet'!$B$4:$E$104,4,FALSE))</f>
        <v>43.559999999999995</v>
      </c>
      <c r="G62" s="8">
        <f t="shared" si="0"/>
        <v>527.55999999999995</v>
      </c>
      <c r="H62" s="8">
        <v>2</v>
      </c>
      <c r="I62" s="8">
        <f t="shared" si="1"/>
        <v>1055.1199999999999</v>
      </c>
    </row>
    <row r="63" spans="2:9" x14ac:dyDescent="0.25">
      <c r="B63" s="8">
        <v>59</v>
      </c>
      <c r="C63" s="8" t="s">
        <v>137</v>
      </c>
      <c r="D63" s="8" t="str">
        <f>IF(C63="","",VLOOKUP(C63,'Product Sheet'!$B$4:$E$104,2,FALSE))</f>
        <v>Type-c Cable</v>
      </c>
      <c r="E63" s="8">
        <f>IF(C63="","",VLOOKUP(C63,'Product Sheet'!$B$4:$E$104,3,FALSE))</f>
        <v>228</v>
      </c>
      <c r="F63" s="16">
        <f>IF(C63="","",E63*VLOOKUP(C63,'Product Sheet'!$B$4:$E$104,4,FALSE))</f>
        <v>29.64</v>
      </c>
      <c r="G63" s="8">
        <f t="shared" si="0"/>
        <v>257.64</v>
      </c>
      <c r="H63" s="8">
        <v>4</v>
      </c>
      <c r="I63" s="8">
        <f t="shared" si="1"/>
        <v>1030.56</v>
      </c>
    </row>
    <row r="64" spans="2:9" x14ac:dyDescent="0.25">
      <c r="B64" s="8">
        <v>60</v>
      </c>
      <c r="C64" s="8" t="s">
        <v>138</v>
      </c>
      <c r="D64" s="8" t="str">
        <f>IF(C64="","",VLOOKUP(C64,'Product Sheet'!$B$4:$E$104,2,FALSE))</f>
        <v>Micro-usb Cable</v>
      </c>
      <c r="E64" s="8">
        <f>IF(C64="","",VLOOKUP(C64,'Product Sheet'!$B$4:$E$104,3,FALSE))</f>
        <v>304</v>
      </c>
      <c r="F64" s="16">
        <f>IF(C64="","",E64*VLOOKUP(C64,'Product Sheet'!$B$4:$E$104,4,FALSE))</f>
        <v>69.92</v>
      </c>
      <c r="G64" s="8">
        <f t="shared" si="0"/>
        <v>373.92</v>
      </c>
      <c r="H64" s="8">
        <v>10</v>
      </c>
      <c r="I64" s="8">
        <f t="shared" si="1"/>
        <v>3739.2000000000003</v>
      </c>
    </row>
    <row r="65" spans="2:9" x14ac:dyDescent="0.25">
      <c r="B65" s="8">
        <v>61</v>
      </c>
      <c r="C65" s="8" t="s">
        <v>139</v>
      </c>
      <c r="D65" s="8" t="str">
        <f>IF(C65="","",VLOOKUP(C65,'Product Sheet'!$B$4:$E$104,2,FALSE))</f>
        <v>Thunderbolt Cable</v>
      </c>
      <c r="E65" s="8">
        <f>IF(C65="","",VLOOKUP(C65,'Product Sheet'!$B$4:$E$104,3,FALSE))</f>
        <v>379</v>
      </c>
      <c r="F65" s="16">
        <f>IF(C65="","",E65*VLOOKUP(C65,'Product Sheet'!$B$4:$E$104,4,FALSE))</f>
        <v>79.59</v>
      </c>
      <c r="G65" s="8">
        <f t="shared" si="0"/>
        <v>458.59000000000003</v>
      </c>
      <c r="H65" s="8">
        <v>1</v>
      </c>
      <c r="I65" s="8">
        <f t="shared" si="1"/>
        <v>458.59000000000003</v>
      </c>
    </row>
    <row r="66" spans="2:9" x14ac:dyDescent="0.25">
      <c r="B66" s="8">
        <v>62</v>
      </c>
      <c r="C66" s="8" t="s">
        <v>140</v>
      </c>
      <c r="D66" s="8" t="str">
        <f>IF(C66="","",VLOOKUP(C66,'Product Sheet'!$B$4:$E$104,2,FALSE))</f>
        <v>Premium Switches</v>
      </c>
      <c r="E66" s="8">
        <f>IF(C66="","",VLOOKUP(C66,'Product Sheet'!$B$4:$E$104,3,FALSE))</f>
        <v>224</v>
      </c>
      <c r="F66" s="16">
        <f>IF(C66="","",E66*VLOOKUP(C66,'Product Sheet'!$B$4:$E$104,4,FALSE))</f>
        <v>51.52</v>
      </c>
      <c r="G66" s="8">
        <f t="shared" si="0"/>
        <v>275.52</v>
      </c>
      <c r="H66" s="8">
        <v>7</v>
      </c>
      <c r="I66" s="8">
        <f t="shared" si="1"/>
        <v>1928.6399999999999</v>
      </c>
    </row>
    <row r="67" spans="2:9" x14ac:dyDescent="0.25">
      <c r="B67" s="8">
        <v>63</v>
      </c>
      <c r="C67" s="8" t="s">
        <v>141</v>
      </c>
      <c r="D67" s="8" t="str">
        <f>IF(C67="","",VLOOKUP(C67,'Product Sheet'!$B$4:$E$104,2,FALSE))</f>
        <v>RGB Cabinet</v>
      </c>
      <c r="E67" s="8">
        <f>IF(C67="","",VLOOKUP(C67,'Product Sheet'!$B$4:$E$104,3,FALSE))</f>
        <v>439</v>
      </c>
      <c r="F67" s="16">
        <f>IF(C67="","",E67*VLOOKUP(C67,'Product Sheet'!$B$4:$E$104,4,FALSE))</f>
        <v>87.800000000000011</v>
      </c>
      <c r="G67" s="8">
        <f t="shared" si="0"/>
        <v>526.79999999999995</v>
      </c>
      <c r="H67" s="8">
        <v>9</v>
      </c>
      <c r="I67" s="8">
        <f t="shared" si="1"/>
        <v>4741.2</v>
      </c>
    </row>
    <row r="68" spans="2:9" x14ac:dyDescent="0.25">
      <c r="B68" s="8">
        <v>64</v>
      </c>
      <c r="C68" s="8" t="s">
        <v>142</v>
      </c>
      <c r="D68" s="8" t="str">
        <f>IF(C68="","",VLOOKUP(C68,'Product Sheet'!$B$4:$E$104,2,FALSE))</f>
        <v>Normal Cabinet</v>
      </c>
      <c r="E68" s="8">
        <f>IF(C68="","",VLOOKUP(C68,'Product Sheet'!$B$4:$E$104,3,FALSE))</f>
        <v>75</v>
      </c>
      <c r="F68" s="16">
        <f>IF(C68="","",E68*VLOOKUP(C68,'Product Sheet'!$B$4:$E$104,4,FALSE))</f>
        <v>16.5</v>
      </c>
      <c r="G68" s="8">
        <f t="shared" si="0"/>
        <v>91.5</v>
      </c>
      <c r="H68" s="8">
        <v>4</v>
      </c>
      <c r="I68" s="8">
        <f t="shared" si="1"/>
        <v>366</v>
      </c>
    </row>
    <row r="69" spans="2:9" x14ac:dyDescent="0.25">
      <c r="B69" s="8">
        <v>65</v>
      </c>
      <c r="C69" s="8" t="s">
        <v>143</v>
      </c>
      <c r="D69" s="8" t="str">
        <f>IF(C69="","",VLOOKUP(C69,'Product Sheet'!$B$4:$E$104,2,FALSE))</f>
        <v>Wired Powerbank 10,000 mAh</v>
      </c>
      <c r="E69" s="8">
        <f>IF(C69="","",VLOOKUP(C69,'Product Sheet'!$B$4:$E$104,3,FALSE))</f>
        <v>187</v>
      </c>
      <c r="F69" s="16">
        <f>IF(C69="","",E69*VLOOKUP(C69,'Product Sheet'!$B$4:$E$104,4,FALSE))</f>
        <v>16.829999999999998</v>
      </c>
      <c r="G69" s="8">
        <f t="shared" si="0"/>
        <v>203.82999999999998</v>
      </c>
      <c r="H69" s="8">
        <v>10</v>
      </c>
      <c r="I69" s="8">
        <f t="shared" si="1"/>
        <v>2038.2999999999997</v>
      </c>
    </row>
    <row r="70" spans="2:9" x14ac:dyDescent="0.25">
      <c r="B70" s="8">
        <v>66</v>
      </c>
      <c r="C70" s="8" t="s">
        <v>144</v>
      </c>
      <c r="D70" s="8" t="str">
        <f>IF(C70="","",VLOOKUP(C70,'Product Sheet'!$B$4:$E$104,2,FALSE))</f>
        <v>HP Victus</v>
      </c>
      <c r="E70" s="8">
        <f>IF(C70="","",VLOOKUP(C70,'Product Sheet'!$B$4:$E$104,3,FALSE))</f>
        <v>196</v>
      </c>
      <c r="F70" s="16">
        <f>IF(C70="","",E70*VLOOKUP(C70,'Product Sheet'!$B$4:$E$104,4,FALSE))</f>
        <v>17.64</v>
      </c>
      <c r="G70" s="8">
        <f t="shared" ref="G70:G104" si="2">E70+F70</f>
        <v>213.64</v>
      </c>
      <c r="H70" s="8">
        <v>6</v>
      </c>
      <c r="I70" s="8">
        <f t="shared" ref="I70:I104" si="3">G70*H70</f>
        <v>1281.8399999999999</v>
      </c>
    </row>
    <row r="71" spans="2:9" x14ac:dyDescent="0.25">
      <c r="B71" s="8">
        <v>67</v>
      </c>
      <c r="C71" s="8" t="s">
        <v>145</v>
      </c>
      <c r="D71" s="8" t="str">
        <f>IF(C71="","",VLOOKUP(C71,'Product Sheet'!$B$4:$E$104,2,FALSE))</f>
        <v>Lenovo CPU</v>
      </c>
      <c r="E71" s="8">
        <f>IF(C71="","",VLOOKUP(C71,'Product Sheet'!$B$4:$E$104,3,FALSE))</f>
        <v>419</v>
      </c>
      <c r="F71" s="16">
        <f>IF(C71="","",E71*VLOOKUP(C71,'Product Sheet'!$B$4:$E$104,4,FALSE))</f>
        <v>33.520000000000003</v>
      </c>
      <c r="G71" s="8">
        <f t="shared" si="2"/>
        <v>452.52</v>
      </c>
      <c r="H71" s="8">
        <v>10</v>
      </c>
      <c r="I71" s="8">
        <f t="shared" si="3"/>
        <v>4525.2</v>
      </c>
    </row>
    <row r="72" spans="2:9" x14ac:dyDescent="0.25">
      <c r="B72" s="8">
        <v>68</v>
      </c>
      <c r="C72" s="8" t="s">
        <v>146</v>
      </c>
      <c r="D72" s="8" t="str">
        <f>IF(C72="","",VLOOKUP(C72,'Product Sheet'!$B$4:$E$104,2,FALSE))</f>
        <v>Lenovo YOGA Lapotop</v>
      </c>
      <c r="E72" s="8">
        <f>IF(C72="","",VLOOKUP(C72,'Product Sheet'!$B$4:$E$104,3,FALSE))</f>
        <v>63</v>
      </c>
      <c r="F72" s="16">
        <f>IF(C72="","",E72*VLOOKUP(C72,'Product Sheet'!$B$4:$E$104,4,FALSE))</f>
        <v>11.34</v>
      </c>
      <c r="G72" s="8">
        <f t="shared" si="2"/>
        <v>74.34</v>
      </c>
      <c r="H72" s="8">
        <v>6</v>
      </c>
      <c r="I72" s="8">
        <f t="shared" si="3"/>
        <v>446.04</v>
      </c>
    </row>
    <row r="73" spans="2:9" x14ac:dyDescent="0.25">
      <c r="B73" s="8">
        <v>69</v>
      </c>
      <c r="C73" s="8" t="s">
        <v>147</v>
      </c>
      <c r="D73" s="8" t="str">
        <f>IF(C73="","",VLOOKUP(C73,'Product Sheet'!$B$4:$E$104,2,FALSE))</f>
        <v>Lenovo Legion</v>
      </c>
      <c r="E73" s="8">
        <f>IF(C73="","",VLOOKUP(C73,'Product Sheet'!$B$4:$E$104,3,FALSE))</f>
        <v>283</v>
      </c>
      <c r="F73" s="16">
        <f>IF(C73="","",E73*VLOOKUP(C73,'Product Sheet'!$B$4:$E$104,4,FALSE))</f>
        <v>50.94</v>
      </c>
      <c r="G73" s="8">
        <f t="shared" si="2"/>
        <v>333.94</v>
      </c>
      <c r="H73" s="8">
        <v>3</v>
      </c>
      <c r="I73" s="8">
        <f t="shared" si="3"/>
        <v>1001.8199999999999</v>
      </c>
    </row>
    <row r="74" spans="2:9" x14ac:dyDescent="0.25">
      <c r="B74" s="8">
        <v>70</v>
      </c>
      <c r="C74" s="8" t="s">
        <v>148</v>
      </c>
      <c r="D74" s="8" t="str">
        <f>IF(C74="","",VLOOKUP(C74,'Product Sheet'!$B$4:$E$104,2,FALSE))</f>
        <v>Nintendo Switch</v>
      </c>
      <c r="E74" s="8">
        <f>IF(C74="","",VLOOKUP(C74,'Product Sheet'!$B$4:$E$104,3,FALSE))</f>
        <v>292</v>
      </c>
      <c r="F74" s="16">
        <f>IF(C74="","",E74*VLOOKUP(C74,'Product Sheet'!$B$4:$E$104,4,FALSE))</f>
        <v>23.36</v>
      </c>
      <c r="G74" s="8">
        <f t="shared" si="2"/>
        <v>315.36</v>
      </c>
      <c r="H74" s="8">
        <v>8</v>
      </c>
      <c r="I74" s="8">
        <f t="shared" si="3"/>
        <v>2522.88</v>
      </c>
    </row>
    <row r="75" spans="2:9" x14ac:dyDescent="0.25">
      <c r="B75" s="8">
        <v>71</v>
      </c>
      <c r="C75" s="8" t="s">
        <v>149</v>
      </c>
      <c r="D75" s="8" t="str">
        <f>IF(C75="","",VLOOKUP(C75,'Product Sheet'!$B$4:$E$104,2,FALSE))</f>
        <v>PlayStation 5</v>
      </c>
      <c r="E75" s="8">
        <f>IF(C75="","",VLOOKUP(C75,'Product Sheet'!$B$4:$E$104,3,FALSE))</f>
        <v>124</v>
      </c>
      <c r="F75" s="16">
        <f>IF(C75="","",E75*VLOOKUP(C75,'Product Sheet'!$B$4:$E$104,4,FALSE))</f>
        <v>32.24</v>
      </c>
      <c r="G75" s="8">
        <f t="shared" si="2"/>
        <v>156.24</v>
      </c>
      <c r="H75" s="8">
        <v>5</v>
      </c>
      <c r="I75" s="8">
        <f t="shared" si="3"/>
        <v>781.2</v>
      </c>
    </row>
    <row r="76" spans="2:9" x14ac:dyDescent="0.25">
      <c r="B76" s="8">
        <v>72</v>
      </c>
      <c r="C76" s="8" t="s">
        <v>150</v>
      </c>
      <c r="D76" s="8" t="str">
        <f>IF(C76="","",VLOOKUP(C76,'Product Sheet'!$B$4:$E$104,2,FALSE))</f>
        <v>PlayStation 4</v>
      </c>
      <c r="E76" s="8">
        <f>IF(C76="","",VLOOKUP(C76,'Product Sheet'!$B$4:$E$104,3,FALSE))</f>
        <v>245</v>
      </c>
      <c r="F76" s="16">
        <f>IF(C76="","",E76*VLOOKUP(C76,'Product Sheet'!$B$4:$E$104,4,FALSE))</f>
        <v>36.75</v>
      </c>
      <c r="G76" s="8">
        <f t="shared" si="2"/>
        <v>281.75</v>
      </c>
      <c r="H76" s="8">
        <v>8</v>
      </c>
      <c r="I76" s="8">
        <f t="shared" si="3"/>
        <v>2254</v>
      </c>
    </row>
    <row r="77" spans="2:9" x14ac:dyDescent="0.25">
      <c r="B77" s="8">
        <v>73</v>
      </c>
      <c r="C77" s="8" t="s">
        <v>151</v>
      </c>
      <c r="D77" s="8" t="str">
        <f>IF(C77="","",VLOOKUP(C77,'Product Sheet'!$B$4:$E$104,2,FALSE))</f>
        <v>XBOX Series2</v>
      </c>
      <c r="E77" s="8">
        <f>IF(C77="","",VLOOKUP(C77,'Product Sheet'!$B$4:$E$104,3,FALSE))</f>
        <v>420</v>
      </c>
      <c r="F77" s="16">
        <f>IF(C77="","",E77*VLOOKUP(C77,'Product Sheet'!$B$4:$E$104,4,FALSE))</f>
        <v>37.799999999999997</v>
      </c>
      <c r="G77" s="8">
        <f t="shared" si="2"/>
        <v>457.8</v>
      </c>
      <c r="H77" s="8">
        <v>5</v>
      </c>
      <c r="I77" s="8">
        <f t="shared" si="3"/>
        <v>2289</v>
      </c>
    </row>
    <row r="78" spans="2:9" x14ac:dyDescent="0.25">
      <c r="B78" s="8">
        <v>74</v>
      </c>
      <c r="C78" s="8" t="s">
        <v>152</v>
      </c>
      <c r="D78" s="8" t="str">
        <f>IF(C78="","",VLOOKUP(C78,'Product Sheet'!$B$4:$E$104,2,FALSE))</f>
        <v>Plushes</v>
      </c>
      <c r="E78" s="8">
        <f>IF(C78="","",VLOOKUP(C78,'Product Sheet'!$B$4:$E$104,3,FALSE))</f>
        <v>122</v>
      </c>
      <c r="F78" s="16">
        <f>IF(C78="","",E78*VLOOKUP(C78,'Product Sheet'!$B$4:$E$104,4,FALSE))</f>
        <v>15.860000000000001</v>
      </c>
      <c r="G78" s="8">
        <f t="shared" si="2"/>
        <v>137.86000000000001</v>
      </c>
      <c r="H78" s="8">
        <v>2</v>
      </c>
      <c r="I78" s="8">
        <f t="shared" si="3"/>
        <v>275.72000000000003</v>
      </c>
    </row>
    <row r="79" spans="2:9" x14ac:dyDescent="0.25">
      <c r="B79" s="8">
        <v>75</v>
      </c>
      <c r="C79" s="8" t="s">
        <v>153</v>
      </c>
      <c r="D79" s="8" t="str">
        <f>IF(C79="","",VLOOKUP(C79,'Product Sheet'!$B$4:$E$104,2,FALSE))</f>
        <v>Mini Cars</v>
      </c>
      <c r="E79" s="8">
        <f>IF(C79="","",VLOOKUP(C79,'Product Sheet'!$B$4:$E$104,3,FALSE))</f>
        <v>368</v>
      </c>
      <c r="F79" s="16">
        <f>IF(C79="","",E79*VLOOKUP(C79,'Product Sheet'!$B$4:$E$104,4,FALSE))</f>
        <v>22.08</v>
      </c>
      <c r="G79" s="8">
        <f t="shared" si="2"/>
        <v>390.08</v>
      </c>
      <c r="H79" s="8">
        <v>7</v>
      </c>
      <c r="I79" s="8">
        <f t="shared" si="3"/>
        <v>2730.56</v>
      </c>
    </row>
    <row r="80" spans="2:9" x14ac:dyDescent="0.25">
      <c r="B80" s="8">
        <v>76</v>
      </c>
      <c r="C80" s="8" t="s">
        <v>154</v>
      </c>
      <c r="D80" s="8" t="str">
        <f>IF(C80="","",VLOOKUP(C80,'Product Sheet'!$B$4:$E$104,2,FALSE))</f>
        <v>RC Cars</v>
      </c>
      <c r="E80" s="8">
        <f>IF(C80="","",VLOOKUP(C80,'Product Sheet'!$B$4:$E$104,3,FALSE))</f>
        <v>415</v>
      </c>
      <c r="F80" s="16">
        <f>IF(C80="","",E80*VLOOKUP(C80,'Product Sheet'!$B$4:$E$104,4,FALSE))</f>
        <v>103.75</v>
      </c>
      <c r="G80" s="8">
        <f t="shared" si="2"/>
        <v>518.75</v>
      </c>
      <c r="H80" s="8">
        <v>8</v>
      </c>
      <c r="I80" s="8">
        <f t="shared" si="3"/>
        <v>4150</v>
      </c>
    </row>
    <row r="81" spans="2:9" x14ac:dyDescent="0.25">
      <c r="B81" s="8">
        <v>77</v>
      </c>
      <c r="C81" s="8" t="s">
        <v>155</v>
      </c>
      <c r="D81" s="8" t="str">
        <f>IF(C81="","",VLOOKUP(C81,'Product Sheet'!$B$4:$E$104,2,FALSE))</f>
        <v>Foot Rest</v>
      </c>
      <c r="E81" s="8">
        <f>IF(C81="","",VLOOKUP(C81,'Product Sheet'!$B$4:$E$104,3,FALSE))</f>
        <v>461</v>
      </c>
      <c r="F81" s="16">
        <f>IF(C81="","",E81*VLOOKUP(C81,'Product Sheet'!$B$4:$E$104,4,FALSE))</f>
        <v>92.2</v>
      </c>
      <c r="G81" s="8">
        <f t="shared" si="2"/>
        <v>553.20000000000005</v>
      </c>
      <c r="H81" s="8">
        <v>9</v>
      </c>
      <c r="I81" s="8">
        <f t="shared" si="3"/>
        <v>4978.8</v>
      </c>
    </row>
    <row r="82" spans="2:9" x14ac:dyDescent="0.25">
      <c r="B82" s="8">
        <v>78</v>
      </c>
      <c r="C82" s="8" t="s">
        <v>156</v>
      </c>
      <c r="D82" s="8" t="str">
        <f>IF(C82="","",VLOOKUP(C82,'Product Sheet'!$B$4:$E$104,2,FALSE))</f>
        <v>Logitech Gaming Wheel</v>
      </c>
      <c r="E82" s="8">
        <f>IF(C82="","",VLOOKUP(C82,'Product Sheet'!$B$4:$E$104,3,FALSE))</f>
        <v>61</v>
      </c>
      <c r="F82" s="16">
        <f>IF(C82="","",E82*VLOOKUP(C82,'Product Sheet'!$B$4:$E$104,4,FALSE))</f>
        <v>15.860000000000001</v>
      </c>
      <c r="G82" s="8">
        <f t="shared" si="2"/>
        <v>76.86</v>
      </c>
      <c r="H82" s="8">
        <v>9</v>
      </c>
      <c r="I82" s="8">
        <f t="shared" si="3"/>
        <v>691.74</v>
      </c>
    </row>
    <row r="83" spans="2:9" x14ac:dyDescent="0.25">
      <c r="B83" s="8">
        <v>79</v>
      </c>
      <c r="C83" s="8" t="s">
        <v>157</v>
      </c>
      <c r="D83" s="8" t="str">
        <f>IF(C83="","",VLOOKUP(C83,'Product Sheet'!$B$4:$E$104,2,FALSE))</f>
        <v>Thermal Paste</v>
      </c>
      <c r="E83" s="8">
        <f>IF(C83="","",VLOOKUP(C83,'Product Sheet'!$B$4:$E$104,3,FALSE))</f>
        <v>456</v>
      </c>
      <c r="F83" s="16">
        <f>IF(C83="","",E83*VLOOKUP(C83,'Product Sheet'!$B$4:$E$104,4,FALSE))</f>
        <v>86.64</v>
      </c>
      <c r="G83" s="8">
        <f t="shared" si="2"/>
        <v>542.64</v>
      </c>
      <c r="H83" s="8">
        <v>5</v>
      </c>
      <c r="I83" s="8">
        <f t="shared" si="3"/>
        <v>2713.2</v>
      </c>
    </row>
    <row r="84" spans="2:9" x14ac:dyDescent="0.25">
      <c r="B84" s="8">
        <v>80</v>
      </c>
      <c r="C84" s="8" t="s">
        <v>158</v>
      </c>
      <c r="D84" s="8" t="str">
        <f>IF(C84="","",VLOOKUP(C84,'Product Sheet'!$B$4:$E$104,2,FALSE))</f>
        <v>Intel Processors</v>
      </c>
      <c r="E84" s="8">
        <f>IF(C84="","",VLOOKUP(C84,'Product Sheet'!$B$4:$E$104,3,FALSE))</f>
        <v>65</v>
      </c>
      <c r="F84" s="16">
        <f>IF(C84="","",E84*VLOOKUP(C84,'Product Sheet'!$B$4:$E$104,4,FALSE))</f>
        <v>16.900000000000002</v>
      </c>
      <c r="G84" s="8">
        <f t="shared" si="2"/>
        <v>81.900000000000006</v>
      </c>
      <c r="H84" s="8">
        <v>3</v>
      </c>
      <c r="I84" s="8">
        <f t="shared" si="3"/>
        <v>245.70000000000002</v>
      </c>
    </row>
    <row r="85" spans="2:9" x14ac:dyDescent="0.25">
      <c r="B85" s="8">
        <v>81</v>
      </c>
      <c r="C85" s="8" t="s">
        <v>159</v>
      </c>
      <c r="D85" s="8" t="str">
        <f>IF(C85="","",VLOOKUP(C85,'Product Sheet'!$B$4:$E$104,2,FALSE))</f>
        <v>AMD Ryzen Processors</v>
      </c>
      <c r="E85" s="8">
        <f>IF(C85="","",VLOOKUP(C85,'Product Sheet'!$B$4:$E$104,3,FALSE))</f>
        <v>74</v>
      </c>
      <c r="F85" s="16">
        <f>IF(C85="","",E85*VLOOKUP(C85,'Product Sheet'!$B$4:$E$104,4,FALSE))</f>
        <v>4.4399999999999995</v>
      </c>
      <c r="G85" s="8">
        <f t="shared" si="2"/>
        <v>78.44</v>
      </c>
      <c r="H85" s="8">
        <v>8</v>
      </c>
      <c r="I85" s="8">
        <f t="shared" si="3"/>
        <v>627.52</v>
      </c>
    </row>
    <row r="86" spans="2:9" x14ac:dyDescent="0.25">
      <c r="B86" s="8">
        <v>82</v>
      </c>
      <c r="C86" s="8" t="s">
        <v>160</v>
      </c>
      <c r="D86" s="8" t="str">
        <f>IF(C86="","",VLOOKUP(C86,'Product Sheet'!$B$4:$E$104,2,FALSE))</f>
        <v>NVIDIA Graphic Card</v>
      </c>
      <c r="E86" s="8">
        <f>IF(C86="","",VLOOKUP(C86,'Product Sheet'!$B$4:$E$104,3,FALSE))</f>
        <v>412</v>
      </c>
      <c r="F86" s="16">
        <f>IF(C86="","",E86*VLOOKUP(C86,'Product Sheet'!$B$4:$E$104,4,FALSE))</f>
        <v>45.32</v>
      </c>
      <c r="G86" s="8">
        <f t="shared" si="2"/>
        <v>457.32</v>
      </c>
      <c r="H86" s="8">
        <v>9</v>
      </c>
      <c r="I86" s="8">
        <f t="shared" si="3"/>
        <v>4115.88</v>
      </c>
    </row>
    <row r="87" spans="2:9" x14ac:dyDescent="0.25">
      <c r="B87" s="8">
        <v>83</v>
      </c>
      <c r="C87" s="8" t="s">
        <v>161</v>
      </c>
      <c r="D87" s="8" t="str">
        <f>IF(C87="","",VLOOKUP(C87,'Product Sheet'!$B$4:$E$104,2,FALSE))</f>
        <v>Nike Shoes</v>
      </c>
      <c r="E87" s="8">
        <f>IF(C87="","",VLOOKUP(C87,'Product Sheet'!$B$4:$E$104,3,FALSE))</f>
        <v>341</v>
      </c>
      <c r="F87" s="16">
        <f>IF(C87="","",E87*VLOOKUP(C87,'Product Sheet'!$B$4:$E$104,4,FALSE))</f>
        <v>30.689999999999998</v>
      </c>
      <c r="G87" s="8">
        <f t="shared" si="2"/>
        <v>371.69</v>
      </c>
      <c r="H87" s="8">
        <v>1</v>
      </c>
      <c r="I87" s="8">
        <f t="shared" si="3"/>
        <v>371.69</v>
      </c>
    </row>
    <row r="88" spans="2:9" x14ac:dyDescent="0.25">
      <c r="B88" s="8">
        <v>84</v>
      </c>
      <c r="C88" s="8" t="s">
        <v>162</v>
      </c>
      <c r="D88" s="8" t="str">
        <f>IF(C88="","",VLOOKUP(C88,'Product Sheet'!$B$4:$E$104,2,FALSE))</f>
        <v>VolleyBall</v>
      </c>
      <c r="E88" s="8">
        <f>IF(C88="","",VLOOKUP(C88,'Product Sheet'!$B$4:$E$104,3,FALSE))</f>
        <v>472</v>
      </c>
      <c r="F88" s="16">
        <f>IF(C88="","",E88*VLOOKUP(C88,'Product Sheet'!$B$4:$E$104,4,FALSE))</f>
        <v>99.11999999999999</v>
      </c>
      <c r="G88" s="8">
        <f t="shared" si="2"/>
        <v>571.12</v>
      </c>
      <c r="H88" s="8">
        <v>1</v>
      </c>
      <c r="I88" s="8">
        <f t="shared" si="3"/>
        <v>571.12</v>
      </c>
    </row>
    <row r="89" spans="2:9" x14ac:dyDescent="0.25">
      <c r="B89" s="8">
        <v>85</v>
      </c>
      <c r="C89" s="8" t="s">
        <v>163</v>
      </c>
      <c r="D89" s="8" t="str">
        <f>IF(C89="","",VLOOKUP(C89,'Product Sheet'!$B$4:$E$104,2,FALSE))</f>
        <v>FootBall</v>
      </c>
      <c r="E89" s="8">
        <f>IF(C89="","",VLOOKUP(C89,'Product Sheet'!$B$4:$E$104,3,FALSE))</f>
        <v>325</v>
      </c>
      <c r="F89" s="16">
        <f>IF(C89="","",E89*VLOOKUP(C89,'Product Sheet'!$B$4:$E$104,4,FALSE))</f>
        <v>97.5</v>
      </c>
      <c r="G89" s="8">
        <f t="shared" si="2"/>
        <v>422.5</v>
      </c>
      <c r="H89" s="8">
        <v>3</v>
      </c>
      <c r="I89" s="8">
        <f t="shared" si="3"/>
        <v>1267.5</v>
      </c>
    </row>
    <row r="90" spans="2:9" x14ac:dyDescent="0.25">
      <c r="B90" s="8">
        <v>86</v>
      </c>
      <c r="C90" s="8" t="s">
        <v>164</v>
      </c>
      <c r="D90" s="8" t="str">
        <f>IF(C90="","",VLOOKUP(C90,'Product Sheet'!$B$4:$E$104,2,FALSE))</f>
        <v>Cricket Bat</v>
      </c>
      <c r="E90" s="8">
        <f>IF(C90="","",VLOOKUP(C90,'Product Sheet'!$B$4:$E$104,3,FALSE))</f>
        <v>464</v>
      </c>
      <c r="F90" s="16">
        <f>IF(C90="","",E90*VLOOKUP(C90,'Product Sheet'!$B$4:$E$104,4,FALSE))</f>
        <v>46.400000000000006</v>
      </c>
      <c r="G90" s="8">
        <f t="shared" si="2"/>
        <v>510.4</v>
      </c>
      <c r="H90" s="8">
        <v>4</v>
      </c>
      <c r="I90" s="8">
        <f t="shared" si="3"/>
        <v>2041.6</v>
      </c>
    </row>
    <row r="91" spans="2:9" x14ac:dyDescent="0.25">
      <c r="B91" s="8">
        <v>87</v>
      </c>
      <c r="C91" s="8" t="s">
        <v>165</v>
      </c>
      <c r="D91" s="8" t="str">
        <f>IF(C91="","",VLOOKUP(C91,'Product Sheet'!$B$4:$E$104,2,FALSE))</f>
        <v>Stumps</v>
      </c>
      <c r="E91" s="8">
        <f>IF(C91="","",VLOOKUP(C91,'Product Sheet'!$B$4:$E$104,3,FALSE))</f>
        <v>143</v>
      </c>
      <c r="F91" s="16">
        <f>IF(C91="","",E91*VLOOKUP(C91,'Product Sheet'!$B$4:$E$104,4,FALSE))</f>
        <v>22.88</v>
      </c>
      <c r="G91" s="8">
        <f t="shared" si="2"/>
        <v>165.88</v>
      </c>
      <c r="H91" s="8">
        <v>2</v>
      </c>
      <c r="I91" s="8">
        <f t="shared" si="3"/>
        <v>331.76</v>
      </c>
    </row>
    <row r="92" spans="2:9" x14ac:dyDescent="0.25">
      <c r="B92" s="8">
        <v>88</v>
      </c>
      <c r="C92" s="8" t="s">
        <v>166</v>
      </c>
      <c r="D92" s="8" t="str">
        <f>IF(C92="","",VLOOKUP(C92,'Product Sheet'!$B$4:$E$104,2,FALSE))</f>
        <v>Tennis Ball</v>
      </c>
      <c r="E92" s="8">
        <f>IF(C92="","",VLOOKUP(C92,'Product Sheet'!$B$4:$E$104,3,FALSE))</f>
        <v>240</v>
      </c>
      <c r="F92" s="16">
        <f>IF(C92="","",E92*VLOOKUP(C92,'Product Sheet'!$B$4:$E$104,4,FALSE))</f>
        <v>14.399999999999999</v>
      </c>
      <c r="G92" s="8">
        <f t="shared" si="2"/>
        <v>254.4</v>
      </c>
      <c r="H92" s="8">
        <v>5</v>
      </c>
      <c r="I92" s="8">
        <f t="shared" si="3"/>
        <v>1272</v>
      </c>
    </row>
    <row r="93" spans="2:9" x14ac:dyDescent="0.25">
      <c r="B93" s="8">
        <v>89</v>
      </c>
      <c r="C93" s="8" t="s">
        <v>167</v>
      </c>
      <c r="D93" s="8" t="str">
        <f>IF(C93="","",VLOOKUP(C93,'Product Sheet'!$B$4:$E$104,2,FALSE))</f>
        <v>Badminton</v>
      </c>
      <c r="E93" s="8">
        <f>IF(C93="","",VLOOKUP(C93,'Product Sheet'!$B$4:$E$104,3,FALSE))</f>
        <v>371</v>
      </c>
      <c r="F93" s="16">
        <f>IF(C93="","",E93*VLOOKUP(C93,'Product Sheet'!$B$4:$E$104,4,FALSE))</f>
        <v>55.65</v>
      </c>
      <c r="G93" s="8">
        <f t="shared" si="2"/>
        <v>426.65</v>
      </c>
      <c r="H93" s="8">
        <v>2</v>
      </c>
      <c r="I93" s="8">
        <f t="shared" si="3"/>
        <v>853.3</v>
      </c>
    </row>
    <row r="94" spans="2:9" x14ac:dyDescent="0.25">
      <c r="B94" s="8">
        <v>90</v>
      </c>
      <c r="C94" s="8" t="s">
        <v>168</v>
      </c>
      <c r="D94" s="8" t="str">
        <f>IF(C94="","",VLOOKUP(C94,'Product Sheet'!$B$4:$E$104,2,FALSE))</f>
        <v>VolleyBall Net</v>
      </c>
      <c r="E94" s="8">
        <f>IF(C94="","",VLOOKUP(C94,'Product Sheet'!$B$4:$E$104,3,FALSE))</f>
        <v>324</v>
      </c>
      <c r="F94" s="16">
        <f>IF(C94="","",E94*VLOOKUP(C94,'Product Sheet'!$B$4:$E$104,4,FALSE))</f>
        <v>61.56</v>
      </c>
      <c r="G94" s="8">
        <f t="shared" si="2"/>
        <v>385.56</v>
      </c>
      <c r="H94" s="8">
        <v>3</v>
      </c>
      <c r="I94" s="8">
        <f t="shared" si="3"/>
        <v>1156.68</v>
      </c>
    </row>
    <row r="95" spans="2:9" x14ac:dyDescent="0.25">
      <c r="B95" s="8">
        <v>91</v>
      </c>
      <c r="C95" s="8" t="s">
        <v>169</v>
      </c>
      <c r="D95" s="8" t="str">
        <f>IF(C95="","",VLOOKUP(C95,'Product Sheet'!$B$4:$E$104,2,FALSE))</f>
        <v>Table Tennis</v>
      </c>
      <c r="E95" s="8">
        <f>IF(C95="","",VLOOKUP(C95,'Product Sheet'!$B$4:$E$104,3,FALSE))</f>
        <v>208</v>
      </c>
      <c r="F95" s="16">
        <f>IF(C95="","",E95*VLOOKUP(C95,'Product Sheet'!$B$4:$E$104,4,FALSE))</f>
        <v>24.96</v>
      </c>
      <c r="G95" s="8">
        <f t="shared" si="2"/>
        <v>232.96</v>
      </c>
      <c r="H95" s="8">
        <v>5</v>
      </c>
      <c r="I95" s="8">
        <f t="shared" si="3"/>
        <v>1164.8</v>
      </c>
    </row>
    <row r="96" spans="2:9" x14ac:dyDescent="0.25">
      <c r="B96" s="8">
        <v>92</v>
      </c>
      <c r="C96" s="8" t="s">
        <v>170</v>
      </c>
      <c r="D96" s="8" t="str">
        <f>IF(C96="","",VLOOKUP(C96,'Product Sheet'!$B$4:$E$104,2,FALSE))</f>
        <v>Pool Table</v>
      </c>
      <c r="E96" s="8">
        <f>IF(C96="","",VLOOKUP(C96,'Product Sheet'!$B$4:$E$104,3,FALSE))</f>
        <v>443</v>
      </c>
      <c r="F96" s="16">
        <f>IF(C96="","",E96*VLOOKUP(C96,'Product Sheet'!$B$4:$E$104,4,FALSE))</f>
        <v>124.04</v>
      </c>
      <c r="G96" s="8">
        <f t="shared" si="2"/>
        <v>567.04</v>
      </c>
      <c r="H96" s="8">
        <v>5</v>
      </c>
      <c r="I96" s="8">
        <f t="shared" si="3"/>
        <v>2835.2</v>
      </c>
    </row>
    <row r="97" spans="2:9" x14ac:dyDescent="0.25">
      <c r="B97" s="8">
        <v>93</v>
      </c>
      <c r="C97" s="8" t="s">
        <v>171</v>
      </c>
      <c r="D97" s="8" t="str">
        <f>IF(C97="","",VLOOKUP(C97,'Product Sheet'!$B$4:$E$104,2,FALSE))</f>
        <v>Realme Narzo Phone</v>
      </c>
      <c r="E97" s="8">
        <f>IF(C97="","",VLOOKUP(C97,'Product Sheet'!$B$4:$E$104,3,FALSE))</f>
        <v>217</v>
      </c>
      <c r="F97" s="16">
        <f>IF(C97="","",E97*VLOOKUP(C97,'Product Sheet'!$B$4:$E$104,4,FALSE))</f>
        <v>23.87</v>
      </c>
      <c r="G97" s="8">
        <f t="shared" si="2"/>
        <v>240.87</v>
      </c>
      <c r="H97" s="8">
        <v>10</v>
      </c>
      <c r="I97" s="8">
        <f t="shared" si="3"/>
        <v>2408.6999999999998</v>
      </c>
    </row>
    <row r="98" spans="2:9" x14ac:dyDescent="0.25">
      <c r="B98" s="8">
        <v>94</v>
      </c>
      <c r="C98" s="8" t="s">
        <v>172</v>
      </c>
      <c r="D98" s="8" t="str">
        <f>IF(C98="","",VLOOKUP(C98,'Product Sheet'!$B$4:$E$104,2,FALSE))</f>
        <v>Oppo Reno Series Phone</v>
      </c>
      <c r="E98" s="8">
        <f>IF(C98="","",VLOOKUP(C98,'Product Sheet'!$B$4:$E$104,3,FALSE))</f>
        <v>134</v>
      </c>
      <c r="F98" s="16">
        <f>IF(C98="","",E98*VLOOKUP(C98,'Product Sheet'!$B$4:$E$104,4,FALSE))</f>
        <v>25.46</v>
      </c>
      <c r="G98" s="8">
        <f t="shared" si="2"/>
        <v>159.46</v>
      </c>
      <c r="H98" s="8">
        <v>5</v>
      </c>
      <c r="I98" s="8">
        <f t="shared" si="3"/>
        <v>797.30000000000007</v>
      </c>
    </row>
    <row r="99" spans="2:9" x14ac:dyDescent="0.25">
      <c r="B99" s="8">
        <v>95</v>
      </c>
      <c r="C99" s="8" t="s">
        <v>173</v>
      </c>
      <c r="D99" s="8" t="str">
        <f>IF(C99="","",VLOOKUP(C99,'Product Sheet'!$B$4:$E$104,2,FALSE))</f>
        <v>4K High Res Monitor</v>
      </c>
      <c r="E99" s="8">
        <f>IF(C99="","",VLOOKUP(C99,'Product Sheet'!$B$4:$E$104,3,FALSE))</f>
        <v>350</v>
      </c>
      <c r="F99" s="16">
        <f>IF(C99="","",E99*VLOOKUP(C99,'Product Sheet'!$B$4:$E$104,4,FALSE))</f>
        <v>38.5</v>
      </c>
      <c r="G99" s="8">
        <f t="shared" si="2"/>
        <v>388.5</v>
      </c>
      <c r="H99" s="8">
        <v>6</v>
      </c>
      <c r="I99" s="8">
        <f t="shared" si="3"/>
        <v>2331</v>
      </c>
    </row>
    <row r="100" spans="2:9" x14ac:dyDescent="0.25">
      <c r="B100" s="8">
        <v>96</v>
      </c>
      <c r="C100" s="8" t="s">
        <v>174</v>
      </c>
      <c r="D100" s="8" t="str">
        <f>IF(C100="","",VLOOKUP(C100,'Product Sheet'!$B$4:$E$104,2,FALSE))</f>
        <v>Curved 4K Monitor With OLED Panel</v>
      </c>
      <c r="E100" s="8">
        <f>IF(C100="","",VLOOKUP(C100,'Product Sheet'!$B$4:$E$104,3,FALSE))</f>
        <v>94</v>
      </c>
      <c r="F100" s="16">
        <f>IF(C100="","",E100*VLOOKUP(C100,'Product Sheet'!$B$4:$E$104,4,FALSE))</f>
        <v>14.1</v>
      </c>
      <c r="G100" s="8">
        <f t="shared" si="2"/>
        <v>108.1</v>
      </c>
      <c r="H100" s="8">
        <v>10</v>
      </c>
      <c r="I100" s="8">
        <f t="shared" si="3"/>
        <v>1081</v>
      </c>
    </row>
    <row r="101" spans="2:9" x14ac:dyDescent="0.25">
      <c r="B101" s="8">
        <v>97</v>
      </c>
      <c r="C101" s="8" t="s">
        <v>175</v>
      </c>
      <c r="D101" s="8" t="str">
        <f>IF(C101="","",VLOOKUP(C101,'Product Sheet'!$B$4:$E$104,2,FALSE))</f>
        <v>Gaming Cabinet</v>
      </c>
      <c r="E101" s="8">
        <f>IF(C101="","",VLOOKUP(C101,'Product Sheet'!$B$4:$E$104,3,FALSE))</f>
        <v>446</v>
      </c>
      <c r="F101" s="16">
        <f>IF(C101="","",E101*VLOOKUP(C101,'Product Sheet'!$B$4:$E$104,4,FALSE))</f>
        <v>31.220000000000002</v>
      </c>
      <c r="G101" s="8">
        <f t="shared" si="2"/>
        <v>477.22</v>
      </c>
      <c r="H101" s="8">
        <v>9</v>
      </c>
      <c r="I101" s="8">
        <f t="shared" si="3"/>
        <v>4294.9800000000005</v>
      </c>
    </row>
    <row r="102" spans="2:9" x14ac:dyDescent="0.25">
      <c r="B102" s="8">
        <v>98</v>
      </c>
      <c r="C102" s="8" t="s">
        <v>176</v>
      </c>
      <c r="D102" s="8" t="str">
        <f>IF(C102="","",VLOOKUP(C102,'Product Sheet'!$B$4:$E$104,2,FALSE))</f>
        <v>RGB Wireless Mouse</v>
      </c>
      <c r="E102" s="8">
        <f>IF(C102="","",VLOOKUP(C102,'Product Sheet'!$B$4:$E$104,3,FALSE))</f>
        <v>423</v>
      </c>
      <c r="F102" s="16">
        <f>IF(C102="","",E102*VLOOKUP(C102,'Product Sheet'!$B$4:$E$104,4,FALSE))</f>
        <v>67.680000000000007</v>
      </c>
      <c r="G102" s="8">
        <f t="shared" si="2"/>
        <v>490.68</v>
      </c>
      <c r="H102" s="8">
        <v>3</v>
      </c>
      <c r="I102" s="8">
        <f t="shared" si="3"/>
        <v>1472.04</v>
      </c>
    </row>
    <row r="103" spans="2:9" x14ac:dyDescent="0.25">
      <c r="B103" s="8">
        <v>99</v>
      </c>
      <c r="C103" s="8" t="s">
        <v>177</v>
      </c>
      <c r="D103" s="8" t="str">
        <f>IF(C103="","",VLOOKUP(C103,'Product Sheet'!$B$4:$E$104,2,FALSE))</f>
        <v>RBG Full Size MousePad</v>
      </c>
      <c r="E103" s="8">
        <f>IF(C103="","",VLOOKUP(C103,'Product Sheet'!$B$4:$E$104,3,FALSE))</f>
        <v>242</v>
      </c>
      <c r="F103" s="16">
        <f>IF(C103="","",E103*VLOOKUP(C103,'Product Sheet'!$B$4:$E$104,4,FALSE))</f>
        <v>36.299999999999997</v>
      </c>
      <c r="G103" s="8">
        <f t="shared" si="2"/>
        <v>278.3</v>
      </c>
      <c r="H103" s="8">
        <v>1</v>
      </c>
      <c r="I103" s="8">
        <f t="shared" si="3"/>
        <v>278.3</v>
      </c>
    </row>
    <row r="104" spans="2:9" x14ac:dyDescent="0.25">
      <c r="B104" s="8">
        <v>100</v>
      </c>
      <c r="C104" s="8" t="s">
        <v>178</v>
      </c>
      <c r="D104" s="8" t="str">
        <f>IF(C104="","",VLOOKUP(C104,'Product Sheet'!$B$4:$E$104,2,FALSE))</f>
        <v>Windows11 Pro Key</v>
      </c>
      <c r="E104" s="8">
        <f>IF(C104="","",VLOOKUP(C104,'Product Sheet'!$B$4:$E$104,3,FALSE))</f>
        <v>339</v>
      </c>
      <c r="F104" s="16">
        <f>IF(C104="","",E104*VLOOKUP(C104,'Product Sheet'!$B$4:$E$104,4,FALSE))</f>
        <v>94.920000000000016</v>
      </c>
      <c r="G104" s="8">
        <f t="shared" si="2"/>
        <v>433.92</v>
      </c>
      <c r="H104" s="8">
        <v>8</v>
      </c>
      <c r="I104" s="8">
        <f t="shared" si="3"/>
        <v>3471.36</v>
      </c>
    </row>
  </sheetData>
  <mergeCells count="1">
    <mergeCell ref="B2:I3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8C232F-C2A7-492E-B8E6-0D27934099E4}">
          <x14:formula1>
            <xm:f>'Product Sheet'!$B$5:$B$104</xm:f>
          </x14:formula1>
          <xm:sqref>C5:C104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C8B4-E8F9-44C8-AEE8-54F8894B8550}">
  <dimension ref="B2:F102"/>
  <sheetViews>
    <sheetView zoomScale="190" zoomScaleNormal="190" workbookViewId="0">
      <pane ySplit="2" topLeftCell="A3" activePane="bottomLeft" state="frozen"/>
      <selection pane="bottomLeft" activeCell="A3" sqref="A3:XFD3"/>
    </sheetView>
  </sheetViews>
  <sheetFormatPr defaultRowHeight="15" x14ac:dyDescent="0.25"/>
  <cols>
    <col min="1" max="1" width="9.140625" style="7"/>
    <col min="2" max="2" width="11" style="7" bestFit="1" customWidth="1"/>
    <col min="3" max="3" width="33.28515625" style="7" bestFit="1" customWidth="1"/>
    <col min="4" max="16384" width="9.140625" style="7"/>
  </cols>
  <sheetData>
    <row r="2" spans="2:6" x14ac:dyDescent="0.25">
      <c r="B2" s="25" t="s">
        <v>284</v>
      </c>
      <c r="C2" s="25" t="s">
        <v>78</v>
      </c>
      <c r="D2" s="25" t="s">
        <v>285</v>
      </c>
      <c r="E2" s="25" t="s">
        <v>286</v>
      </c>
      <c r="F2" s="25" t="s">
        <v>287</v>
      </c>
    </row>
    <row r="3" spans="2:6" x14ac:dyDescent="0.25">
      <c r="B3" s="8" t="s">
        <v>79</v>
      </c>
      <c r="C3" s="8" t="str">
        <f>IF(B3="","",VLOOKUP(B3,'Product Sheet'!$B$4:$D$104,2,FALSE))</f>
        <v>MousePad</v>
      </c>
      <c r="D3" s="8">
        <f>IF(B3="","",VLOOKUP(B3,'Product Sheet'!$B$4:$D$104,3,FALSE))</f>
        <v>461</v>
      </c>
      <c r="E3" s="14">
        <v>0.39</v>
      </c>
      <c r="F3" s="8">
        <f>IF(B3="","",(D3-D3*E3))</f>
        <v>281.21000000000004</v>
      </c>
    </row>
    <row r="4" spans="2:6" x14ac:dyDescent="0.25">
      <c r="B4" s="8" t="s">
        <v>80</v>
      </c>
      <c r="C4" s="8" t="str">
        <f>IF(B4="","",VLOOKUP(B4,'Product Sheet'!$B$4:$D$104,2,FALSE))</f>
        <v>Logitech Keyboard</v>
      </c>
      <c r="D4" s="8">
        <f>IF(B4="","",VLOOKUP(B4,'Product Sheet'!$B$4:$D$104,3,FALSE))</f>
        <v>452</v>
      </c>
      <c r="E4" s="14">
        <v>0.37</v>
      </c>
      <c r="F4" s="8">
        <f t="shared" ref="F4:F67" si="0">IF(B4="","",(D4-D4*E4))</f>
        <v>284.76</v>
      </c>
    </row>
    <row r="5" spans="2:6" x14ac:dyDescent="0.25">
      <c r="B5" s="8" t="s">
        <v>81</v>
      </c>
      <c r="C5" s="8" t="str">
        <f>IF(B5="","",VLOOKUP(B5,'Product Sheet'!$B$4:$D$104,2,FALSE))</f>
        <v>Logitech Mouse</v>
      </c>
      <c r="D5" s="8">
        <f>IF(B5="","",VLOOKUP(B5,'Product Sheet'!$B$4:$D$104,3,FALSE))</f>
        <v>178</v>
      </c>
      <c r="E5" s="14">
        <v>0.3</v>
      </c>
      <c r="F5" s="8">
        <f t="shared" si="0"/>
        <v>124.6</v>
      </c>
    </row>
    <row r="6" spans="2:6" x14ac:dyDescent="0.25">
      <c r="B6" s="8" t="s">
        <v>82</v>
      </c>
      <c r="C6" s="8" t="str">
        <f>IF(B6="","",VLOOKUP(B6,'Product Sheet'!$B$4:$D$104,2,FALSE))</f>
        <v>Samsung S24 Ultra</v>
      </c>
      <c r="D6" s="8">
        <f>IF(B6="","",VLOOKUP(B6,'Product Sheet'!$B$4:$D$104,3,FALSE))</f>
        <v>299</v>
      </c>
      <c r="E6" s="14">
        <v>0.3</v>
      </c>
      <c r="F6" s="8">
        <f t="shared" si="0"/>
        <v>209.3</v>
      </c>
    </row>
    <row r="7" spans="2:6" x14ac:dyDescent="0.25">
      <c r="B7" s="8" t="s">
        <v>83</v>
      </c>
      <c r="C7" s="8" t="str">
        <f>IF(B7="","",VLOOKUP(B7,'Product Sheet'!$B$4:$D$104,2,FALSE))</f>
        <v>Samsung SSD 1TB</v>
      </c>
      <c r="D7" s="8">
        <f>IF(B7="","",VLOOKUP(B7,'Product Sheet'!$B$4:$D$104,3,FALSE))</f>
        <v>449</v>
      </c>
      <c r="E7" s="14">
        <v>0.37</v>
      </c>
      <c r="F7" s="8">
        <f t="shared" si="0"/>
        <v>282.87</v>
      </c>
    </row>
    <row r="8" spans="2:6" x14ac:dyDescent="0.25">
      <c r="B8" s="8" t="s">
        <v>84</v>
      </c>
      <c r="C8" s="8" t="str">
        <f>IF(B8="","",VLOOKUP(B8,'Product Sheet'!$B$4:$D$104,2,FALSE))</f>
        <v>Acer Monitor</v>
      </c>
      <c r="D8" s="8">
        <f>IF(B8="","",VLOOKUP(B8,'Product Sheet'!$B$4:$D$104,3,FALSE))</f>
        <v>357</v>
      </c>
      <c r="E8" s="14">
        <v>0.28000000000000003</v>
      </c>
      <c r="F8" s="8">
        <f t="shared" si="0"/>
        <v>257.03999999999996</v>
      </c>
    </row>
    <row r="9" spans="2:6" x14ac:dyDescent="0.25">
      <c r="B9" s="8" t="s">
        <v>85</v>
      </c>
      <c r="C9" s="8" t="str">
        <f>IF(B9="","",VLOOKUP(B9,'Product Sheet'!$B$4:$D$104,2,FALSE))</f>
        <v>Samsung Monitor</v>
      </c>
      <c r="D9" s="8">
        <f>IF(B9="","",VLOOKUP(B9,'Product Sheet'!$B$4:$D$104,3,FALSE))</f>
        <v>498</v>
      </c>
      <c r="E9" s="14">
        <v>0.18</v>
      </c>
      <c r="F9" s="8">
        <f t="shared" si="0"/>
        <v>408.36</v>
      </c>
    </row>
    <row r="10" spans="2:6" x14ac:dyDescent="0.25">
      <c r="B10" s="8" t="s">
        <v>86</v>
      </c>
      <c r="C10" s="8" t="str">
        <f>IF(B10="","",VLOOKUP(B10,'Product Sheet'!$B$4:$D$104,2,FALSE))</f>
        <v>DDR5 Ram 16 GB</v>
      </c>
      <c r="D10" s="8">
        <f>IF(B10="","",VLOOKUP(B10,'Product Sheet'!$B$4:$D$104,3,FALSE))</f>
        <v>385</v>
      </c>
      <c r="E10" s="14">
        <v>0.4</v>
      </c>
      <c r="F10" s="8">
        <f t="shared" si="0"/>
        <v>231</v>
      </c>
    </row>
    <row r="11" spans="2:6" x14ac:dyDescent="0.25">
      <c r="B11" s="8" t="s">
        <v>87</v>
      </c>
      <c r="C11" s="8" t="str">
        <f>IF(B11="","",VLOOKUP(B11,'Product Sheet'!$B$4:$D$104,2,FALSE))</f>
        <v>MotherBoard</v>
      </c>
      <c r="D11" s="8">
        <f>IF(B11="","",VLOOKUP(B11,'Product Sheet'!$B$4:$D$104,3,FALSE))</f>
        <v>83</v>
      </c>
      <c r="E11" s="14">
        <v>0.43</v>
      </c>
      <c r="F11" s="8">
        <f t="shared" si="0"/>
        <v>47.31</v>
      </c>
    </row>
    <row r="12" spans="2:6" x14ac:dyDescent="0.25">
      <c r="B12" s="8" t="s">
        <v>88</v>
      </c>
      <c r="C12" s="8" t="str">
        <f>IF(B12="","",VLOOKUP(B12,'Product Sheet'!$B$4:$D$104,2,FALSE))</f>
        <v>MSI Laptop</v>
      </c>
      <c r="D12" s="8">
        <f>IF(B12="","",VLOOKUP(B12,'Product Sheet'!$B$4:$D$104,3,FALSE))</f>
        <v>468</v>
      </c>
      <c r="E12" s="14">
        <v>0.23</v>
      </c>
      <c r="F12" s="8">
        <f t="shared" si="0"/>
        <v>360.36</v>
      </c>
    </row>
    <row r="13" spans="2:6" x14ac:dyDescent="0.25">
      <c r="B13" s="8" t="s">
        <v>89</v>
      </c>
      <c r="C13" s="8" t="str">
        <f>IF(B13="","",VLOOKUP(B13,'Product Sheet'!$B$4:$D$104,2,FALSE))</f>
        <v>Macbook</v>
      </c>
      <c r="D13" s="8">
        <f>IF(B13="","",VLOOKUP(B13,'Product Sheet'!$B$4:$D$104,3,FALSE))</f>
        <v>203</v>
      </c>
      <c r="E13" s="14">
        <v>0.28000000000000003</v>
      </c>
      <c r="F13" s="8">
        <f t="shared" si="0"/>
        <v>146.16</v>
      </c>
    </row>
    <row r="14" spans="2:6" x14ac:dyDescent="0.25">
      <c r="B14" s="8" t="s">
        <v>90</v>
      </c>
      <c r="C14" s="8" t="str">
        <f>IF(B14="","",VLOOKUP(B14,'Product Sheet'!$B$4:$D$104,2,FALSE))</f>
        <v>IMAC</v>
      </c>
      <c r="D14" s="8">
        <f>IF(B14="","",VLOOKUP(B14,'Product Sheet'!$B$4:$D$104,3,FALSE))</f>
        <v>436</v>
      </c>
      <c r="E14" s="14">
        <v>0.13</v>
      </c>
      <c r="F14" s="8">
        <f t="shared" si="0"/>
        <v>379.32</v>
      </c>
    </row>
    <row r="15" spans="2:6" x14ac:dyDescent="0.25">
      <c r="B15" s="8" t="s">
        <v>91</v>
      </c>
      <c r="C15" s="8" t="str">
        <f>IF(B15="","",VLOOKUP(B15,'Product Sheet'!$B$4:$D$104,2,FALSE))</f>
        <v>Iphone 14 Pro</v>
      </c>
      <c r="D15" s="8">
        <f>IF(B15="","",VLOOKUP(B15,'Product Sheet'!$B$4:$D$104,3,FALSE))</f>
        <v>328</v>
      </c>
      <c r="E15" s="14">
        <v>0.25</v>
      </c>
      <c r="F15" s="8">
        <f t="shared" si="0"/>
        <v>246</v>
      </c>
    </row>
    <row r="16" spans="2:6" x14ac:dyDescent="0.25">
      <c r="B16" s="8" t="s">
        <v>92</v>
      </c>
      <c r="C16" s="8" t="str">
        <f>IF(B16="","",VLOOKUP(B16,'Product Sheet'!$B$4:$D$104,2,FALSE))</f>
        <v>Airpods</v>
      </c>
      <c r="D16" s="8">
        <f>IF(B16="","",VLOOKUP(B16,'Product Sheet'!$B$4:$D$104,3,FALSE))</f>
        <v>328</v>
      </c>
      <c r="E16" s="14">
        <v>0.28000000000000003</v>
      </c>
      <c r="F16" s="8">
        <f t="shared" si="0"/>
        <v>236.16</v>
      </c>
    </row>
    <row r="17" spans="2:6" x14ac:dyDescent="0.25">
      <c r="B17" s="8" t="s">
        <v>93</v>
      </c>
      <c r="C17" s="8" t="str">
        <f>IF(B17="","",VLOOKUP(B17,'Product Sheet'!$B$4:$D$104,2,FALSE))</f>
        <v>Samsung Earbuds</v>
      </c>
      <c r="D17" s="8">
        <f>IF(B17="","",VLOOKUP(B17,'Product Sheet'!$B$4:$D$104,3,FALSE))</f>
        <v>154</v>
      </c>
      <c r="E17" s="14">
        <v>0.26</v>
      </c>
      <c r="F17" s="8">
        <f t="shared" si="0"/>
        <v>113.96000000000001</v>
      </c>
    </row>
    <row r="18" spans="2:6" x14ac:dyDescent="0.25">
      <c r="B18" s="8" t="s">
        <v>94</v>
      </c>
      <c r="C18" s="8" t="str">
        <f>IF(B18="","",VLOOKUP(B18,'Product Sheet'!$B$4:$D$104,2,FALSE))</f>
        <v>Magsafe Powerbank</v>
      </c>
      <c r="D18" s="8">
        <f>IF(B18="","",VLOOKUP(B18,'Product Sheet'!$B$4:$D$104,3,FALSE))</f>
        <v>200</v>
      </c>
      <c r="E18" s="14">
        <v>0.15</v>
      </c>
      <c r="F18" s="8">
        <f t="shared" si="0"/>
        <v>170</v>
      </c>
    </row>
    <row r="19" spans="2:6" x14ac:dyDescent="0.25">
      <c r="B19" s="8" t="s">
        <v>95</v>
      </c>
      <c r="C19" s="8" t="str">
        <f>IF(B19="","",VLOOKUP(B19,'Product Sheet'!$B$4:$D$104,2,FALSE))</f>
        <v>Ant-E Sports Cabinet</v>
      </c>
      <c r="D19" s="8">
        <f>IF(B19="","",VLOOKUP(B19,'Product Sheet'!$B$4:$D$104,3,FALSE))</f>
        <v>176</v>
      </c>
      <c r="E19" s="14">
        <v>0.38</v>
      </c>
      <c r="F19" s="8">
        <f t="shared" si="0"/>
        <v>109.12</v>
      </c>
    </row>
    <row r="20" spans="2:6" x14ac:dyDescent="0.25">
      <c r="B20" s="8" t="s">
        <v>96</v>
      </c>
      <c r="C20" s="8" t="str">
        <f>IF(B20="","",VLOOKUP(B20,'Product Sheet'!$B$4:$D$104,2,FALSE))</f>
        <v>250W Power Supply</v>
      </c>
      <c r="D20" s="8">
        <f>IF(B20="","",VLOOKUP(B20,'Product Sheet'!$B$4:$D$104,3,FALSE))</f>
        <v>54</v>
      </c>
      <c r="E20" s="14">
        <v>0.31</v>
      </c>
      <c r="F20" s="8">
        <f t="shared" si="0"/>
        <v>37.260000000000005</v>
      </c>
    </row>
    <row r="21" spans="2:6" x14ac:dyDescent="0.25">
      <c r="B21" s="8" t="s">
        <v>97</v>
      </c>
      <c r="C21" s="8" t="str">
        <f>IF(B21="","",VLOOKUP(B21,'Product Sheet'!$B$4:$D$104,2,FALSE))</f>
        <v>Portronics Wireless Mouse</v>
      </c>
      <c r="D21" s="8">
        <f>IF(B21="","",VLOOKUP(B21,'Product Sheet'!$B$4:$D$104,3,FALSE))</f>
        <v>369</v>
      </c>
      <c r="E21" s="14">
        <v>0.22</v>
      </c>
      <c r="F21" s="8">
        <f t="shared" si="0"/>
        <v>287.82</v>
      </c>
    </row>
    <row r="22" spans="2:6" x14ac:dyDescent="0.25">
      <c r="B22" s="8" t="s">
        <v>98</v>
      </c>
      <c r="C22" s="8" t="str">
        <f>IF(B22="","",VLOOKUP(B22,'Product Sheet'!$B$4:$D$104,2,FALSE))</f>
        <v>Laptop Stand</v>
      </c>
      <c r="D22" s="8">
        <f>IF(B22="","",VLOOKUP(B22,'Product Sheet'!$B$4:$D$104,3,FALSE))</f>
        <v>292</v>
      </c>
      <c r="E22" s="14">
        <v>0.17</v>
      </c>
      <c r="F22" s="8">
        <f t="shared" si="0"/>
        <v>242.36</v>
      </c>
    </row>
    <row r="23" spans="2:6" x14ac:dyDescent="0.25">
      <c r="B23" s="8" t="s">
        <v>99</v>
      </c>
      <c r="C23" s="8" t="str">
        <f>IF(B23="","",VLOOKUP(B23,'Product Sheet'!$B$4:$D$104,2,FALSE))</f>
        <v>Wireless GamePad</v>
      </c>
      <c r="D23" s="8">
        <f>IF(B23="","",VLOOKUP(B23,'Product Sheet'!$B$4:$D$104,3,FALSE))</f>
        <v>256</v>
      </c>
      <c r="E23" s="14">
        <v>0.27</v>
      </c>
      <c r="F23" s="8">
        <f t="shared" si="0"/>
        <v>186.88</v>
      </c>
    </row>
    <row r="24" spans="2:6" x14ac:dyDescent="0.25">
      <c r="B24" s="8" t="s">
        <v>100</v>
      </c>
      <c r="C24" s="8" t="str">
        <f>IF(B24="","",VLOOKUP(B24,'Product Sheet'!$B$4:$D$104,2,FALSE))</f>
        <v>Wired GamePad</v>
      </c>
      <c r="D24" s="8">
        <f>IF(B24="","",VLOOKUP(B24,'Product Sheet'!$B$4:$D$104,3,FALSE))</f>
        <v>390</v>
      </c>
      <c r="E24" s="14">
        <v>0.25</v>
      </c>
      <c r="F24" s="8">
        <f t="shared" si="0"/>
        <v>292.5</v>
      </c>
    </row>
    <row r="25" spans="2:6" x14ac:dyDescent="0.25">
      <c r="B25" s="8" t="s">
        <v>101</v>
      </c>
      <c r="C25" s="8" t="str">
        <f>IF(B25="","",VLOOKUP(B25,'Product Sheet'!$B$4:$D$104,2,FALSE))</f>
        <v>ACER 4K Monitor 244 Hz</v>
      </c>
      <c r="D25" s="8">
        <f>IF(B25="","",VLOOKUP(B25,'Product Sheet'!$B$4:$D$104,3,FALSE))</f>
        <v>375</v>
      </c>
      <c r="E25" s="14">
        <v>0.18</v>
      </c>
      <c r="F25" s="8">
        <f t="shared" si="0"/>
        <v>307.5</v>
      </c>
    </row>
    <row r="26" spans="2:6" x14ac:dyDescent="0.25">
      <c r="B26" s="8" t="s">
        <v>102</v>
      </c>
      <c r="C26" s="8" t="str">
        <f>IF(B26="","",VLOOKUP(B26,'Product Sheet'!$B$4:$D$104,2,FALSE))</f>
        <v>Laptop Bag</v>
      </c>
      <c r="D26" s="8">
        <f>IF(B26="","",VLOOKUP(B26,'Product Sheet'!$B$4:$D$104,3,FALSE))</f>
        <v>220</v>
      </c>
      <c r="E26" s="14">
        <v>0.37</v>
      </c>
      <c r="F26" s="8">
        <f t="shared" si="0"/>
        <v>138.6</v>
      </c>
    </row>
    <row r="27" spans="2:6" x14ac:dyDescent="0.25">
      <c r="B27" s="8" t="s">
        <v>103</v>
      </c>
      <c r="C27" s="8" t="str">
        <f>IF(B27="","",VLOOKUP(B27,'Product Sheet'!$B$4:$D$104,2,FALSE))</f>
        <v>RTX 3050Ti Graphic Card</v>
      </c>
      <c r="D27" s="8">
        <f>IF(B27="","",VLOOKUP(B27,'Product Sheet'!$B$4:$D$104,3,FALSE))</f>
        <v>449</v>
      </c>
      <c r="E27" s="14">
        <v>0.3</v>
      </c>
      <c r="F27" s="8">
        <f t="shared" si="0"/>
        <v>314.3</v>
      </c>
    </row>
    <row r="28" spans="2:6" x14ac:dyDescent="0.25">
      <c r="B28" s="8" t="s">
        <v>104</v>
      </c>
      <c r="C28" s="8" t="str">
        <f>IF(B28="","",VLOOKUP(B28,'Product Sheet'!$B$4:$D$104,2,FALSE))</f>
        <v>RTX 4050 Ti Graphic Card</v>
      </c>
      <c r="D28" s="8">
        <f>IF(B28="","",VLOOKUP(B28,'Product Sheet'!$B$4:$D$104,3,FALSE))</f>
        <v>153</v>
      </c>
      <c r="E28" s="14">
        <v>0.11</v>
      </c>
      <c r="F28" s="8">
        <f t="shared" si="0"/>
        <v>136.16999999999999</v>
      </c>
    </row>
    <row r="29" spans="2:6" x14ac:dyDescent="0.25">
      <c r="B29" s="8" t="s">
        <v>105</v>
      </c>
      <c r="C29" s="8" t="str">
        <f>IF(B29="","",VLOOKUP(B29,'Product Sheet'!$B$4:$D$104,2,FALSE))</f>
        <v>MineCraft Java Edition</v>
      </c>
      <c r="D29" s="8">
        <f>IF(B29="","",VLOOKUP(B29,'Product Sheet'!$B$4:$D$104,3,FALSE))</f>
        <v>391</v>
      </c>
      <c r="E29" s="14">
        <v>0.34</v>
      </c>
      <c r="F29" s="8">
        <f t="shared" si="0"/>
        <v>258.06</v>
      </c>
    </row>
    <row r="30" spans="2:6" x14ac:dyDescent="0.25">
      <c r="B30" s="8" t="s">
        <v>106</v>
      </c>
      <c r="C30" s="8" t="str">
        <f>IF(B30="","",VLOOKUP(B30,'Product Sheet'!$B$4:$D$104,2,FALSE))</f>
        <v>MineCraft Bedrock Edition</v>
      </c>
      <c r="D30" s="8">
        <f>IF(B30="","",VLOOKUP(B30,'Product Sheet'!$B$4:$D$104,3,FALSE))</f>
        <v>318</v>
      </c>
      <c r="E30" s="14">
        <v>0.11</v>
      </c>
      <c r="F30" s="8">
        <f t="shared" si="0"/>
        <v>283.02</v>
      </c>
    </row>
    <row r="31" spans="2:6" x14ac:dyDescent="0.25">
      <c r="B31" s="8" t="s">
        <v>107</v>
      </c>
      <c r="C31" s="8" t="str">
        <f>IF(B31="","",VLOOKUP(B31,'Product Sheet'!$B$4:$D$104,2,FALSE))</f>
        <v>Microsoft Office 365</v>
      </c>
      <c r="D31" s="8">
        <f>IF(B31="","",VLOOKUP(B31,'Product Sheet'!$B$4:$D$104,3,FALSE))</f>
        <v>367</v>
      </c>
      <c r="E31" s="14">
        <v>0.28000000000000003</v>
      </c>
      <c r="F31" s="8">
        <f t="shared" si="0"/>
        <v>264.24</v>
      </c>
    </row>
    <row r="32" spans="2:6" x14ac:dyDescent="0.25">
      <c r="B32" s="8" t="s">
        <v>108</v>
      </c>
      <c r="C32" s="8" t="str">
        <f>IF(B32="","",VLOOKUP(B32,'Product Sheet'!$B$4:$D$104,2,FALSE))</f>
        <v>Normal Calculator</v>
      </c>
      <c r="D32" s="8">
        <f>IF(B32="","",VLOOKUP(B32,'Product Sheet'!$B$4:$D$104,3,FALSE))</f>
        <v>216</v>
      </c>
      <c r="E32" s="14">
        <v>0.39</v>
      </c>
      <c r="F32" s="8">
        <f t="shared" si="0"/>
        <v>131.76</v>
      </c>
    </row>
    <row r="33" spans="2:6" x14ac:dyDescent="0.25">
      <c r="B33" s="8" t="s">
        <v>109</v>
      </c>
      <c r="C33" s="8" t="str">
        <f>IF(B33="","",VLOOKUP(B33,'Product Sheet'!$B$4:$D$104,2,FALSE))</f>
        <v>Scientific Calculator</v>
      </c>
      <c r="D33" s="8">
        <f>IF(B33="","",VLOOKUP(B33,'Product Sheet'!$B$4:$D$104,3,FALSE))</f>
        <v>309</v>
      </c>
      <c r="E33" s="14">
        <v>0.24</v>
      </c>
      <c r="F33" s="8">
        <f t="shared" si="0"/>
        <v>234.84</v>
      </c>
    </row>
    <row r="34" spans="2:6" x14ac:dyDescent="0.25">
      <c r="B34" s="8" t="s">
        <v>110</v>
      </c>
      <c r="C34" s="8" t="str">
        <f>IF(B34="","",VLOOKUP(B34,'Product Sheet'!$B$4:$D$104,2,FALSE))</f>
        <v>Windows11 Key</v>
      </c>
      <c r="D34" s="8">
        <f>IF(B34="","",VLOOKUP(B34,'Product Sheet'!$B$4:$D$104,3,FALSE))</f>
        <v>298</v>
      </c>
      <c r="E34" s="14">
        <v>0.14000000000000001</v>
      </c>
      <c r="F34" s="8">
        <f t="shared" si="0"/>
        <v>256.27999999999997</v>
      </c>
    </row>
    <row r="35" spans="2:6" x14ac:dyDescent="0.25">
      <c r="B35" s="8" t="s">
        <v>111</v>
      </c>
      <c r="C35" s="8" t="str">
        <f>IF(B35="","",VLOOKUP(B35,'Product Sheet'!$B$4:$D$104,2,FALSE))</f>
        <v>Boat Earbuds</v>
      </c>
      <c r="D35" s="8">
        <f>IF(B35="","",VLOOKUP(B35,'Product Sheet'!$B$4:$D$104,3,FALSE))</f>
        <v>143</v>
      </c>
      <c r="E35" s="14">
        <v>0.46</v>
      </c>
      <c r="F35" s="8">
        <f t="shared" si="0"/>
        <v>77.22</v>
      </c>
    </row>
    <row r="36" spans="2:6" x14ac:dyDescent="0.25">
      <c r="B36" s="8" t="s">
        <v>112</v>
      </c>
      <c r="C36" s="8" t="str">
        <f>IF(B36="","",VLOOKUP(B36,'Product Sheet'!$B$4:$D$104,2,FALSE))</f>
        <v>Boat Soundbar</v>
      </c>
      <c r="D36" s="8">
        <f>IF(B36="","",VLOOKUP(B36,'Product Sheet'!$B$4:$D$104,3,FALSE))</f>
        <v>273</v>
      </c>
      <c r="E36" s="14">
        <v>0.39</v>
      </c>
      <c r="F36" s="8">
        <f t="shared" si="0"/>
        <v>166.53</v>
      </c>
    </row>
    <row r="37" spans="2:6" x14ac:dyDescent="0.25">
      <c r="B37" s="8" t="s">
        <v>113</v>
      </c>
      <c r="C37" s="8" t="str">
        <f>IF(B37="","",VLOOKUP(B37,'Product Sheet'!$B$4:$D$104,2,FALSE))</f>
        <v>Samsung 8K OLED TV</v>
      </c>
      <c r="D37" s="8">
        <f>IF(B37="","",VLOOKUP(B37,'Product Sheet'!$B$4:$D$104,3,FALSE))</f>
        <v>357</v>
      </c>
      <c r="E37" s="14">
        <v>0.22</v>
      </c>
      <c r="F37" s="8">
        <f t="shared" si="0"/>
        <v>278.45999999999998</v>
      </c>
    </row>
    <row r="38" spans="2:6" x14ac:dyDescent="0.25">
      <c r="B38" s="8" t="s">
        <v>114</v>
      </c>
      <c r="C38" s="8" t="str">
        <f>IF(B38="","",VLOOKUP(B38,'Product Sheet'!$B$4:$D$104,2,FALSE))</f>
        <v>Ant-E Sports Gaming Wheel</v>
      </c>
      <c r="D38" s="8">
        <f>IF(B38="","",VLOOKUP(B38,'Product Sheet'!$B$4:$D$104,3,FALSE))</f>
        <v>53</v>
      </c>
      <c r="E38" s="14">
        <v>0.22</v>
      </c>
      <c r="F38" s="8">
        <f t="shared" si="0"/>
        <v>41.34</v>
      </c>
    </row>
    <row r="39" spans="2:6" x14ac:dyDescent="0.25">
      <c r="B39" s="8" t="s">
        <v>115</v>
      </c>
      <c r="C39" s="8" t="str">
        <f>IF(B39="","",VLOOKUP(B39,'Product Sheet'!$B$4:$D$104,2,FALSE))</f>
        <v>Forza Horizon 5</v>
      </c>
      <c r="D39" s="8">
        <f>IF(B39="","",VLOOKUP(B39,'Product Sheet'!$B$4:$D$104,3,FALSE))</f>
        <v>118</v>
      </c>
      <c r="E39" s="14">
        <v>0.48</v>
      </c>
      <c r="F39" s="8">
        <f t="shared" si="0"/>
        <v>61.36</v>
      </c>
    </row>
    <row r="40" spans="2:6" x14ac:dyDescent="0.25">
      <c r="B40" s="8" t="s">
        <v>116</v>
      </c>
      <c r="C40" s="8" t="str">
        <f>IF(B40="","",VLOOKUP(B40,'Product Sheet'!$B$4:$D$104,2,FALSE))</f>
        <v>Jainex Switch</v>
      </c>
      <c r="D40" s="8">
        <f>IF(B40="","",VLOOKUP(B40,'Product Sheet'!$B$4:$D$104,3,FALSE))</f>
        <v>251</v>
      </c>
      <c r="E40" s="14">
        <v>0.45</v>
      </c>
      <c r="F40" s="8">
        <f t="shared" si="0"/>
        <v>138.05000000000001</v>
      </c>
    </row>
    <row r="41" spans="2:6" x14ac:dyDescent="0.25">
      <c r="B41" s="8" t="s">
        <v>117</v>
      </c>
      <c r="C41" s="8" t="str">
        <f>IF(B41="","",VLOOKUP(B41,'Product Sheet'!$B$4:$D$104,2,FALSE))</f>
        <v>Computer Table (Normal)</v>
      </c>
      <c r="D41" s="8">
        <f>IF(B41="","",VLOOKUP(B41,'Product Sheet'!$B$4:$D$104,3,FALSE))</f>
        <v>449</v>
      </c>
      <c r="E41" s="14">
        <v>0.18</v>
      </c>
      <c r="F41" s="8">
        <f t="shared" si="0"/>
        <v>368.18</v>
      </c>
    </row>
    <row r="42" spans="2:6" x14ac:dyDescent="0.25">
      <c r="B42" s="8" t="s">
        <v>118</v>
      </c>
      <c r="C42" s="8" t="str">
        <f>IF(B42="","",VLOOKUP(B42,'Product Sheet'!$B$4:$D$104,2,FALSE))</f>
        <v>Computer Table (Adjustable)</v>
      </c>
      <c r="D42" s="8">
        <f>IF(B42="","",VLOOKUP(B42,'Product Sheet'!$B$4:$D$104,3,FALSE))</f>
        <v>185</v>
      </c>
      <c r="E42" s="14">
        <v>0.11</v>
      </c>
      <c r="F42" s="8">
        <f t="shared" si="0"/>
        <v>164.65</v>
      </c>
    </row>
    <row r="43" spans="2:6" x14ac:dyDescent="0.25">
      <c r="B43" s="8" t="s">
        <v>119</v>
      </c>
      <c r="C43" s="8" t="str">
        <f>IF(B43="","",VLOOKUP(B43,'Product Sheet'!$B$4:$D$104,2,FALSE))</f>
        <v>Ipad Mini</v>
      </c>
      <c r="D43" s="8">
        <f>IF(B43="","",VLOOKUP(B43,'Product Sheet'!$B$4:$D$104,3,FALSE))</f>
        <v>403</v>
      </c>
      <c r="E43" s="14">
        <v>0.14000000000000001</v>
      </c>
      <c r="F43" s="8">
        <f t="shared" si="0"/>
        <v>346.58</v>
      </c>
    </row>
    <row r="44" spans="2:6" x14ac:dyDescent="0.25">
      <c r="B44" s="8" t="s">
        <v>120</v>
      </c>
      <c r="C44" s="8" t="str">
        <f>IF(B44="","",VLOOKUP(B44,'Product Sheet'!$B$4:$D$104,2,FALSE))</f>
        <v>Macbook Pro M4</v>
      </c>
      <c r="D44" s="8">
        <f>IF(B44="","",VLOOKUP(B44,'Product Sheet'!$B$4:$D$104,3,FALSE))</f>
        <v>82</v>
      </c>
      <c r="E44" s="14">
        <v>0.34</v>
      </c>
      <c r="F44" s="8">
        <f t="shared" si="0"/>
        <v>54.12</v>
      </c>
    </row>
    <row r="45" spans="2:6" x14ac:dyDescent="0.25">
      <c r="B45" s="8" t="s">
        <v>121</v>
      </c>
      <c r="C45" s="8" t="str">
        <f>IF(B45="","",VLOOKUP(B45,'Product Sheet'!$B$4:$D$104,2,FALSE))</f>
        <v>Macbook Pro M5</v>
      </c>
      <c r="D45" s="8">
        <f>IF(B45="","",VLOOKUP(B45,'Product Sheet'!$B$4:$D$104,3,FALSE))</f>
        <v>314</v>
      </c>
      <c r="E45" s="14">
        <v>0.37</v>
      </c>
      <c r="F45" s="8">
        <f t="shared" si="0"/>
        <v>197.82</v>
      </c>
    </row>
    <row r="46" spans="2:6" x14ac:dyDescent="0.25">
      <c r="B46" s="8" t="s">
        <v>122</v>
      </c>
      <c r="C46" s="8" t="str">
        <f>IF(B46="","",VLOOKUP(B46,'Product Sheet'!$B$4:$D$104,2,FALSE))</f>
        <v>DDR4 RAM 16GB</v>
      </c>
      <c r="D46" s="8">
        <f>IF(B46="","",VLOOKUP(B46,'Product Sheet'!$B$4:$D$104,3,FALSE))</f>
        <v>403</v>
      </c>
      <c r="E46" s="14">
        <v>0.28000000000000003</v>
      </c>
      <c r="F46" s="8">
        <f t="shared" si="0"/>
        <v>290.15999999999997</v>
      </c>
    </row>
    <row r="47" spans="2:6" x14ac:dyDescent="0.25">
      <c r="B47" s="8" t="s">
        <v>123</v>
      </c>
      <c r="C47" s="8" t="str">
        <f>IF(B47="","",VLOOKUP(B47,'Product Sheet'!$B$4:$D$104,2,FALSE))</f>
        <v>Ipad Pro</v>
      </c>
      <c r="D47" s="8">
        <f>IF(B47="","",VLOOKUP(B47,'Product Sheet'!$B$4:$D$104,3,FALSE))</f>
        <v>109</v>
      </c>
      <c r="E47" s="14">
        <v>0.5</v>
      </c>
      <c r="F47" s="8">
        <f t="shared" si="0"/>
        <v>54.5</v>
      </c>
    </row>
    <row r="48" spans="2:6" x14ac:dyDescent="0.25">
      <c r="B48" s="8" t="s">
        <v>124</v>
      </c>
      <c r="C48" s="8" t="str">
        <f>IF(B48="","",VLOOKUP(B48,'Product Sheet'!$B$4:$D$104,2,FALSE))</f>
        <v>HP Printer</v>
      </c>
      <c r="D48" s="8">
        <f>IF(B48="","",VLOOKUP(B48,'Product Sheet'!$B$4:$D$104,3,FALSE))</f>
        <v>470</v>
      </c>
      <c r="E48" s="14">
        <v>0.5</v>
      </c>
      <c r="F48" s="8">
        <f t="shared" si="0"/>
        <v>235</v>
      </c>
    </row>
    <row r="49" spans="2:6" x14ac:dyDescent="0.25">
      <c r="B49" s="8" t="s">
        <v>125</v>
      </c>
      <c r="C49" s="8" t="str">
        <f>IF(B49="","",VLOOKUP(B49,'Product Sheet'!$B$4:$D$104,2,FALSE))</f>
        <v>LED Bulb</v>
      </c>
      <c r="D49" s="8">
        <f>IF(B49="","",VLOOKUP(B49,'Product Sheet'!$B$4:$D$104,3,FALSE))</f>
        <v>230</v>
      </c>
      <c r="E49" s="14">
        <v>0.25</v>
      </c>
      <c r="F49" s="8">
        <f t="shared" si="0"/>
        <v>172.5</v>
      </c>
    </row>
    <row r="50" spans="2:6" x14ac:dyDescent="0.25">
      <c r="B50" s="8" t="s">
        <v>126</v>
      </c>
      <c r="C50" s="8" t="str">
        <f>IF(B50="","",VLOOKUP(B50,'Product Sheet'!$B$4:$D$104,2,FALSE))</f>
        <v>LED Multicolour Light</v>
      </c>
      <c r="D50" s="8">
        <f>IF(B50="","",VLOOKUP(B50,'Product Sheet'!$B$4:$D$104,3,FALSE))</f>
        <v>110</v>
      </c>
      <c r="E50" s="14">
        <v>0.48</v>
      </c>
      <c r="F50" s="8">
        <f t="shared" si="0"/>
        <v>57.2</v>
      </c>
    </row>
    <row r="51" spans="2:6" x14ac:dyDescent="0.25">
      <c r="B51" s="8" t="s">
        <v>127</v>
      </c>
      <c r="C51" s="8" t="str">
        <f>IF(B51="","",VLOOKUP(B51,'Product Sheet'!$B$4:$D$104,2,FALSE))</f>
        <v>Gold Foil</v>
      </c>
      <c r="D51" s="8">
        <f>IF(B51="","",VLOOKUP(B51,'Product Sheet'!$B$4:$D$104,3,FALSE))</f>
        <v>484</v>
      </c>
      <c r="E51" s="14">
        <v>0.21</v>
      </c>
      <c r="F51" s="8">
        <f t="shared" si="0"/>
        <v>382.36</v>
      </c>
    </row>
    <row r="52" spans="2:6" x14ac:dyDescent="0.25">
      <c r="B52" s="8" t="s">
        <v>128</v>
      </c>
      <c r="C52" s="8" t="str">
        <f>IF(B52="","",VLOOKUP(B52,'Product Sheet'!$B$4:$D$104,2,FALSE))</f>
        <v>Apple Watch</v>
      </c>
      <c r="D52" s="8">
        <f>IF(B52="","",VLOOKUP(B52,'Product Sheet'!$B$4:$D$104,3,FALSE))</f>
        <v>52</v>
      </c>
      <c r="E52" s="14">
        <v>0.46</v>
      </c>
      <c r="F52" s="8">
        <f t="shared" si="0"/>
        <v>28.08</v>
      </c>
    </row>
    <row r="53" spans="2:6" x14ac:dyDescent="0.25">
      <c r="B53" s="8" t="s">
        <v>129</v>
      </c>
      <c r="C53" s="8" t="str">
        <f>IF(B53="","",VLOOKUP(B53,'Product Sheet'!$B$4:$D$104,2,FALSE))</f>
        <v>Samsung Smart Watch</v>
      </c>
      <c r="D53" s="8">
        <f>IF(B53="","",VLOOKUP(B53,'Product Sheet'!$B$4:$D$104,3,FALSE))</f>
        <v>429</v>
      </c>
      <c r="E53" s="14">
        <v>0.46</v>
      </c>
      <c r="F53" s="8">
        <f t="shared" si="0"/>
        <v>231.66</v>
      </c>
    </row>
    <row r="54" spans="2:6" x14ac:dyDescent="0.25">
      <c r="B54" s="8" t="s">
        <v>130</v>
      </c>
      <c r="C54" s="8" t="str">
        <f>IF(B54="","",VLOOKUP(B54,'Product Sheet'!$B$4:$D$104,2,FALSE))</f>
        <v>Noise Smart Watch</v>
      </c>
      <c r="D54" s="8">
        <f>IF(B54="","",VLOOKUP(B54,'Product Sheet'!$B$4:$D$104,3,FALSE))</f>
        <v>456</v>
      </c>
      <c r="E54" s="14">
        <v>0.39</v>
      </c>
      <c r="F54" s="8">
        <f t="shared" si="0"/>
        <v>278.15999999999997</v>
      </c>
    </row>
    <row r="55" spans="2:6" x14ac:dyDescent="0.25">
      <c r="B55" s="8" t="s">
        <v>131</v>
      </c>
      <c r="C55" s="8" t="str">
        <f>IF(B55="","",VLOOKUP(B55,'Product Sheet'!$B$4:$D$104,2,FALSE))</f>
        <v>Normal Chair</v>
      </c>
      <c r="D55" s="8">
        <f>IF(B55="","",VLOOKUP(B55,'Product Sheet'!$B$4:$D$104,3,FALSE))</f>
        <v>339</v>
      </c>
      <c r="E55" s="14">
        <v>0.4</v>
      </c>
      <c r="F55" s="8">
        <f t="shared" si="0"/>
        <v>203.4</v>
      </c>
    </row>
    <row r="56" spans="2:6" x14ac:dyDescent="0.25">
      <c r="B56" s="8" t="s">
        <v>132</v>
      </c>
      <c r="C56" s="8" t="str">
        <f>IF(B56="","",VLOOKUP(B56,'Product Sheet'!$B$4:$D$104,2,FALSE))</f>
        <v>Gaming Chair</v>
      </c>
      <c r="D56" s="8">
        <f>IF(B56="","",VLOOKUP(B56,'Product Sheet'!$B$4:$D$104,3,FALSE))</f>
        <v>322</v>
      </c>
      <c r="E56" s="14">
        <v>0.11</v>
      </c>
      <c r="F56" s="8">
        <f t="shared" si="0"/>
        <v>286.58</v>
      </c>
    </row>
    <row r="57" spans="2:6" x14ac:dyDescent="0.25">
      <c r="B57" s="8" t="s">
        <v>133</v>
      </c>
      <c r="C57" s="8" t="str">
        <f>IF(B57="","",VLOOKUP(B57,'Product Sheet'!$B$4:$D$104,2,FALSE))</f>
        <v>Laptop Charger</v>
      </c>
      <c r="D57" s="8">
        <f>IF(B57="","",VLOOKUP(B57,'Product Sheet'!$B$4:$D$104,3,FALSE))</f>
        <v>222</v>
      </c>
      <c r="E57" s="14">
        <v>0.31</v>
      </c>
      <c r="F57" s="8">
        <f t="shared" si="0"/>
        <v>153.18</v>
      </c>
    </row>
    <row r="58" spans="2:6" x14ac:dyDescent="0.25">
      <c r="B58" s="8" t="s">
        <v>134</v>
      </c>
      <c r="C58" s="8" t="str">
        <f>IF(B58="","",VLOOKUP(B58,'Product Sheet'!$B$4:$D$104,2,FALSE))</f>
        <v>Phone Charger</v>
      </c>
      <c r="D58" s="8">
        <f>IF(B58="","",VLOOKUP(B58,'Product Sheet'!$B$4:$D$104,3,FALSE))</f>
        <v>464</v>
      </c>
      <c r="E58" s="14">
        <v>0.1</v>
      </c>
      <c r="F58" s="8">
        <f t="shared" si="0"/>
        <v>417.6</v>
      </c>
    </row>
    <row r="59" spans="2:6" x14ac:dyDescent="0.25">
      <c r="B59" s="8" t="s">
        <v>135</v>
      </c>
      <c r="C59" s="8" t="str">
        <f>IF(B59="","",VLOOKUP(B59,'Product Sheet'!$B$4:$D$104,2,FALSE))</f>
        <v>Power Cable</v>
      </c>
      <c r="D59" s="8">
        <f>IF(B59="","",VLOOKUP(B59,'Product Sheet'!$B$4:$D$104,3,FALSE))</f>
        <v>291</v>
      </c>
      <c r="E59" s="14">
        <v>0.42</v>
      </c>
      <c r="F59" s="8">
        <f t="shared" si="0"/>
        <v>168.78</v>
      </c>
    </row>
    <row r="60" spans="2:6" x14ac:dyDescent="0.25">
      <c r="B60" s="8" t="s">
        <v>136</v>
      </c>
      <c r="C60" s="8" t="str">
        <f>IF(B60="","",VLOOKUP(B60,'Product Sheet'!$B$4:$D$104,2,FALSE))</f>
        <v>RDR2</v>
      </c>
      <c r="D60" s="8">
        <f>IF(B60="","",VLOOKUP(B60,'Product Sheet'!$B$4:$D$104,3,FALSE))</f>
        <v>484</v>
      </c>
      <c r="E60" s="14">
        <v>0.24</v>
      </c>
      <c r="F60" s="8">
        <f t="shared" si="0"/>
        <v>367.84000000000003</v>
      </c>
    </row>
    <row r="61" spans="2:6" x14ac:dyDescent="0.25">
      <c r="B61" s="8" t="s">
        <v>137</v>
      </c>
      <c r="C61" s="8" t="str">
        <f>IF(B61="","",VLOOKUP(B61,'Product Sheet'!$B$4:$D$104,2,FALSE))</f>
        <v>Type-c Cable</v>
      </c>
      <c r="D61" s="8">
        <f>IF(B61="","",VLOOKUP(B61,'Product Sheet'!$B$4:$D$104,3,FALSE))</f>
        <v>228</v>
      </c>
      <c r="E61" s="14">
        <v>0.27</v>
      </c>
      <c r="F61" s="8">
        <f t="shared" si="0"/>
        <v>166.44</v>
      </c>
    </row>
    <row r="62" spans="2:6" x14ac:dyDescent="0.25">
      <c r="B62" s="8" t="s">
        <v>138</v>
      </c>
      <c r="C62" s="8" t="str">
        <f>IF(B62="","",VLOOKUP(B62,'Product Sheet'!$B$4:$D$104,2,FALSE))</f>
        <v>Micro-usb Cable</v>
      </c>
      <c r="D62" s="8">
        <f>IF(B62="","",VLOOKUP(B62,'Product Sheet'!$B$4:$D$104,3,FALSE))</f>
        <v>304</v>
      </c>
      <c r="E62" s="14">
        <v>0.23</v>
      </c>
      <c r="F62" s="8">
        <f t="shared" si="0"/>
        <v>234.07999999999998</v>
      </c>
    </row>
    <row r="63" spans="2:6" x14ac:dyDescent="0.25">
      <c r="B63" s="8" t="s">
        <v>139</v>
      </c>
      <c r="C63" s="8" t="str">
        <f>IF(B63="","",VLOOKUP(B63,'Product Sheet'!$B$4:$D$104,2,FALSE))</f>
        <v>Thunderbolt Cable</v>
      </c>
      <c r="D63" s="8">
        <f>IF(B63="","",VLOOKUP(B63,'Product Sheet'!$B$4:$D$104,3,FALSE))</f>
        <v>379</v>
      </c>
      <c r="E63" s="14">
        <v>0.26</v>
      </c>
      <c r="F63" s="8">
        <f t="shared" si="0"/>
        <v>280.45999999999998</v>
      </c>
    </row>
    <row r="64" spans="2:6" x14ac:dyDescent="0.25">
      <c r="B64" s="8" t="s">
        <v>140</v>
      </c>
      <c r="C64" s="8" t="str">
        <f>IF(B64="","",VLOOKUP(B64,'Product Sheet'!$B$4:$D$104,2,FALSE))</f>
        <v>Premium Switches</v>
      </c>
      <c r="D64" s="8">
        <f>IF(B64="","",VLOOKUP(B64,'Product Sheet'!$B$4:$D$104,3,FALSE))</f>
        <v>224</v>
      </c>
      <c r="E64" s="14">
        <v>0.19</v>
      </c>
      <c r="F64" s="8">
        <f t="shared" si="0"/>
        <v>181.44</v>
      </c>
    </row>
    <row r="65" spans="2:6" x14ac:dyDescent="0.25">
      <c r="B65" s="8" t="s">
        <v>141</v>
      </c>
      <c r="C65" s="8" t="str">
        <f>IF(B65="","",VLOOKUP(B65,'Product Sheet'!$B$4:$D$104,2,FALSE))</f>
        <v>RGB Cabinet</v>
      </c>
      <c r="D65" s="8">
        <f>IF(B65="","",VLOOKUP(B65,'Product Sheet'!$B$4:$D$104,3,FALSE))</f>
        <v>439</v>
      </c>
      <c r="E65" s="14">
        <v>0.47</v>
      </c>
      <c r="F65" s="8">
        <f t="shared" si="0"/>
        <v>232.67000000000002</v>
      </c>
    </row>
    <row r="66" spans="2:6" x14ac:dyDescent="0.25">
      <c r="B66" s="8" t="s">
        <v>142</v>
      </c>
      <c r="C66" s="8" t="str">
        <f>IF(B66="","",VLOOKUP(B66,'Product Sheet'!$B$4:$D$104,2,FALSE))</f>
        <v>Normal Cabinet</v>
      </c>
      <c r="D66" s="8">
        <f>IF(B66="","",VLOOKUP(B66,'Product Sheet'!$B$4:$D$104,3,FALSE))</f>
        <v>75</v>
      </c>
      <c r="E66" s="14">
        <v>0.45</v>
      </c>
      <c r="F66" s="8">
        <f t="shared" si="0"/>
        <v>41.25</v>
      </c>
    </row>
    <row r="67" spans="2:6" x14ac:dyDescent="0.25">
      <c r="B67" s="8" t="s">
        <v>143</v>
      </c>
      <c r="C67" s="8" t="str">
        <f>IF(B67="","",VLOOKUP(B67,'Product Sheet'!$B$4:$D$104,2,FALSE))</f>
        <v>Wired Powerbank 10,000 mAh</v>
      </c>
      <c r="D67" s="8">
        <f>IF(B67="","",VLOOKUP(B67,'Product Sheet'!$B$4:$D$104,3,FALSE))</f>
        <v>187</v>
      </c>
      <c r="E67" s="14">
        <v>0.38</v>
      </c>
      <c r="F67" s="8">
        <f t="shared" si="0"/>
        <v>115.94</v>
      </c>
    </row>
    <row r="68" spans="2:6" x14ac:dyDescent="0.25">
      <c r="B68" s="8" t="s">
        <v>144</v>
      </c>
      <c r="C68" s="8" t="str">
        <f>IF(B68="","",VLOOKUP(B68,'Product Sheet'!$B$4:$D$104,2,FALSE))</f>
        <v>HP Victus</v>
      </c>
      <c r="D68" s="8">
        <f>IF(B68="","",VLOOKUP(B68,'Product Sheet'!$B$4:$D$104,3,FALSE))</f>
        <v>196</v>
      </c>
      <c r="E68" s="14">
        <v>0.1</v>
      </c>
      <c r="F68" s="8">
        <f t="shared" ref="F68:F102" si="1">IF(B68="","",(D68-D68*E68))</f>
        <v>176.4</v>
      </c>
    </row>
    <row r="69" spans="2:6" x14ac:dyDescent="0.25">
      <c r="B69" s="8" t="s">
        <v>145</v>
      </c>
      <c r="C69" s="8" t="str">
        <f>IF(B69="","",VLOOKUP(B69,'Product Sheet'!$B$4:$D$104,2,FALSE))</f>
        <v>Lenovo CPU</v>
      </c>
      <c r="D69" s="8">
        <f>IF(B69="","",VLOOKUP(B69,'Product Sheet'!$B$4:$D$104,3,FALSE))</f>
        <v>419</v>
      </c>
      <c r="E69" s="14">
        <v>0.38</v>
      </c>
      <c r="F69" s="8">
        <f t="shared" si="1"/>
        <v>259.77999999999997</v>
      </c>
    </row>
    <row r="70" spans="2:6" x14ac:dyDescent="0.25">
      <c r="B70" s="8" t="s">
        <v>146</v>
      </c>
      <c r="C70" s="8" t="str">
        <f>IF(B70="","",VLOOKUP(B70,'Product Sheet'!$B$4:$D$104,2,FALSE))</f>
        <v>Lenovo YOGA Lapotop</v>
      </c>
      <c r="D70" s="8">
        <f>IF(B70="","",VLOOKUP(B70,'Product Sheet'!$B$4:$D$104,3,FALSE))</f>
        <v>63</v>
      </c>
      <c r="E70" s="14">
        <v>0.31</v>
      </c>
      <c r="F70" s="8">
        <f t="shared" si="1"/>
        <v>43.47</v>
      </c>
    </row>
    <row r="71" spans="2:6" x14ac:dyDescent="0.25">
      <c r="B71" s="8" t="s">
        <v>147</v>
      </c>
      <c r="C71" s="8" t="str">
        <f>IF(B71="","",VLOOKUP(B71,'Product Sheet'!$B$4:$D$104,2,FALSE))</f>
        <v>Lenovo Legion</v>
      </c>
      <c r="D71" s="8">
        <f>IF(B71="","",VLOOKUP(B71,'Product Sheet'!$B$4:$D$104,3,FALSE))</f>
        <v>283</v>
      </c>
      <c r="E71" s="14">
        <v>0.41</v>
      </c>
      <c r="F71" s="8">
        <f t="shared" si="1"/>
        <v>166.97000000000003</v>
      </c>
    </row>
    <row r="72" spans="2:6" x14ac:dyDescent="0.25">
      <c r="B72" s="8" t="s">
        <v>148</v>
      </c>
      <c r="C72" s="8" t="str">
        <f>IF(B72="","",VLOOKUP(B72,'Product Sheet'!$B$4:$D$104,2,FALSE))</f>
        <v>Nintendo Switch</v>
      </c>
      <c r="D72" s="8">
        <f>IF(B72="","",VLOOKUP(B72,'Product Sheet'!$B$4:$D$104,3,FALSE))</f>
        <v>292</v>
      </c>
      <c r="E72" s="14">
        <v>0.28000000000000003</v>
      </c>
      <c r="F72" s="8">
        <f t="shared" si="1"/>
        <v>210.24</v>
      </c>
    </row>
    <row r="73" spans="2:6" x14ac:dyDescent="0.25">
      <c r="B73" s="8" t="s">
        <v>149</v>
      </c>
      <c r="C73" s="8" t="str">
        <f>IF(B73="","",VLOOKUP(B73,'Product Sheet'!$B$4:$D$104,2,FALSE))</f>
        <v>PlayStation 5</v>
      </c>
      <c r="D73" s="8">
        <f>IF(B73="","",VLOOKUP(B73,'Product Sheet'!$B$4:$D$104,3,FALSE))</f>
        <v>124</v>
      </c>
      <c r="E73" s="14">
        <v>0.19</v>
      </c>
      <c r="F73" s="8">
        <f t="shared" si="1"/>
        <v>100.44</v>
      </c>
    </row>
    <row r="74" spans="2:6" x14ac:dyDescent="0.25">
      <c r="B74" s="8" t="s">
        <v>150</v>
      </c>
      <c r="C74" s="8" t="str">
        <f>IF(B74="","",VLOOKUP(B74,'Product Sheet'!$B$4:$D$104,2,FALSE))</f>
        <v>PlayStation 4</v>
      </c>
      <c r="D74" s="8">
        <f>IF(B74="","",VLOOKUP(B74,'Product Sheet'!$B$4:$D$104,3,FALSE))</f>
        <v>245</v>
      </c>
      <c r="E74" s="14">
        <v>0.23</v>
      </c>
      <c r="F74" s="8">
        <f t="shared" si="1"/>
        <v>188.65</v>
      </c>
    </row>
    <row r="75" spans="2:6" x14ac:dyDescent="0.25">
      <c r="B75" s="8" t="s">
        <v>151</v>
      </c>
      <c r="C75" s="8" t="str">
        <f>IF(B75="","",VLOOKUP(B75,'Product Sheet'!$B$4:$D$104,2,FALSE))</f>
        <v>XBOX Series2</v>
      </c>
      <c r="D75" s="8">
        <f>IF(B75="","",VLOOKUP(B75,'Product Sheet'!$B$4:$D$104,3,FALSE))</f>
        <v>420</v>
      </c>
      <c r="E75" s="14">
        <v>0.21</v>
      </c>
      <c r="F75" s="8">
        <f t="shared" si="1"/>
        <v>331.8</v>
      </c>
    </row>
    <row r="76" spans="2:6" x14ac:dyDescent="0.25">
      <c r="B76" s="8" t="s">
        <v>152</v>
      </c>
      <c r="C76" s="8" t="str">
        <f>IF(B76="","",VLOOKUP(B76,'Product Sheet'!$B$4:$D$104,2,FALSE))</f>
        <v>Plushes</v>
      </c>
      <c r="D76" s="8">
        <f>IF(B76="","",VLOOKUP(B76,'Product Sheet'!$B$4:$D$104,3,FALSE))</f>
        <v>122</v>
      </c>
      <c r="E76" s="14">
        <v>0.43</v>
      </c>
      <c r="F76" s="8">
        <f t="shared" si="1"/>
        <v>69.539999999999992</v>
      </c>
    </row>
    <row r="77" spans="2:6" x14ac:dyDescent="0.25">
      <c r="B77" s="8" t="s">
        <v>153</v>
      </c>
      <c r="C77" s="8" t="str">
        <f>IF(B77="","",VLOOKUP(B77,'Product Sheet'!$B$4:$D$104,2,FALSE))</f>
        <v>Mini Cars</v>
      </c>
      <c r="D77" s="8">
        <f>IF(B77="","",VLOOKUP(B77,'Product Sheet'!$B$4:$D$104,3,FALSE))</f>
        <v>368</v>
      </c>
      <c r="E77" s="14">
        <v>0.23</v>
      </c>
      <c r="F77" s="8">
        <f t="shared" si="1"/>
        <v>283.36</v>
      </c>
    </row>
    <row r="78" spans="2:6" x14ac:dyDescent="0.25">
      <c r="B78" s="8" t="s">
        <v>154</v>
      </c>
      <c r="C78" s="8" t="str">
        <f>IF(B78="","",VLOOKUP(B78,'Product Sheet'!$B$4:$D$104,2,FALSE))</f>
        <v>RC Cars</v>
      </c>
      <c r="D78" s="8">
        <f>IF(B78="","",VLOOKUP(B78,'Product Sheet'!$B$4:$D$104,3,FALSE))</f>
        <v>415</v>
      </c>
      <c r="E78" s="14">
        <v>0.24</v>
      </c>
      <c r="F78" s="8">
        <f t="shared" si="1"/>
        <v>315.39999999999998</v>
      </c>
    </row>
    <row r="79" spans="2:6" x14ac:dyDescent="0.25">
      <c r="B79" s="8" t="s">
        <v>155</v>
      </c>
      <c r="C79" s="8" t="str">
        <f>IF(B79="","",VLOOKUP(B79,'Product Sheet'!$B$4:$D$104,2,FALSE))</f>
        <v>Foot Rest</v>
      </c>
      <c r="D79" s="8">
        <f>IF(B79="","",VLOOKUP(B79,'Product Sheet'!$B$4:$D$104,3,FALSE))</f>
        <v>461</v>
      </c>
      <c r="E79" s="14">
        <v>0.44</v>
      </c>
      <c r="F79" s="8">
        <f t="shared" si="1"/>
        <v>258.15999999999997</v>
      </c>
    </row>
    <row r="80" spans="2:6" x14ac:dyDescent="0.25">
      <c r="B80" s="8" t="s">
        <v>156</v>
      </c>
      <c r="C80" s="8" t="str">
        <f>IF(B80="","",VLOOKUP(B80,'Product Sheet'!$B$4:$D$104,2,FALSE))</f>
        <v>Logitech Gaming Wheel</v>
      </c>
      <c r="D80" s="8">
        <f>IF(B80="","",VLOOKUP(B80,'Product Sheet'!$B$4:$D$104,3,FALSE))</f>
        <v>61</v>
      </c>
      <c r="E80" s="14">
        <v>0.13</v>
      </c>
      <c r="F80" s="8">
        <f t="shared" si="1"/>
        <v>53.07</v>
      </c>
    </row>
    <row r="81" spans="2:6" x14ac:dyDescent="0.25">
      <c r="B81" s="8" t="s">
        <v>157</v>
      </c>
      <c r="C81" s="8" t="str">
        <f>IF(B81="","",VLOOKUP(B81,'Product Sheet'!$B$4:$D$104,2,FALSE))</f>
        <v>Thermal Paste</v>
      </c>
      <c r="D81" s="8">
        <f>IF(B81="","",VLOOKUP(B81,'Product Sheet'!$B$4:$D$104,3,FALSE))</f>
        <v>456</v>
      </c>
      <c r="E81" s="14">
        <v>0.1</v>
      </c>
      <c r="F81" s="8">
        <f t="shared" si="1"/>
        <v>410.4</v>
      </c>
    </row>
    <row r="82" spans="2:6" x14ac:dyDescent="0.25">
      <c r="B82" s="8" t="s">
        <v>158</v>
      </c>
      <c r="C82" s="8" t="str">
        <f>IF(B82="","",VLOOKUP(B82,'Product Sheet'!$B$4:$D$104,2,FALSE))</f>
        <v>Intel Processors</v>
      </c>
      <c r="D82" s="8">
        <f>IF(B82="","",VLOOKUP(B82,'Product Sheet'!$B$4:$D$104,3,FALSE))</f>
        <v>65</v>
      </c>
      <c r="E82" s="14">
        <v>0.31</v>
      </c>
      <c r="F82" s="8">
        <f t="shared" si="1"/>
        <v>44.85</v>
      </c>
    </row>
    <row r="83" spans="2:6" x14ac:dyDescent="0.25">
      <c r="B83" s="8" t="s">
        <v>159</v>
      </c>
      <c r="C83" s="8" t="str">
        <f>IF(B83="","",VLOOKUP(B83,'Product Sheet'!$B$4:$D$104,2,FALSE))</f>
        <v>AMD Ryzen Processors</v>
      </c>
      <c r="D83" s="8">
        <f>IF(B83="","",VLOOKUP(B83,'Product Sheet'!$B$4:$D$104,3,FALSE))</f>
        <v>74</v>
      </c>
      <c r="E83" s="14">
        <v>0.45</v>
      </c>
      <c r="F83" s="8">
        <f t="shared" si="1"/>
        <v>40.699999999999996</v>
      </c>
    </row>
    <row r="84" spans="2:6" x14ac:dyDescent="0.25">
      <c r="B84" s="8" t="s">
        <v>160</v>
      </c>
      <c r="C84" s="8" t="str">
        <f>IF(B84="","",VLOOKUP(B84,'Product Sheet'!$B$4:$D$104,2,FALSE))</f>
        <v>NVIDIA Graphic Card</v>
      </c>
      <c r="D84" s="8">
        <f>IF(B84="","",VLOOKUP(B84,'Product Sheet'!$B$4:$D$104,3,FALSE))</f>
        <v>412</v>
      </c>
      <c r="E84" s="14">
        <v>0.49</v>
      </c>
      <c r="F84" s="8">
        <f t="shared" si="1"/>
        <v>210.12</v>
      </c>
    </row>
    <row r="85" spans="2:6" x14ac:dyDescent="0.25">
      <c r="B85" s="8" t="s">
        <v>161</v>
      </c>
      <c r="C85" s="8" t="str">
        <f>IF(B85="","",VLOOKUP(B85,'Product Sheet'!$B$4:$D$104,2,FALSE))</f>
        <v>Nike Shoes</v>
      </c>
      <c r="D85" s="8">
        <f>IF(B85="","",VLOOKUP(B85,'Product Sheet'!$B$4:$D$104,3,FALSE))</f>
        <v>341</v>
      </c>
      <c r="E85" s="14">
        <v>0.4</v>
      </c>
      <c r="F85" s="8">
        <f t="shared" si="1"/>
        <v>204.6</v>
      </c>
    </row>
    <row r="86" spans="2:6" x14ac:dyDescent="0.25">
      <c r="B86" s="8" t="s">
        <v>162</v>
      </c>
      <c r="C86" s="8" t="str">
        <f>IF(B86="","",VLOOKUP(B86,'Product Sheet'!$B$4:$D$104,2,FALSE))</f>
        <v>VolleyBall</v>
      </c>
      <c r="D86" s="8">
        <f>IF(B86="","",VLOOKUP(B86,'Product Sheet'!$B$4:$D$104,3,FALSE))</f>
        <v>472</v>
      </c>
      <c r="E86" s="14">
        <v>0.39</v>
      </c>
      <c r="F86" s="8">
        <f t="shared" si="1"/>
        <v>287.91999999999996</v>
      </c>
    </row>
    <row r="87" spans="2:6" x14ac:dyDescent="0.25">
      <c r="B87" s="8" t="s">
        <v>163</v>
      </c>
      <c r="C87" s="8" t="str">
        <f>IF(B87="","",VLOOKUP(B87,'Product Sheet'!$B$4:$D$104,2,FALSE))</f>
        <v>FootBall</v>
      </c>
      <c r="D87" s="8">
        <f>IF(B87="","",VLOOKUP(B87,'Product Sheet'!$B$4:$D$104,3,FALSE))</f>
        <v>325</v>
      </c>
      <c r="E87" s="14">
        <v>0.28000000000000003</v>
      </c>
      <c r="F87" s="8">
        <f t="shared" si="1"/>
        <v>234</v>
      </c>
    </row>
    <row r="88" spans="2:6" x14ac:dyDescent="0.25">
      <c r="B88" s="8" t="s">
        <v>164</v>
      </c>
      <c r="C88" s="8" t="str">
        <f>IF(B88="","",VLOOKUP(B88,'Product Sheet'!$B$4:$D$104,2,FALSE))</f>
        <v>Cricket Bat</v>
      </c>
      <c r="D88" s="8">
        <f>IF(B88="","",VLOOKUP(B88,'Product Sheet'!$B$4:$D$104,3,FALSE))</f>
        <v>464</v>
      </c>
      <c r="E88" s="14">
        <v>0.43</v>
      </c>
      <c r="F88" s="8">
        <f t="shared" si="1"/>
        <v>264.48</v>
      </c>
    </row>
    <row r="89" spans="2:6" x14ac:dyDescent="0.25">
      <c r="B89" s="8" t="s">
        <v>165</v>
      </c>
      <c r="C89" s="8" t="str">
        <f>IF(B89="","",VLOOKUP(B89,'Product Sheet'!$B$4:$D$104,2,FALSE))</f>
        <v>Stumps</v>
      </c>
      <c r="D89" s="8">
        <f>IF(B89="","",VLOOKUP(B89,'Product Sheet'!$B$4:$D$104,3,FALSE))</f>
        <v>143</v>
      </c>
      <c r="E89" s="14">
        <v>0.37</v>
      </c>
      <c r="F89" s="8">
        <f t="shared" si="1"/>
        <v>90.09</v>
      </c>
    </row>
    <row r="90" spans="2:6" x14ac:dyDescent="0.25">
      <c r="B90" s="8" t="s">
        <v>166</v>
      </c>
      <c r="C90" s="8" t="str">
        <f>IF(B90="","",VLOOKUP(B90,'Product Sheet'!$B$4:$D$104,2,FALSE))</f>
        <v>Tennis Ball</v>
      </c>
      <c r="D90" s="8">
        <f>IF(B90="","",VLOOKUP(B90,'Product Sheet'!$B$4:$D$104,3,FALSE))</f>
        <v>240</v>
      </c>
      <c r="E90" s="14">
        <v>0.26</v>
      </c>
      <c r="F90" s="8">
        <f t="shared" si="1"/>
        <v>177.6</v>
      </c>
    </row>
    <row r="91" spans="2:6" x14ac:dyDescent="0.25">
      <c r="B91" s="8" t="s">
        <v>167</v>
      </c>
      <c r="C91" s="8" t="str">
        <f>IF(B91="","",VLOOKUP(B91,'Product Sheet'!$B$4:$D$104,2,FALSE))</f>
        <v>Badminton</v>
      </c>
      <c r="D91" s="8">
        <f>IF(B91="","",VLOOKUP(B91,'Product Sheet'!$B$4:$D$104,3,FALSE))</f>
        <v>371</v>
      </c>
      <c r="E91" s="14">
        <v>0.46</v>
      </c>
      <c r="F91" s="8">
        <f t="shared" si="1"/>
        <v>200.34</v>
      </c>
    </row>
    <row r="92" spans="2:6" x14ac:dyDescent="0.25">
      <c r="B92" s="8" t="s">
        <v>168</v>
      </c>
      <c r="C92" s="8" t="str">
        <f>IF(B92="","",VLOOKUP(B92,'Product Sheet'!$B$4:$D$104,2,FALSE))</f>
        <v>VolleyBall Net</v>
      </c>
      <c r="D92" s="8">
        <f>IF(B92="","",VLOOKUP(B92,'Product Sheet'!$B$4:$D$104,3,FALSE))</f>
        <v>324</v>
      </c>
      <c r="E92" s="14">
        <v>0.28000000000000003</v>
      </c>
      <c r="F92" s="8">
        <f t="shared" si="1"/>
        <v>233.27999999999997</v>
      </c>
    </row>
    <row r="93" spans="2:6" x14ac:dyDescent="0.25">
      <c r="B93" s="8" t="s">
        <v>169</v>
      </c>
      <c r="C93" s="8" t="str">
        <f>IF(B93="","",VLOOKUP(B93,'Product Sheet'!$B$4:$D$104,2,FALSE))</f>
        <v>Table Tennis</v>
      </c>
      <c r="D93" s="8">
        <f>IF(B93="","",VLOOKUP(B93,'Product Sheet'!$B$4:$D$104,3,FALSE))</f>
        <v>208</v>
      </c>
      <c r="E93" s="14">
        <v>0.34</v>
      </c>
      <c r="F93" s="8">
        <f t="shared" si="1"/>
        <v>137.28</v>
      </c>
    </row>
    <row r="94" spans="2:6" x14ac:dyDescent="0.25">
      <c r="B94" s="8" t="s">
        <v>170</v>
      </c>
      <c r="C94" s="8" t="str">
        <f>IF(B94="","",VLOOKUP(B94,'Product Sheet'!$B$4:$D$104,2,FALSE))</f>
        <v>Pool Table</v>
      </c>
      <c r="D94" s="8">
        <f>IF(B94="","",VLOOKUP(B94,'Product Sheet'!$B$4:$D$104,3,FALSE))</f>
        <v>443</v>
      </c>
      <c r="E94" s="14">
        <v>0.48</v>
      </c>
      <c r="F94" s="8">
        <f t="shared" si="1"/>
        <v>230.36</v>
      </c>
    </row>
    <row r="95" spans="2:6" x14ac:dyDescent="0.25">
      <c r="B95" s="8" t="s">
        <v>171</v>
      </c>
      <c r="C95" s="8" t="str">
        <f>IF(B95="","",VLOOKUP(B95,'Product Sheet'!$B$4:$D$104,2,FALSE))</f>
        <v>Realme Narzo Phone</v>
      </c>
      <c r="D95" s="8">
        <f>IF(B95="","",VLOOKUP(B95,'Product Sheet'!$B$4:$D$104,3,FALSE))</f>
        <v>217</v>
      </c>
      <c r="E95" s="14">
        <v>0.49</v>
      </c>
      <c r="F95" s="8">
        <f t="shared" si="1"/>
        <v>110.67</v>
      </c>
    </row>
    <row r="96" spans="2:6" x14ac:dyDescent="0.25">
      <c r="B96" s="8" t="s">
        <v>172</v>
      </c>
      <c r="C96" s="8" t="str">
        <f>IF(B96="","",VLOOKUP(B96,'Product Sheet'!$B$4:$D$104,2,FALSE))</f>
        <v>Oppo Reno Series Phone</v>
      </c>
      <c r="D96" s="8">
        <f>IF(B96="","",VLOOKUP(B96,'Product Sheet'!$B$4:$D$104,3,FALSE))</f>
        <v>134</v>
      </c>
      <c r="E96" s="14">
        <v>0.27</v>
      </c>
      <c r="F96" s="8">
        <f t="shared" si="1"/>
        <v>97.82</v>
      </c>
    </row>
    <row r="97" spans="2:6" x14ac:dyDescent="0.25">
      <c r="B97" s="8" t="s">
        <v>173</v>
      </c>
      <c r="C97" s="8" t="str">
        <f>IF(B97="","",VLOOKUP(B97,'Product Sheet'!$B$4:$D$104,2,FALSE))</f>
        <v>4K High Res Monitor</v>
      </c>
      <c r="D97" s="8">
        <f>IF(B97="","",VLOOKUP(B97,'Product Sheet'!$B$4:$D$104,3,FALSE))</f>
        <v>350</v>
      </c>
      <c r="E97" s="14">
        <v>0.24</v>
      </c>
      <c r="F97" s="8">
        <f t="shared" si="1"/>
        <v>266</v>
      </c>
    </row>
    <row r="98" spans="2:6" x14ac:dyDescent="0.25">
      <c r="B98" s="8" t="s">
        <v>174</v>
      </c>
      <c r="C98" s="8" t="str">
        <f>IF(B98="","",VLOOKUP(B98,'Product Sheet'!$B$4:$D$104,2,FALSE))</f>
        <v>Curved 4K Monitor With OLED Panel</v>
      </c>
      <c r="D98" s="8">
        <f>IF(B98="","",VLOOKUP(B98,'Product Sheet'!$B$4:$D$104,3,FALSE))</f>
        <v>94</v>
      </c>
      <c r="E98" s="14">
        <v>0.12</v>
      </c>
      <c r="F98" s="8">
        <f t="shared" si="1"/>
        <v>82.72</v>
      </c>
    </row>
    <row r="99" spans="2:6" x14ac:dyDescent="0.25">
      <c r="B99" s="8" t="s">
        <v>175</v>
      </c>
      <c r="C99" s="8" t="str">
        <f>IF(B99="","",VLOOKUP(B99,'Product Sheet'!$B$4:$D$104,2,FALSE))</f>
        <v>Gaming Cabinet</v>
      </c>
      <c r="D99" s="8">
        <f>IF(B99="","",VLOOKUP(B99,'Product Sheet'!$B$4:$D$104,3,FALSE))</f>
        <v>446</v>
      </c>
      <c r="E99" s="14">
        <v>0.2</v>
      </c>
      <c r="F99" s="8">
        <f t="shared" si="1"/>
        <v>356.8</v>
      </c>
    </row>
    <row r="100" spans="2:6" x14ac:dyDescent="0.25">
      <c r="B100" s="8" t="s">
        <v>176</v>
      </c>
      <c r="C100" s="8" t="str">
        <f>IF(B100="","",VLOOKUP(B100,'Product Sheet'!$B$4:$D$104,2,FALSE))</f>
        <v>RGB Wireless Mouse</v>
      </c>
      <c r="D100" s="8">
        <f>IF(B100="","",VLOOKUP(B100,'Product Sheet'!$B$4:$D$104,3,FALSE))</f>
        <v>423</v>
      </c>
      <c r="E100" s="14">
        <v>0.16</v>
      </c>
      <c r="F100" s="8">
        <f t="shared" si="1"/>
        <v>355.32</v>
      </c>
    </row>
    <row r="101" spans="2:6" x14ac:dyDescent="0.25">
      <c r="B101" s="8" t="s">
        <v>177</v>
      </c>
      <c r="C101" s="8" t="str">
        <f>IF(B101="","",VLOOKUP(B101,'Product Sheet'!$B$4:$D$104,2,FALSE))</f>
        <v>RBG Full Size MousePad</v>
      </c>
      <c r="D101" s="8">
        <f>IF(B101="","",VLOOKUP(B101,'Product Sheet'!$B$4:$D$104,3,FALSE))</f>
        <v>242</v>
      </c>
      <c r="E101" s="14">
        <v>0.42</v>
      </c>
      <c r="F101" s="8">
        <f t="shared" si="1"/>
        <v>140.36000000000001</v>
      </c>
    </row>
    <row r="102" spans="2:6" x14ac:dyDescent="0.25">
      <c r="B102" s="8" t="s">
        <v>178</v>
      </c>
      <c r="C102" s="8" t="str">
        <f>IF(B102="","",VLOOKUP(B102,'Product Sheet'!$B$4:$D$104,2,FALSE))</f>
        <v>Windows11 Pro Key</v>
      </c>
      <c r="D102" s="8">
        <f>IF(B102="","",VLOOKUP(B102,'Product Sheet'!$B$4:$D$104,3,FALSE))</f>
        <v>339</v>
      </c>
      <c r="E102" s="14">
        <v>0.38</v>
      </c>
      <c r="F102" s="8">
        <f t="shared" si="1"/>
        <v>210.18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FAE32C-F150-43A8-8B78-8954A528F031}">
          <x14:formula1>
            <xm:f>'Product Sheet'!$B$5:$B$104</xm:f>
          </x14:formula1>
          <xm:sqref>B3:B102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37F1-83BE-4C04-977D-96155BC7D559}">
  <dimension ref="B4:I104"/>
  <sheetViews>
    <sheetView zoomScale="145" zoomScaleNormal="145"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2" max="2" width="11.42578125" bestFit="1" customWidth="1"/>
    <col min="3" max="3" width="33.28515625" bestFit="1" customWidth="1"/>
    <col min="9" max="9" width="11.85546875" bestFit="1" customWidth="1"/>
  </cols>
  <sheetData>
    <row r="4" spans="2:9" x14ac:dyDescent="0.25">
      <c r="B4" s="25" t="s">
        <v>75</v>
      </c>
      <c r="C4" s="25" t="s">
        <v>78</v>
      </c>
      <c r="D4" s="25" t="s">
        <v>285</v>
      </c>
      <c r="E4" s="25" t="s">
        <v>219</v>
      </c>
      <c r="F4" s="25" t="s">
        <v>286</v>
      </c>
      <c r="G4" s="25" t="s">
        <v>76</v>
      </c>
      <c r="H4" s="25" t="s">
        <v>77</v>
      </c>
      <c r="I4" s="25" t="s">
        <v>288</v>
      </c>
    </row>
    <row r="5" spans="2:9" x14ac:dyDescent="0.25">
      <c r="B5" s="8" t="s">
        <v>79</v>
      </c>
      <c r="C5" s="8" t="str">
        <f>IF(B5="","",VLOOKUP(B5,'Product Sheet'!$B$4:$E$104,2,FALSE))</f>
        <v>MousePad</v>
      </c>
      <c r="D5" s="8">
        <f>IF(B5="","",VLOOKUP(B5,'Product Sheet'!$B$4:$E$104,3,FALSE))</f>
        <v>461</v>
      </c>
      <c r="E5" s="8">
        <v>10</v>
      </c>
      <c r="F5" s="14">
        <v>0.39</v>
      </c>
      <c r="G5" s="15">
        <f>D5-D5*F5</f>
        <v>281.21000000000004</v>
      </c>
      <c r="H5" s="15">
        <f>IF(B5="","",D5*VLOOKUP(B5,'Product Sheet'!$B$4:$E$104,4,FALSE))</f>
        <v>129.08000000000001</v>
      </c>
      <c r="I5" s="8">
        <f>(G5+H5)*E5</f>
        <v>4102.9000000000005</v>
      </c>
    </row>
    <row r="6" spans="2:9" x14ac:dyDescent="0.25">
      <c r="B6" s="8" t="s">
        <v>80</v>
      </c>
      <c r="C6" s="8" t="str">
        <f>IF(B6="","",VLOOKUP(B6,'Product Sheet'!$B$4:$E$104,2,FALSE))</f>
        <v>Logitech Keyboard</v>
      </c>
      <c r="D6" s="8">
        <f>IF(B6="","",VLOOKUP(B6,'Product Sheet'!$B$4:$E$104,3,FALSE))</f>
        <v>452</v>
      </c>
      <c r="E6" s="8">
        <v>7</v>
      </c>
      <c r="F6" s="14">
        <v>0.37</v>
      </c>
      <c r="G6" s="15">
        <f t="shared" ref="G6:G69" si="0">D6-D6*F6</f>
        <v>284.76</v>
      </c>
      <c r="H6" s="15">
        <f>IF(B6="","",D6*VLOOKUP(B6,'Product Sheet'!$B$4:$E$104,4,FALSE))</f>
        <v>131.07999999999998</v>
      </c>
      <c r="I6" s="8">
        <f t="shared" ref="I6:I69" si="1">(G6+H6)*E6</f>
        <v>2910.8799999999997</v>
      </c>
    </row>
    <row r="7" spans="2:9" x14ac:dyDescent="0.25">
      <c r="B7" s="8" t="s">
        <v>81</v>
      </c>
      <c r="C7" s="8" t="str">
        <f>IF(B7="","",VLOOKUP(B7,'Product Sheet'!$B$4:$E$104,2,FALSE))</f>
        <v>Logitech Mouse</v>
      </c>
      <c r="D7" s="8">
        <f>IF(B7="","",VLOOKUP(B7,'Product Sheet'!$B$4:$E$104,3,FALSE))</f>
        <v>178</v>
      </c>
      <c r="E7" s="8">
        <v>3</v>
      </c>
      <c r="F7" s="14">
        <v>0.3</v>
      </c>
      <c r="G7" s="15">
        <f t="shared" si="0"/>
        <v>124.6</v>
      </c>
      <c r="H7" s="15">
        <f>IF(B7="","",D7*VLOOKUP(B7,'Product Sheet'!$B$4:$E$104,4,FALSE))</f>
        <v>19.580000000000002</v>
      </c>
      <c r="I7" s="8">
        <f t="shared" si="1"/>
        <v>432.54</v>
      </c>
    </row>
    <row r="8" spans="2:9" x14ac:dyDescent="0.25">
      <c r="B8" s="8" t="s">
        <v>82</v>
      </c>
      <c r="C8" s="8" t="str">
        <f>IF(B8="","",VLOOKUP(B8,'Product Sheet'!$B$4:$E$104,2,FALSE))</f>
        <v>Samsung S24 Ultra</v>
      </c>
      <c r="D8" s="8">
        <f>IF(B8="","",VLOOKUP(B8,'Product Sheet'!$B$4:$E$104,3,FALSE))</f>
        <v>299</v>
      </c>
      <c r="E8" s="8">
        <v>9</v>
      </c>
      <c r="F8" s="14">
        <v>0.3</v>
      </c>
      <c r="G8" s="15">
        <f t="shared" si="0"/>
        <v>209.3</v>
      </c>
      <c r="H8" s="15">
        <f>IF(B8="","",D8*VLOOKUP(B8,'Product Sheet'!$B$4:$E$104,4,FALSE))</f>
        <v>77.740000000000009</v>
      </c>
      <c r="I8" s="8">
        <f t="shared" si="1"/>
        <v>2583.36</v>
      </c>
    </row>
    <row r="9" spans="2:9" x14ac:dyDescent="0.25">
      <c r="B9" s="8" t="s">
        <v>83</v>
      </c>
      <c r="C9" s="8" t="str">
        <f>IF(B9="","",VLOOKUP(B9,'Product Sheet'!$B$4:$E$104,2,FALSE))</f>
        <v>Samsung SSD 1TB</v>
      </c>
      <c r="D9" s="8">
        <f>IF(B9="","",VLOOKUP(B9,'Product Sheet'!$B$4:$E$104,3,FALSE))</f>
        <v>449</v>
      </c>
      <c r="E9" s="8">
        <v>2</v>
      </c>
      <c r="F9" s="14">
        <v>0.37</v>
      </c>
      <c r="G9" s="15">
        <f t="shared" si="0"/>
        <v>282.87</v>
      </c>
      <c r="H9" s="15">
        <f>IF(B9="","",D9*VLOOKUP(B9,'Product Sheet'!$B$4:$E$104,4,FALSE))</f>
        <v>53.879999999999995</v>
      </c>
      <c r="I9" s="8">
        <f t="shared" si="1"/>
        <v>673.5</v>
      </c>
    </row>
    <row r="10" spans="2:9" x14ac:dyDescent="0.25">
      <c r="B10" s="8" t="s">
        <v>84</v>
      </c>
      <c r="C10" s="8" t="str">
        <f>IF(B10="","",VLOOKUP(B10,'Product Sheet'!$B$4:$E$104,2,FALSE))</f>
        <v>Acer Monitor</v>
      </c>
      <c r="D10" s="8">
        <f>IF(B10="","",VLOOKUP(B10,'Product Sheet'!$B$4:$E$104,3,FALSE))</f>
        <v>357</v>
      </c>
      <c r="E10" s="8">
        <v>10</v>
      </c>
      <c r="F10" s="14">
        <v>0.28000000000000003</v>
      </c>
      <c r="G10" s="15">
        <f t="shared" si="0"/>
        <v>257.03999999999996</v>
      </c>
      <c r="H10" s="15">
        <f>IF(B10="","",D10*VLOOKUP(B10,'Product Sheet'!$B$4:$E$104,4,FALSE))</f>
        <v>89.25</v>
      </c>
      <c r="I10" s="8">
        <f t="shared" si="1"/>
        <v>3462.8999999999996</v>
      </c>
    </row>
    <row r="11" spans="2:9" x14ac:dyDescent="0.25">
      <c r="B11" s="8" t="s">
        <v>85</v>
      </c>
      <c r="C11" s="8" t="str">
        <f>IF(B11="","",VLOOKUP(B11,'Product Sheet'!$B$4:$E$104,2,FALSE))</f>
        <v>Samsung Monitor</v>
      </c>
      <c r="D11" s="8">
        <f>IF(B11="","",VLOOKUP(B11,'Product Sheet'!$B$4:$E$104,3,FALSE))</f>
        <v>498</v>
      </c>
      <c r="E11" s="8">
        <v>3</v>
      </c>
      <c r="F11" s="14">
        <v>0.18</v>
      </c>
      <c r="G11" s="15">
        <f t="shared" si="0"/>
        <v>408.36</v>
      </c>
      <c r="H11" s="15">
        <f>IF(B11="","",D11*VLOOKUP(B11,'Product Sheet'!$B$4:$E$104,4,FALSE))</f>
        <v>119.52</v>
      </c>
      <c r="I11" s="8">
        <f t="shared" si="1"/>
        <v>1583.6399999999999</v>
      </c>
    </row>
    <row r="12" spans="2:9" x14ac:dyDescent="0.25">
      <c r="B12" s="8" t="s">
        <v>86</v>
      </c>
      <c r="C12" s="8" t="str">
        <f>IF(B12="","",VLOOKUP(B12,'Product Sheet'!$B$4:$E$104,2,FALSE))</f>
        <v>DDR5 Ram 16 GB</v>
      </c>
      <c r="D12" s="8">
        <f>IF(B12="","",VLOOKUP(B12,'Product Sheet'!$B$4:$E$104,3,FALSE))</f>
        <v>385</v>
      </c>
      <c r="E12" s="8">
        <v>7</v>
      </c>
      <c r="F12" s="14">
        <v>0.4</v>
      </c>
      <c r="G12" s="15">
        <f t="shared" si="0"/>
        <v>231</v>
      </c>
      <c r="H12" s="15">
        <f>IF(B12="","",D12*VLOOKUP(B12,'Product Sheet'!$B$4:$E$104,4,FALSE))</f>
        <v>111.64999999999999</v>
      </c>
      <c r="I12" s="8">
        <f t="shared" si="1"/>
        <v>2398.5499999999997</v>
      </c>
    </row>
    <row r="13" spans="2:9" x14ac:dyDescent="0.25">
      <c r="B13" s="8" t="s">
        <v>87</v>
      </c>
      <c r="C13" s="8" t="str">
        <f>IF(B13="","",VLOOKUP(B13,'Product Sheet'!$B$4:$E$104,2,FALSE))</f>
        <v>MotherBoard</v>
      </c>
      <c r="D13" s="8">
        <f>IF(B13="","",VLOOKUP(B13,'Product Sheet'!$B$4:$E$104,3,FALSE))</f>
        <v>83</v>
      </c>
      <c r="E13" s="8">
        <v>7</v>
      </c>
      <c r="F13" s="14">
        <v>0.43</v>
      </c>
      <c r="G13" s="15">
        <f t="shared" si="0"/>
        <v>47.31</v>
      </c>
      <c r="H13" s="15">
        <f>IF(B13="","",D13*VLOOKUP(B13,'Product Sheet'!$B$4:$E$104,4,FALSE))</f>
        <v>4.1500000000000004</v>
      </c>
      <c r="I13" s="8">
        <f t="shared" si="1"/>
        <v>360.22</v>
      </c>
    </row>
    <row r="14" spans="2:9" x14ac:dyDescent="0.25">
      <c r="B14" s="8" t="s">
        <v>88</v>
      </c>
      <c r="C14" s="8" t="str">
        <f>IF(B14="","",VLOOKUP(B14,'Product Sheet'!$B$4:$E$104,2,FALSE))</f>
        <v>MSI Laptop</v>
      </c>
      <c r="D14" s="8">
        <f>IF(B14="","",VLOOKUP(B14,'Product Sheet'!$B$4:$E$104,3,FALSE))</f>
        <v>468</v>
      </c>
      <c r="E14" s="8">
        <v>5</v>
      </c>
      <c r="F14" s="14">
        <v>0.23</v>
      </c>
      <c r="G14" s="15">
        <f t="shared" si="0"/>
        <v>360.36</v>
      </c>
      <c r="H14" s="15">
        <f>IF(B14="","",D14*VLOOKUP(B14,'Product Sheet'!$B$4:$E$104,4,FALSE))</f>
        <v>98.28</v>
      </c>
      <c r="I14" s="8">
        <f t="shared" si="1"/>
        <v>2293.1999999999998</v>
      </c>
    </row>
    <row r="15" spans="2:9" x14ac:dyDescent="0.25">
      <c r="B15" s="8" t="s">
        <v>89</v>
      </c>
      <c r="C15" s="8" t="str">
        <f>IF(B15="","",VLOOKUP(B15,'Product Sheet'!$B$4:$E$104,2,FALSE))</f>
        <v>Macbook</v>
      </c>
      <c r="D15" s="8">
        <f>IF(B15="","",VLOOKUP(B15,'Product Sheet'!$B$4:$E$104,3,FALSE))</f>
        <v>203</v>
      </c>
      <c r="E15" s="8">
        <v>5</v>
      </c>
      <c r="F15" s="14">
        <v>0.28000000000000003</v>
      </c>
      <c r="G15" s="15">
        <f t="shared" si="0"/>
        <v>146.16</v>
      </c>
      <c r="H15" s="15">
        <f>IF(B15="","",D15*VLOOKUP(B15,'Product Sheet'!$B$4:$E$104,4,FALSE))</f>
        <v>56.84</v>
      </c>
      <c r="I15" s="8">
        <f t="shared" si="1"/>
        <v>1015</v>
      </c>
    </row>
    <row r="16" spans="2:9" x14ac:dyDescent="0.25">
      <c r="B16" s="8" t="s">
        <v>90</v>
      </c>
      <c r="C16" s="8" t="str">
        <f>IF(B16="","",VLOOKUP(B16,'Product Sheet'!$B$4:$E$104,2,FALSE))</f>
        <v>IMAC</v>
      </c>
      <c r="D16" s="8">
        <f>IF(B16="","",VLOOKUP(B16,'Product Sheet'!$B$4:$E$104,3,FALSE))</f>
        <v>436</v>
      </c>
      <c r="E16" s="8">
        <v>8</v>
      </c>
      <c r="F16" s="14">
        <v>0.13</v>
      </c>
      <c r="G16" s="15">
        <f t="shared" si="0"/>
        <v>379.32</v>
      </c>
      <c r="H16" s="15">
        <f>IF(B16="","",D16*VLOOKUP(B16,'Product Sheet'!$B$4:$E$104,4,FALSE))</f>
        <v>95.92</v>
      </c>
      <c r="I16" s="8">
        <f t="shared" si="1"/>
        <v>3801.92</v>
      </c>
    </row>
    <row r="17" spans="2:9" x14ac:dyDescent="0.25">
      <c r="B17" s="8" t="s">
        <v>91</v>
      </c>
      <c r="C17" s="8" t="str">
        <f>IF(B17="","",VLOOKUP(B17,'Product Sheet'!$B$4:$E$104,2,FALSE))</f>
        <v>Iphone 14 Pro</v>
      </c>
      <c r="D17" s="8">
        <f>IF(B17="","",VLOOKUP(B17,'Product Sheet'!$B$4:$E$104,3,FALSE))</f>
        <v>328</v>
      </c>
      <c r="E17" s="8">
        <v>5</v>
      </c>
      <c r="F17" s="14">
        <v>0.25</v>
      </c>
      <c r="G17" s="15">
        <f t="shared" si="0"/>
        <v>246</v>
      </c>
      <c r="H17" s="15">
        <f>IF(B17="","",D17*VLOOKUP(B17,'Product Sheet'!$B$4:$E$104,4,FALSE))</f>
        <v>39.36</v>
      </c>
      <c r="I17" s="8">
        <f t="shared" si="1"/>
        <v>1426.8000000000002</v>
      </c>
    </row>
    <row r="18" spans="2:9" x14ac:dyDescent="0.25">
      <c r="B18" s="8" t="s">
        <v>92</v>
      </c>
      <c r="C18" s="8" t="str">
        <f>IF(B18="","",VLOOKUP(B18,'Product Sheet'!$B$4:$E$104,2,FALSE))</f>
        <v>Airpods</v>
      </c>
      <c r="D18" s="8">
        <f>IF(B18="","",VLOOKUP(B18,'Product Sheet'!$B$4:$E$104,3,FALSE))</f>
        <v>328</v>
      </c>
      <c r="E18" s="8">
        <v>2</v>
      </c>
      <c r="F18" s="14">
        <v>0.28000000000000003</v>
      </c>
      <c r="G18" s="15">
        <f t="shared" si="0"/>
        <v>236.16</v>
      </c>
      <c r="H18" s="15">
        <f>IF(B18="","",D18*VLOOKUP(B18,'Product Sheet'!$B$4:$E$104,4,FALSE))</f>
        <v>62.32</v>
      </c>
      <c r="I18" s="8">
        <f t="shared" si="1"/>
        <v>596.96</v>
      </c>
    </row>
    <row r="19" spans="2:9" x14ac:dyDescent="0.25">
      <c r="B19" s="8" t="s">
        <v>93</v>
      </c>
      <c r="C19" s="8" t="str">
        <f>IF(B19="","",VLOOKUP(B19,'Product Sheet'!$B$4:$E$104,2,FALSE))</f>
        <v>Samsung Earbuds</v>
      </c>
      <c r="D19" s="8">
        <f>IF(B19="","",VLOOKUP(B19,'Product Sheet'!$B$4:$E$104,3,FALSE))</f>
        <v>154</v>
      </c>
      <c r="E19" s="8">
        <v>8</v>
      </c>
      <c r="F19" s="14">
        <v>0.26</v>
      </c>
      <c r="G19" s="15">
        <f t="shared" si="0"/>
        <v>113.96000000000001</v>
      </c>
      <c r="H19" s="15">
        <f>IF(B19="","",D19*VLOOKUP(B19,'Product Sheet'!$B$4:$E$104,4,FALSE))</f>
        <v>32.339999999999996</v>
      </c>
      <c r="I19" s="8">
        <f t="shared" si="1"/>
        <v>1170.4000000000001</v>
      </c>
    </row>
    <row r="20" spans="2:9" x14ac:dyDescent="0.25">
      <c r="B20" s="8" t="s">
        <v>94</v>
      </c>
      <c r="C20" s="8" t="str">
        <f>IF(B20="","",VLOOKUP(B20,'Product Sheet'!$B$4:$E$104,2,FALSE))</f>
        <v>Magsafe Powerbank</v>
      </c>
      <c r="D20" s="8">
        <f>IF(B20="","",VLOOKUP(B20,'Product Sheet'!$B$4:$E$104,3,FALSE))</f>
        <v>200</v>
      </c>
      <c r="E20" s="8">
        <v>9</v>
      </c>
      <c r="F20" s="14">
        <v>0.15</v>
      </c>
      <c r="G20" s="15">
        <f t="shared" si="0"/>
        <v>170</v>
      </c>
      <c r="H20" s="15">
        <f>IF(B20="","",D20*VLOOKUP(B20,'Product Sheet'!$B$4:$E$104,4,FALSE))</f>
        <v>50</v>
      </c>
      <c r="I20" s="8">
        <f t="shared" si="1"/>
        <v>1980</v>
      </c>
    </row>
    <row r="21" spans="2:9" x14ac:dyDescent="0.25">
      <c r="B21" s="8" t="s">
        <v>95</v>
      </c>
      <c r="C21" s="8" t="str">
        <f>IF(B21="","",VLOOKUP(B21,'Product Sheet'!$B$4:$E$104,2,FALSE))</f>
        <v>Ant-E Sports Cabinet</v>
      </c>
      <c r="D21" s="8">
        <f>IF(B21="","",VLOOKUP(B21,'Product Sheet'!$B$4:$E$104,3,FALSE))</f>
        <v>176</v>
      </c>
      <c r="E21" s="8">
        <v>4</v>
      </c>
      <c r="F21" s="14">
        <v>0.38</v>
      </c>
      <c r="G21" s="15">
        <f t="shared" si="0"/>
        <v>109.12</v>
      </c>
      <c r="H21" s="15">
        <f>IF(B21="","",D21*VLOOKUP(B21,'Product Sheet'!$B$4:$E$104,4,FALSE))</f>
        <v>10.559999999999999</v>
      </c>
      <c r="I21" s="8">
        <f t="shared" si="1"/>
        <v>478.72</v>
      </c>
    </row>
    <row r="22" spans="2:9" x14ac:dyDescent="0.25">
      <c r="B22" s="8" t="s">
        <v>96</v>
      </c>
      <c r="C22" s="8" t="str">
        <f>IF(B22="","",VLOOKUP(B22,'Product Sheet'!$B$4:$E$104,2,FALSE))</f>
        <v>250W Power Supply</v>
      </c>
      <c r="D22" s="8">
        <f>IF(B22="","",VLOOKUP(B22,'Product Sheet'!$B$4:$E$104,3,FALSE))</f>
        <v>54</v>
      </c>
      <c r="E22" s="8">
        <v>5</v>
      </c>
      <c r="F22" s="14">
        <v>0.31</v>
      </c>
      <c r="G22" s="15">
        <f t="shared" si="0"/>
        <v>37.260000000000005</v>
      </c>
      <c r="H22" s="15">
        <f>IF(B22="","",D22*VLOOKUP(B22,'Product Sheet'!$B$4:$E$104,4,FALSE))</f>
        <v>11.34</v>
      </c>
      <c r="I22" s="8">
        <f t="shared" si="1"/>
        <v>243.00000000000006</v>
      </c>
    </row>
    <row r="23" spans="2:9" x14ac:dyDescent="0.25">
      <c r="B23" s="8" t="s">
        <v>97</v>
      </c>
      <c r="C23" s="8" t="str">
        <f>IF(B23="","",VLOOKUP(B23,'Product Sheet'!$B$4:$E$104,2,FALSE))</f>
        <v>Portronics Wireless Mouse</v>
      </c>
      <c r="D23" s="8">
        <f>IF(B23="","",VLOOKUP(B23,'Product Sheet'!$B$4:$E$104,3,FALSE))</f>
        <v>369</v>
      </c>
      <c r="E23" s="8">
        <v>9</v>
      </c>
      <c r="F23" s="14">
        <v>0.22</v>
      </c>
      <c r="G23" s="15">
        <f t="shared" si="0"/>
        <v>287.82</v>
      </c>
      <c r="H23" s="15">
        <f>IF(B23="","",D23*VLOOKUP(B23,'Product Sheet'!$B$4:$E$104,4,FALSE))</f>
        <v>47.97</v>
      </c>
      <c r="I23" s="8">
        <f t="shared" si="1"/>
        <v>3022.1099999999997</v>
      </c>
    </row>
    <row r="24" spans="2:9" x14ac:dyDescent="0.25">
      <c r="B24" s="8" t="s">
        <v>98</v>
      </c>
      <c r="C24" s="8" t="str">
        <f>IF(B24="","",VLOOKUP(B24,'Product Sheet'!$B$4:$E$104,2,FALSE))</f>
        <v>Laptop Stand</v>
      </c>
      <c r="D24" s="8">
        <f>IF(B24="","",VLOOKUP(B24,'Product Sheet'!$B$4:$E$104,3,FALSE))</f>
        <v>292</v>
      </c>
      <c r="E24" s="8">
        <v>6</v>
      </c>
      <c r="F24" s="14">
        <v>0.17</v>
      </c>
      <c r="G24" s="15">
        <f t="shared" si="0"/>
        <v>242.36</v>
      </c>
      <c r="H24" s="15">
        <f>IF(B24="","",D24*VLOOKUP(B24,'Product Sheet'!$B$4:$E$104,4,FALSE))</f>
        <v>23.36</v>
      </c>
      <c r="I24" s="8">
        <f t="shared" si="1"/>
        <v>1594.3200000000002</v>
      </c>
    </row>
    <row r="25" spans="2:9" x14ac:dyDescent="0.25">
      <c r="B25" s="8" t="s">
        <v>99</v>
      </c>
      <c r="C25" s="8" t="str">
        <f>IF(B25="","",VLOOKUP(B25,'Product Sheet'!$B$4:$E$104,2,FALSE))</f>
        <v>Wireless GamePad</v>
      </c>
      <c r="D25" s="8">
        <f>IF(B25="","",VLOOKUP(B25,'Product Sheet'!$B$4:$E$104,3,FALSE))</f>
        <v>256</v>
      </c>
      <c r="E25" s="8">
        <v>7</v>
      </c>
      <c r="F25" s="14">
        <v>0.27</v>
      </c>
      <c r="G25" s="15">
        <f t="shared" si="0"/>
        <v>186.88</v>
      </c>
      <c r="H25" s="15">
        <f>IF(B25="","",D25*VLOOKUP(B25,'Product Sheet'!$B$4:$E$104,4,FALSE))</f>
        <v>23.04</v>
      </c>
      <c r="I25" s="8">
        <f t="shared" si="1"/>
        <v>1469.4399999999998</v>
      </c>
    </row>
    <row r="26" spans="2:9" x14ac:dyDescent="0.25">
      <c r="B26" s="8" t="s">
        <v>100</v>
      </c>
      <c r="C26" s="8" t="str">
        <f>IF(B26="","",VLOOKUP(B26,'Product Sheet'!$B$4:$E$104,2,FALSE))</f>
        <v>Wired GamePad</v>
      </c>
      <c r="D26" s="8">
        <f>IF(B26="","",VLOOKUP(B26,'Product Sheet'!$B$4:$E$104,3,FALSE))</f>
        <v>390</v>
      </c>
      <c r="E26" s="8">
        <v>4</v>
      </c>
      <c r="F26" s="14">
        <v>0.25</v>
      </c>
      <c r="G26" s="15">
        <f t="shared" si="0"/>
        <v>292.5</v>
      </c>
      <c r="H26" s="15">
        <f>IF(B26="","",D26*VLOOKUP(B26,'Product Sheet'!$B$4:$E$104,4,FALSE))</f>
        <v>35.1</v>
      </c>
      <c r="I26" s="8">
        <f t="shared" si="1"/>
        <v>1310.4000000000001</v>
      </c>
    </row>
    <row r="27" spans="2:9" x14ac:dyDescent="0.25">
      <c r="B27" s="8" t="s">
        <v>101</v>
      </c>
      <c r="C27" s="8" t="str">
        <f>IF(B27="","",VLOOKUP(B27,'Product Sheet'!$B$4:$E$104,2,FALSE))</f>
        <v>ACER 4K Monitor 244 Hz</v>
      </c>
      <c r="D27" s="8">
        <f>IF(B27="","",VLOOKUP(B27,'Product Sheet'!$B$4:$E$104,3,FALSE))</f>
        <v>375</v>
      </c>
      <c r="E27" s="8">
        <v>2</v>
      </c>
      <c r="F27" s="14">
        <v>0.18</v>
      </c>
      <c r="G27" s="15">
        <f t="shared" si="0"/>
        <v>307.5</v>
      </c>
      <c r="H27" s="15">
        <f>IF(B27="","",D27*VLOOKUP(B27,'Product Sheet'!$B$4:$E$104,4,FALSE))</f>
        <v>78.75</v>
      </c>
      <c r="I27" s="8">
        <f t="shared" si="1"/>
        <v>772.5</v>
      </c>
    </row>
    <row r="28" spans="2:9" x14ac:dyDescent="0.25">
      <c r="B28" s="8" t="s">
        <v>102</v>
      </c>
      <c r="C28" s="8" t="str">
        <f>IF(B28="","",VLOOKUP(B28,'Product Sheet'!$B$4:$E$104,2,FALSE))</f>
        <v>Laptop Bag</v>
      </c>
      <c r="D28" s="8">
        <f>IF(B28="","",VLOOKUP(B28,'Product Sheet'!$B$4:$E$104,3,FALSE))</f>
        <v>220</v>
      </c>
      <c r="E28" s="8">
        <v>2</v>
      </c>
      <c r="F28" s="14">
        <v>0.37</v>
      </c>
      <c r="G28" s="15">
        <f t="shared" si="0"/>
        <v>138.6</v>
      </c>
      <c r="H28" s="15">
        <f>IF(B28="","",D28*VLOOKUP(B28,'Product Sheet'!$B$4:$E$104,4,FALSE))</f>
        <v>44</v>
      </c>
      <c r="I28" s="8">
        <f t="shared" si="1"/>
        <v>365.2</v>
      </c>
    </row>
    <row r="29" spans="2:9" x14ac:dyDescent="0.25">
      <c r="B29" s="8" t="s">
        <v>103</v>
      </c>
      <c r="C29" s="8" t="str">
        <f>IF(B29="","",VLOOKUP(B29,'Product Sheet'!$B$4:$E$104,2,FALSE))</f>
        <v>RTX 3050Ti Graphic Card</v>
      </c>
      <c r="D29" s="8">
        <f>IF(B29="","",VLOOKUP(B29,'Product Sheet'!$B$4:$E$104,3,FALSE))</f>
        <v>449</v>
      </c>
      <c r="E29" s="8">
        <v>9</v>
      </c>
      <c r="F29" s="14">
        <v>0.3</v>
      </c>
      <c r="G29" s="15">
        <f t="shared" si="0"/>
        <v>314.3</v>
      </c>
      <c r="H29" s="15">
        <f>IF(B29="","",D29*VLOOKUP(B29,'Product Sheet'!$B$4:$E$104,4,FALSE))</f>
        <v>22.450000000000003</v>
      </c>
      <c r="I29" s="8">
        <f t="shared" si="1"/>
        <v>3030.75</v>
      </c>
    </row>
    <row r="30" spans="2:9" x14ac:dyDescent="0.25">
      <c r="B30" s="8" t="s">
        <v>104</v>
      </c>
      <c r="C30" s="8" t="str">
        <f>IF(B30="","",VLOOKUP(B30,'Product Sheet'!$B$4:$E$104,2,FALSE))</f>
        <v>RTX 4050 Ti Graphic Card</v>
      </c>
      <c r="D30" s="8">
        <f>IF(B30="","",VLOOKUP(B30,'Product Sheet'!$B$4:$E$104,3,FALSE))</f>
        <v>153</v>
      </c>
      <c r="E30" s="8">
        <v>10</v>
      </c>
      <c r="F30" s="14">
        <v>0.11</v>
      </c>
      <c r="G30" s="15">
        <f t="shared" si="0"/>
        <v>136.16999999999999</v>
      </c>
      <c r="H30" s="15">
        <f>IF(B30="","",D30*VLOOKUP(B30,'Product Sheet'!$B$4:$E$104,4,FALSE))</f>
        <v>24.48</v>
      </c>
      <c r="I30" s="8">
        <f t="shared" si="1"/>
        <v>1606.4999999999998</v>
      </c>
    </row>
    <row r="31" spans="2:9" x14ac:dyDescent="0.25">
      <c r="B31" s="8" t="s">
        <v>105</v>
      </c>
      <c r="C31" s="8" t="str">
        <f>IF(B31="","",VLOOKUP(B31,'Product Sheet'!$B$4:$E$104,2,FALSE))</f>
        <v>MineCraft Java Edition</v>
      </c>
      <c r="D31" s="8">
        <f>IF(B31="","",VLOOKUP(B31,'Product Sheet'!$B$4:$E$104,3,FALSE))</f>
        <v>391</v>
      </c>
      <c r="E31" s="8">
        <v>8</v>
      </c>
      <c r="F31" s="14">
        <v>0.34</v>
      </c>
      <c r="G31" s="15">
        <f t="shared" si="0"/>
        <v>258.06</v>
      </c>
      <c r="H31" s="15">
        <f>IF(B31="","",D31*VLOOKUP(B31,'Product Sheet'!$B$4:$E$104,4,FALSE))</f>
        <v>93.84</v>
      </c>
      <c r="I31" s="8">
        <f t="shared" si="1"/>
        <v>2815.2</v>
      </c>
    </row>
    <row r="32" spans="2:9" x14ac:dyDescent="0.25">
      <c r="B32" s="8" t="s">
        <v>106</v>
      </c>
      <c r="C32" s="8" t="str">
        <f>IF(B32="","",VLOOKUP(B32,'Product Sheet'!$B$4:$E$104,2,FALSE))</f>
        <v>MineCraft Bedrock Edition</v>
      </c>
      <c r="D32" s="8">
        <f>IF(B32="","",VLOOKUP(B32,'Product Sheet'!$B$4:$E$104,3,FALSE))</f>
        <v>318</v>
      </c>
      <c r="E32" s="8">
        <v>6</v>
      </c>
      <c r="F32" s="14">
        <v>0.11</v>
      </c>
      <c r="G32" s="15">
        <f t="shared" si="0"/>
        <v>283.02</v>
      </c>
      <c r="H32" s="15">
        <f>IF(B32="","",D32*VLOOKUP(B32,'Product Sheet'!$B$4:$E$104,4,FALSE))</f>
        <v>79.5</v>
      </c>
      <c r="I32" s="8">
        <f t="shared" si="1"/>
        <v>2175.12</v>
      </c>
    </row>
    <row r="33" spans="2:9" x14ac:dyDescent="0.25">
      <c r="B33" s="8" t="s">
        <v>107</v>
      </c>
      <c r="C33" s="8" t="str">
        <f>IF(B33="","",VLOOKUP(B33,'Product Sheet'!$B$4:$E$104,2,FALSE))</f>
        <v>Microsoft Office 365</v>
      </c>
      <c r="D33" s="8">
        <f>IF(B33="","",VLOOKUP(B33,'Product Sheet'!$B$4:$E$104,3,FALSE))</f>
        <v>367</v>
      </c>
      <c r="E33" s="8">
        <v>9</v>
      </c>
      <c r="F33" s="14">
        <v>0.28000000000000003</v>
      </c>
      <c r="G33" s="15">
        <f t="shared" si="0"/>
        <v>264.24</v>
      </c>
      <c r="H33" s="15">
        <f>IF(B33="","",D33*VLOOKUP(B33,'Product Sheet'!$B$4:$E$104,4,FALSE))</f>
        <v>66.06</v>
      </c>
      <c r="I33" s="8">
        <f t="shared" si="1"/>
        <v>2972.7000000000003</v>
      </c>
    </row>
    <row r="34" spans="2:9" x14ac:dyDescent="0.25">
      <c r="B34" s="8" t="s">
        <v>108</v>
      </c>
      <c r="C34" s="8" t="str">
        <f>IF(B34="","",VLOOKUP(B34,'Product Sheet'!$B$4:$E$104,2,FALSE))</f>
        <v>Normal Calculator</v>
      </c>
      <c r="D34" s="8">
        <f>IF(B34="","",VLOOKUP(B34,'Product Sheet'!$B$4:$E$104,3,FALSE))</f>
        <v>216</v>
      </c>
      <c r="E34" s="8">
        <v>3</v>
      </c>
      <c r="F34" s="14">
        <v>0.39</v>
      </c>
      <c r="G34" s="15">
        <f t="shared" si="0"/>
        <v>131.76</v>
      </c>
      <c r="H34" s="15">
        <f>IF(B34="","",D34*VLOOKUP(B34,'Product Sheet'!$B$4:$E$104,4,FALSE))</f>
        <v>17.28</v>
      </c>
      <c r="I34" s="8">
        <f t="shared" si="1"/>
        <v>447.12</v>
      </c>
    </row>
    <row r="35" spans="2:9" x14ac:dyDescent="0.25">
      <c r="B35" s="8" t="s">
        <v>109</v>
      </c>
      <c r="C35" s="8" t="str">
        <f>IF(B35="","",VLOOKUP(B35,'Product Sheet'!$B$4:$E$104,2,FALSE))</f>
        <v>Scientific Calculator</v>
      </c>
      <c r="D35" s="8">
        <f>IF(B35="","",VLOOKUP(B35,'Product Sheet'!$B$4:$E$104,3,FALSE))</f>
        <v>309</v>
      </c>
      <c r="E35" s="8">
        <v>5</v>
      </c>
      <c r="F35" s="14">
        <v>0.24</v>
      </c>
      <c r="G35" s="15">
        <f t="shared" si="0"/>
        <v>234.84</v>
      </c>
      <c r="H35" s="15">
        <f>IF(B35="","",D35*VLOOKUP(B35,'Product Sheet'!$B$4:$E$104,4,FALSE))</f>
        <v>43.260000000000005</v>
      </c>
      <c r="I35" s="8">
        <f t="shared" si="1"/>
        <v>1390.5</v>
      </c>
    </row>
    <row r="36" spans="2:9" x14ac:dyDescent="0.25">
      <c r="B36" s="8" t="s">
        <v>110</v>
      </c>
      <c r="C36" s="8" t="str">
        <f>IF(B36="","",VLOOKUP(B36,'Product Sheet'!$B$4:$E$104,2,FALSE))</f>
        <v>Windows11 Key</v>
      </c>
      <c r="D36" s="8">
        <f>IF(B36="","",VLOOKUP(B36,'Product Sheet'!$B$4:$E$104,3,FALSE))</f>
        <v>298</v>
      </c>
      <c r="E36" s="8">
        <v>5</v>
      </c>
      <c r="F36" s="14">
        <v>0.14000000000000001</v>
      </c>
      <c r="G36" s="15">
        <f t="shared" si="0"/>
        <v>256.27999999999997</v>
      </c>
      <c r="H36" s="15">
        <f>IF(B36="","",D36*VLOOKUP(B36,'Product Sheet'!$B$4:$E$104,4,FALSE))</f>
        <v>47.68</v>
      </c>
      <c r="I36" s="8">
        <f t="shared" si="1"/>
        <v>1519.8</v>
      </c>
    </row>
    <row r="37" spans="2:9" x14ac:dyDescent="0.25">
      <c r="B37" s="8" t="s">
        <v>111</v>
      </c>
      <c r="C37" s="8" t="str">
        <f>IF(B37="","",VLOOKUP(B37,'Product Sheet'!$B$4:$E$104,2,FALSE))</f>
        <v>Boat Earbuds</v>
      </c>
      <c r="D37" s="8">
        <f>IF(B37="","",VLOOKUP(B37,'Product Sheet'!$B$4:$E$104,3,FALSE))</f>
        <v>143</v>
      </c>
      <c r="E37" s="8">
        <v>6</v>
      </c>
      <c r="F37" s="14">
        <v>0.46</v>
      </c>
      <c r="G37" s="15">
        <f t="shared" si="0"/>
        <v>77.22</v>
      </c>
      <c r="H37" s="15">
        <f>IF(B37="","",D37*VLOOKUP(B37,'Product Sheet'!$B$4:$E$104,4,FALSE))</f>
        <v>28.6</v>
      </c>
      <c r="I37" s="8">
        <f t="shared" si="1"/>
        <v>634.91999999999996</v>
      </c>
    </row>
    <row r="38" spans="2:9" x14ac:dyDescent="0.25">
      <c r="B38" s="8" t="s">
        <v>112</v>
      </c>
      <c r="C38" s="8" t="str">
        <f>IF(B38="","",VLOOKUP(B38,'Product Sheet'!$B$4:$E$104,2,FALSE))</f>
        <v>Boat Soundbar</v>
      </c>
      <c r="D38" s="8">
        <f>IF(B38="","",VLOOKUP(B38,'Product Sheet'!$B$4:$E$104,3,FALSE))</f>
        <v>273</v>
      </c>
      <c r="E38" s="8">
        <v>8</v>
      </c>
      <c r="F38" s="14">
        <v>0.39</v>
      </c>
      <c r="G38" s="15">
        <f t="shared" si="0"/>
        <v>166.53</v>
      </c>
      <c r="H38" s="15">
        <f>IF(B38="","",D38*VLOOKUP(B38,'Product Sheet'!$B$4:$E$104,4,FALSE))</f>
        <v>35.49</v>
      </c>
      <c r="I38" s="8">
        <f t="shared" si="1"/>
        <v>1616.16</v>
      </c>
    </row>
    <row r="39" spans="2:9" x14ac:dyDescent="0.25">
      <c r="B39" s="8" t="s">
        <v>113</v>
      </c>
      <c r="C39" s="8" t="str">
        <f>IF(B39="","",VLOOKUP(B39,'Product Sheet'!$B$4:$E$104,2,FALSE))</f>
        <v>Samsung 8K OLED TV</v>
      </c>
      <c r="D39" s="8">
        <f>IF(B39="","",VLOOKUP(B39,'Product Sheet'!$B$4:$E$104,3,FALSE))</f>
        <v>357</v>
      </c>
      <c r="E39" s="8">
        <v>1</v>
      </c>
      <c r="F39" s="14">
        <v>0.22</v>
      </c>
      <c r="G39" s="15">
        <f t="shared" si="0"/>
        <v>278.45999999999998</v>
      </c>
      <c r="H39" s="15">
        <f>IF(B39="","",D39*VLOOKUP(B39,'Product Sheet'!$B$4:$E$104,4,FALSE))</f>
        <v>49.980000000000004</v>
      </c>
      <c r="I39" s="8">
        <f t="shared" si="1"/>
        <v>328.44</v>
      </c>
    </row>
    <row r="40" spans="2:9" x14ac:dyDescent="0.25">
      <c r="B40" s="8" t="s">
        <v>114</v>
      </c>
      <c r="C40" s="8" t="str">
        <f>IF(B40="","",VLOOKUP(B40,'Product Sheet'!$B$4:$E$104,2,FALSE))</f>
        <v>Ant-E Sports Gaming Wheel</v>
      </c>
      <c r="D40" s="8">
        <f>IF(B40="","",VLOOKUP(B40,'Product Sheet'!$B$4:$E$104,3,FALSE))</f>
        <v>53</v>
      </c>
      <c r="E40" s="8">
        <v>4</v>
      </c>
      <c r="F40" s="14">
        <v>0.22</v>
      </c>
      <c r="G40" s="15">
        <f t="shared" si="0"/>
        <v>41.34</v>
      </c>
      <c r="H40" s="15">
        <f>IF(B40="","",D40*VLOOKUP(B40,'Product Sheet'!$B$4:$E$104,4,FALSE))</f>
        <v>3.7100000000000004</v>
      </c>
      <c r="I40" s="8">
        <f t="shared" si="1"/>
        <v>180.20000000000002</v>
      </c>
    </row>
    <row r="41" spans="2:9" x14ac:dyDescent="0.25">
      <c r="B41" s="8" t="s">
        <v>115</v>
      </c>
      <c r="C41" s="8" t="str">
        <f>IF(B41="","",VLOOKUP(B41,'Product Sheet'!$B$4:$E$104,2,FALSE))</f>
        <v>Forza Horizon 5</v>
      </c>
      <c r="D41" s="8">
        <f>IF(B41="","",VLOOKUP(B41,'Product Sheet'!$B$4:$E$104,3,FALSE))</f>
        <v>118</v>
      </c>
      <c r="E41" s="8">
        <v>6</v>
      </c>
      <c r="F41" s="14">
        <v>0.48</v>
      </c>
      <c r="G41" s="15">
        <f t="shared" si="0"/>
        <v>61.36</v>
      </c>
      <c r="H41" s="15">
        <f>IF(B41="","",D41*VLOOKUP(B41,'Product Sheet'!$B$4:$E$104,4,FALSE))</f>
        <v>30.68</v>
      </c>
      <c r="I41" s="8">
        <f t="shared" si="1"/>
        <v>552.24</v>
      </c>
    </row>
    <row r="42" spans="2:9" x14ac:dyDescent="0.25">
      <c r="B42" s="8" t="s">
        <v>116</v>
      </c>
      <c r="C42" s="8" t="str">
        <f>IF(B42="","",VLOOKUP(B42,'Product Sheet'!$B$4:$E$104,2,FALSE))</f>
        <v>Jainex Switch</v>
      </c>
      <c r="D42" s="8">
        <f>IF(B42="","",VLOOKUP(B42,'Product Sheet'!$B$4:$E$104,3,FALSE))</f>
        <v>251</v>
      </c>
      <c r="E42" s="8">
        <v>7</v>
      </c>
      <c r="F42" s="14">
        <v>0.45</v>
      </c>
      <c r="G42" s="15">
        <f t="shared" si="0"/>
        <v>138.05000000000001</v>
      </c>
      <c r="H42" s="15">
        <f>IF(B42="","",D42*VLOOKUP(B42,'Product Sheet'!$B$4:$E$104,4,FALSE))</f>
        <v>37.65</v>
      </c>
      <c r="I42" s="8">
        <f t="shared" si="1"/>
        <v>1229.9000000000001</v>
      </c>
    </row>
    <row r="43" spans="2:9" x14ac:dyDescent="0.25">
      <c r="B43" s="8" t="s">
        <v>117</v>
      </c>
      <c r="C43" s="8" t="str">
        <f>IF(B43="","",VLOOKUP(B43,'Product Sheet'!$B$4:$E$104,2,FALSE))</f>
        <v>Computer Table (Normal)</v>
      </c>
      <c r="D43" s="8">
        <f>IF(B43="","",VLOOKUP(B43,'Product Sheet'!$B$4:$E$104,3,FALSE))</f>
        <v>449</v>
      </c>
      <c r="E43" s="8">
        <v>7</v>
      </c>
      <c r="F43" s="14">
        <v>0.18</v>
      </c>
      <c r="G43" s="15">
        <f t="shared" si="0"/>
        <v>368.18</v>
      </c>
      <c r="H43" s="15">
        <f>IF(B43="","",D43*VLOOKUP(B43,'Product Sheet'!$B$4:$E$104,4,FALSE))</f>
        <v>85.31</v>
      </c>
      <c r="I43" s="8">
        <f t="shared" si="1"/>
        <v>3174.4300000000003</v>
      </c>
    </row>
    <row r="44" spans="2:9" x14ac:dyDescent="0.25">
      <c r="B44" s="8" t="s">
        <v>118</v>
      </c>
      <c r="C44" s="8" t="str">
        <f>IF(B44="","",VLOOKUP(B44,'Product Sheet'!$B$4:$E$104,2,FALSE))</f>
        <v>Computer Table (Adjustable)</v>
      </c>
      <c r="D44" s="8">
        <f>IF(B44="","",VLOOKUP(B44,'Product Sheet'!$B$4:$E$104,3,FALSE))</f>
        <v>185</v>
      </c>
      <c r="E44" s="8">
        <v>4</v>
      </c>
      <c r="F44" s="14">
        <v>0.11</v>
      </c>
      <c r="G44" s="15">
        <f t="shared" si="0"/>
        <v>164.65</v>
      </c>
      <c r="H44" s="15">
        <f>IF(B44="","",D44*VLOOKUP(B44,'Product Sheet'!$B$4:$E$104,4,FALSE))</f>
        <v>12.950000000000001</v>
      </c>
      <c r="I44" s="8">
        <f t="shared" si="1"/>
        <v>710.4</v>
      </c>
    </row>
    <row r="45" spans="2:9" x14ac:dyDescent="0.25">
      <c r="B45" s="8" t="s">
        <v>119</v>
      </c>
      <c r="C45" s="8" t="str">
        <f>IF(B45="","",VLOOKUP(B45,'Product Sheet'!$B$4:$E$104,2,FALSE))</f>
        <v>Ipad Mini</v>
      </c>
      <c r="D45" s="8">
        <f>IF(B45="","",VLOOKUP(B45,'Product Sheet'!$B$4:$E$104,3,FALSE))</f>
        <v>403</v>
      </c>
      <c r="E45" s="8">
        <v>1</v>
      </c>
      <c r="F45" s="14">
        <v>0.14000000000000001</v>
      </c>
      <c r="G45" s="15">
        <f t="shared" si="0"/>
        <v>346.58</v>
      </c>
      <c r="H45" s="15">
        <f>IF(B45="","",D45*VLOOKUP(B45,'Product Sheet'!$B$4:$E$104,4,FALSE))</f>
        <v>96.72</v>
      </c>
      <c r="I45" s="8">
        <f t="shared" si="1"/>
        <v>443.29999999999995</v>
      </c>
    </row>
    <row r="46" spans="2:9" x14ac:dyDescent="0.25">
      <c r="B46" s="8" t="s">
        <v>120</v>
      </c>
      <c r="C46" s="8" t="str">
        <f>IF(B46="","",VLOOKUP(B46,'Product Sheet'!$B$4:$E$104,2,FALSE))</f>
        <v>Macbook Pro M4</v>
      </c>
      <c r="D46" s="8">
        <f>IF(B46="","",VLOOKUP(B46,'Product Sheet'!$B$4:$E$104,3,FALSE))</f>
        <v>82</v>
      </c>
      <c r="E46" s="8">
        <v>3</v>
      </c>
      <c r="F46" s="14">
        <v>0.34</v>
      </c>
      <c r="G46" s="15">
        <f t="shared" si="0"/>
        <v>54.12</v>
      </c>
      <c r="H46" s="15">
        <f>IF(B46="","",D46*VLOOKUP(B46,'Product Sheet'!$B$4:$E$104,4,FALSE))</f>
        <v>15.58</v>
      </c>
      <c r="I46" s="8">
        <f t="shared" si="1"/>
        <v>209.10000000000002</v>
      </c>
    </row>
    <row r="47" spans="2:9" x14ac:dyDescent="0.25">
      <c r="B47" s="8" t="s">
        <v>121</v>
      </c>
      <c r="C47" s="8" t="str">
        <f>IF(B47="","",VLOOKUP(B47,'Product Sheet'!$B$4:$E$104,2,FALSE))</f>
        <v>Macbook Pro M5</v>
      </c>
      <c r="D47" s="8">
        <f>IF(B47="","",VLOOKUP(B47,'Product Sheet'!$B$4:$E$104,3,FALSE))</f>
        <v>314</v>
      </c>
      <c r="E47" s="8">
        <v>8</v>
      </c>
      <c r="F47" s="14">
        <v>0.37</v>
      </c>
      <c r="G47" s="15">
        <f t="shared" si="0"/>
        <v>197.82</v>
      </c>
      <c r="H47" s="15">
        <f>IF(B47="","",D47*VLOOKUP(B47,'Product Sheet'!$B$4:$E$104,4,FALSE))</f>
        <v>62.800000000000004</v>
      </c>
      <c r="I47" s="8">
        <f t="shared" si="1"/>
        <v>2084.96</v>
      </c>
    </row>
    <row r="48" spans="2:9" x14ac:dyDescent="0.25">
      <c r="B48" s="8" t="s">
        <v>122</v>
      </c>
      <c r="C48" s="8" t="str">
        <f>IF(B48="","",VLOOKUP(B48,'Product Sheet'!$B$4:$E$104,2,FALSE))</f>
        <v>DDR4 RAM 16GB</v>
      </c>
      <c r="D48" s="8">
        <f>IF(B48="","",VLOOKUP(B48,'Product Sheet'!$B$4:$E$104,3,FALSE))</f>
        <v>403</v>
      </c>
      <c r="E48" s="8">
        <v>3</v>
      </c>
      <c r="F48" s="14">
        <v>0.28000000000000003</v>
      </c>
      <c r="G48" s="15">
        <f t="shared" si="0"/>
        <v>290.15999999999997</v>
      </c>
      <c r="H48" s="15">
        <f>IF(B48="","",D48*VLOOKUP(B48,'Product Sheet'!$B$4:$E$104,4,FALSE))</f>
        <v>68.510000000000005</v>
      </c>
      <c r="I48" s="8">
        <f t="shared" si="1"/>
        <v>1076.0099999999998</v>
      </c>
    </row>
    <row r="49" spans="2:9" x14ac:dyDescent="0.25">
      <c r="B49" s="8" t="s">
        <v>123</v>
      </c>
      <c r="C49" s="8" t="str">
        <f>IF(B49="","",VLOOKUP(B49,'Product Sheet'!$B$4:$E$104,2,FALSE))</f>
        <v>Ipad Pro</v>
      </c>
      <c r="D49" s="8">
        <f>IF(B49="","",VLOOKUP(B49,'Product Sheet'!$B$4:$E$104,3,FALSE))</f>
        <v>109</v>
      </c>
      <c r="E49" s="8">
        <v>4</v>
      </c>
      <c r="F49" s="14">
        <v>0.5</v>
      </c>
      <c r="G49" s="15">
        <f t="shared" si="0"/>
        <v>54.5</v>
      </c>
      <c r="H49" s="15">
        <f>IF(B49="","",D49*VLOOKUP(B49,'Product Sheet'!$B$4:$E$104,4,FALSE))</f>
        <v>17.440000000000001</v>
      </c>
      <c r="I49" s="8">
        <f t="shared" si="1"/>
        <v>287.76</v>
      </c>
    </row>
    <row r="50" spans="2:9" x14ac:dyDescent="0.25">
      <c r="B50" s="8" t="s">
        <v>124</v>
      </c>
      <c r="C50" s="8" t="str">
        <f>IF(B50="","",VLOOKUP(B50,'Product Sheet'!$B$4:$E$104,2,FALSE))</f>
        <v>HP Printer</v>
      </c>
      <c r="D50" s="8">
        <f>IF(B50="","",VLOOKUP(B50,'Product Sheet'!$B$4:$E$104,3,FALSE))</f>
        <v>470</v>
      </c>
      <c r="E50" s="8">
        <v>7</v>
      </c>
      <c r="F50" s="14">
        <v>0.5</v>
      </c>
      <c r="G50" s="15">
        <f t="shared" si="0"/>
        <v>235</v>
      </c>
      <c r="H50" s="15">
        <f>IF(B50="","",D50*VLOOKUP(B50,'Product Sheet'!$B$4:$E$104,4,FALSE))</f>
        <v>131.60000000000002</v>
      </c>
      <c r="I50" s="8">
        <f t="shared" si="1"/>
        <v>2566.2000000000003</v>
      </c>
    </row>
    <row r="51" spans="2:9" x14ac:dyDescent="0.25">
      <c r="B51" s="8" t="s">
        <v>125</v>
      </c>
      <c r="C51" s="8" t="str">
        <f>IF(B51="","",VLOOKUP(B51,'Product Sheet'!$B$4:$E$104,2,FALSE))</f>
        <v>LED Bulb</v>
      </c>
      <c r="D51" s="8">
        <f>IF(B51="","",VLOOKUP(B51,'Product Sheet'!$B$4:$E$104,3,FALSE))</f>
        <v>230</v>
      </c>
      <c r="E51" s="8">
        <v>8</v>
      </c>
      <c r="F51" s="14">
        <v>0.25</v>
      </c>
      <c r="G51" s="15">
        <f t="shared" si="0"/>
        <v>172.5</v>
      </c>
      <c r="H51" s="15">
        <f>IF(B51="","",D51*VLOOKUP(B51,'Product Sheet'!$B$4:$E$104,4,FALSE))</f>
        <v>36.800000000000004</v>
      </c>
      <c r="I51" s="8">
        <f t="shared" si="1"/>
        <v>1674.4</v>
      </c>
    </row>
    <row r="52" spans="2:9" x14ac:dyDescent="0.25">
      <c r="B52" s="8" t="s">
        <v>126</v>
      </c>
      <c r="C52" s="8" t="str">
        <f>IF(B52="","",VLOOKUP(B52,'Product Sheet'!$B$4:$E$104,2,FALSE))</f>
        <v>LED Multicolour Light</v>
      </c>
      <c r="D52" s="8">
        <f>IF(B52="","",VLOOKUP(B52,'Product Sheet'!$B$4:$E$104,3,FALSE))</f>
        <v>110</v>
      </c>
      <c r="E52" s="8">
        <v>8</v>
      </c>
      <c r="F52" s="14">
        <v>0.48</v>
      </c>
      <c r="G52" s="15">
        <f t="shared" si="0"/>
        <v>57.2</v>
      </c>
      <c r="H52" s="15">
        <f>IF(B52="","",D52*VLOOKUP(B52,'Product Sheet'!$B$4:$E$104,4,FALSE))</f>
        <v>17.600000000000001</v>
      </c>
      <c r="I52" s="8">
        <f t="shared" si="1"/>
        <v>598.40000000000009</v>
      </c>
    </row>
    <row r="53" spans="2:9" x14ac:dyDescent="0.25">
      <c r="B53" s="8" t="s">
        <v>127</v>
      </c>
      <c r="C53" s="8" t="str">
        <f>IF(B53="","",VLOOKUP(B53,'Product Sheet'!$B$4:$E$104,2,FALSE))</f>
        <v>Gold Foil</v>
      </c>
      <c r="D53" s="8">
        <f>IF(B53="","",VLOOKUP(B53,'Product Sheet'!$B$4:$E$104,3,FALSE))</f>
        <v>484</v>
      </c>
      <c r="E53" s="8">
        <v>1</v>
      </c>
      <c r="F53" s="14">
        <v>0.21</v>
      </c>
      <c r="G53" s="15">
        <f t="shared" si="0"/>
        <v>382.36</v>
      </c>
      <c r="H53" s="15">
        <f>IF(B53="","",D53*VLOOKUP(B53,'Product Sheet'!$B$4:$E$104,4,FALSE))</f>
        <v>111.32000000000001</v>
      </c>
      <c r="I53" s="8">
        <f t="shared" si="1"/>
        <v>493.68</v>
      </c>
    </row>
    <row r="54" spans="2:9" x14ac:dyDescent="0.25">
      <c r="B54" s="8" t="s">
        <v>128</v>
      </c>
      <c r="C54" s="8" t="str">
        <f>IF(B54="","",VLOOKUP(B54,'Product Sheet'!$B$4:$E$104,2,FALSE))</f>
        <v>Apple Watch</v>
      </c>
      <c r="D54" s="8">
        <f>IF(B54="","",VLOOKUP(B54,'Product Sheet'!$B$4:$E$104,3,FALSE))</f>
        <v>52</v>
      </c>
      <c r="E54" s="8">
        <v>6</v>
      </c>
      <c r="F54" s="14">
        <v>0.46</v>
      </c>
      <c r="G54" s="15">
        <f t="shared" si="0"/>
        <v>28.08</v>
      </c>
      <c r="H54" s="15">
        <f>IF(B54="","",D54*VLOOKUP(B54,'Product Sheet'!$B$4:$E$104,4,FALSE))</f>
        <v>5.72</v>
      </c>
      <c r="I54" s="8">
        <f t="shared" si="1"/>
        <v>202.79999999999998</v>
      </c>
    </row>
    <row r="55" spans="2:9" x14ac:dyDescent="0.25">
      <c r="B55" s="8" t="s">
        <v>129</v>
      </c>
      <c r="C55" s="8" t="str">
        <f>IF(B55="","",VLOOKUP(B55,'Product Sheet'!$B$4:$E$104,2,FALSE))</f>
        <v>Samsung Smart Watch</v>
      </c>
      <c r="D55" s="8">
        <f>IF(B55="","",VLOOKUP(B55,'Product Sheet'!$B$4:$E$104,3,FALSE))</f>
        <v>429</v>
      </c>
      <c r="E55" s="8">
        <v>10</v>
      </c>
      <c r="F55" s="14">
        <v>0.46</v>
      </c>
      <c r="G55" s="15">
        <f t="shared" si="0"/>
        <v>231.66</v>
      </c>
      <c r="H55" s="15">
        <f>IF(B55="","",D55*VLOOKUP(B55,'Product Sheet'!$B$4:$E$104,4,FALSE))</f>
        <v>115.83000000000001</v>
      </c>
      <c r="I55" s="8">
        <f t="shared" si="1"/>
        <v>3474.9</v>
      </c>
    </row>
    <row r="56" spans="2:9" x14ac:dyDescent="0.25">
      <c r="B56" s="8" t="s">
        <v>130</v>
      </c>
      <c r="C56" s="8" t="str">
        <f>IF(B56="","",VLOOKUP(B56,'Product Sheet'!$B$4:$E$104,2,FALSE))</f>
        <v>Noise Smart Watch</v>
      </c>
      <c r="D56" s="8">
        <f>IF(B56="","",VLOOKUP(B56,'Product Sheet'!$B$4:$E$104,3,FALSE))</f>
        <v>456</v>
      </c>
      <c r="E56" s="8">
        <v>2</v>
      </c>
      <c r="F56" s="14">
        <v>0.39</v>
      </c>
      <c r="G56" s="15">
        <f t="shared" si="0"/>
        <v>278.15999999999997</v>
      </c>
      <c r="H56" s="15">
        <f>IF(B56="","",D56*VLOOKUP(B56,'Product Sheet'!$B$4:$E$104,4,FALSE))</f>
        <v>31.92</v>
      </c>
      <c r="I56" s="8">
        <f t="shared" si="1"/>
        <v>620.16</v>
      </c>
    </row>
    <row r="57" spans="2:9" x14ac:dyDescent="0.25">
      <c r="B57" s="8" t="s">
        <v>131</v>
      </c>
      <c r="C57" s="8" t="str">
        <f>IF(B57="","",VLOOKUP(B57,'Product Sheet'!$B$4:$E$104,2,FALSE))</f>
        <v>Normal Chair</v>
      </c>
      <c r="D57" s="8">
        <f>IF(B57="","",VLOOKUP(B57,'Product Sheet'!$B$4:$E$104,3,FALSE))</f>
        <v>339</v>
      </c>
      <c r="E57" s="8">
        <v>7</v>
      </c>
      <c r="F57" s="14">
        <v>0.4</v>
      </c>
      <c r="G57" s="15">
        <f t="shared" si="0"/>
        <v>203.4</v>
      </c>
      <c r="H57" s="15">
        <f>IF(B57="","",D57*VLOOKUP(B57,'Product Sheet'!$B$4:$E$104,4,FALSE))</f>
        <v>47.460000000000008</v>
      </c>
      <c r="I57" s="8">
        <f t="shared" si="1"/>
        <v>1756.02</v>
      </c>
    </row>
    <row r="58" spans="2:9" x14ac:dyDescent="0.25">
      <c r="B58" s="8" t="s">
        <v>132</v>
      </c>
      <c r="C58" s="8" t="str">
        <f>IF(B58="","",VLOOKUP(B58,'Product Sheet'!$B$4:$E$104,2,FALSE))</f>
        <v>Gaming Chair</v>
      </c>
      <c r="D58" s="8">
        <f>IF(B58="","",VLOOKUP(B58,'Product Sheet'!$B$4:$E$104,3,FALSE))</f>
        <v>322</v>
      </c>
      <c r="E58" s="8">
        <v>5</v>
      </c>
      <c r="F58" s="14">
        <v>0.11</v>
      </c>
      <c r="G58" s="15">
        <f t="shared" si="0"/>
        <v>286.58</v>
      </c>
      <c r="H58" s="15">
        <f>IF(B58="","",D58*VLOOKUP(B58,'Product Sheet'!$B$4:$E$104,4,FALSE))</f>
        <v>74.06</v>
      </c>
      <c r="I58" s="8">
        <f t="shared" si="1"/>
        <v>1803.1999999999998</v>
      </c>
    </row>
    <row r="59" spans="2:9" x14ac:dyDescent="0.25">
      <c r="B59" s="8" t="s">
        <v>133</v>
      </c>
      <c r="C59" s="8" t="str">
        <f>IF(B59="","",VLOOKUP(B59,'Product Sheet'!$B$4:$E$104,2,FALSE))</f>
        <v>Laptop Charger</v>
      </c>
      <c r="D59" s="8">
        <f>IF(B59="","",VLOOKUP(B59,'Product Sheet'!$B$4:$E$104,3,FALSE))</f>
        <v>222</v>
      </c>
      <c r="E59" s="8">
        <v>9</v>
      </c>
      <c r="F59" s="14">
        <v>0.31</v>
      </c>
      <c r="G59" s="15">
        <f t="shared" si="0"/>
        <v>153.18</v>
      </c>
      <c r="H59" s="15">
        <f>IF(B59="","",D59*VLOOKUP(B59,'Product Sheet'!$B$4:$E$104,4,FALSE))</f>
        <v>31.080000000000002</v>
      </c>
      <c r="I59" s="8">
        <f t="shared" si="1"/>
        <v>1658.3400000000001</v>
      </c>
    </row>
    <row r="60" spans="2:9" x14ac:dyDescent="0.25">
      <c r="B60" s="8" t="s">
        <v>134</v>
      </c>
      <c r="C60" s="8" t="str">
        <f>IF(B60="","",VLOOKUP(B60,'Product Sheet'!$B$4:$E$104,2,FALSE))</f>
        <v>Phone Charger</v>
      </c>
      <c r="D60" s="8">
        <f>IF(B60="","",VLOOKUP(B60,'Product Sheet'!$B$4:$E$104,3,FALSE))</f>
        <v>464</v>
      </c>
      <c r="E60" s="8">
        <v>5</v>
      </c>
      <c r="F60" s="14">
        <v>0.1</v>
      </c>
      <c r="G60" s="15">
        <f t="shared" si="0"/>
        <v>417.6</v>
      </c>
      <c r="H60" s="15">
        <f>IF(B60="","",D60*VLOOKUP(B60,'Product Sheet'!$B$4:$E$104,4,FALSE))</f>
        <v>106.72</v>
      </c>
      <c r="I60" s="8">
        <f t="shared" si="1"/>
        <v>2621.6000000000004</v>
      </c>
    </row>
    <row r="61" spans="2:9" x14ac:dyDescent="0.25">
      <c r="B61" s="8" t="s">
        <v>135</v>
      </c>
      <c r="C61" s="8" t="str">
        <f>IF(B61="","",VLOOKUP(B61,'Product Sheet'!$B$4:$E$104,2,FALSE))</f>
        <v>Power Cable</v>
      </c>
      <c r="D61" s="8">
        <f>IF(B61="","",VLOOKUP(B61,'Product Sheet'!$B$4:$E$104,3,FALSE))</f>
        <v>291</v>
      </c>
      <c r="E61" s="8">
        <v>7</v>
      </c>
      <c r="F61" s="14">
        <v>0.42</v>
      </c>
      <c r="G61" s="15">
        <f t="shared" si="0"/>
        <v>168.78</v>
      </c>
      <c r="H61" s="15">
        <f>IF(B61="","",D61*VLOOKUP(B61,'Product Sheet'!$B$4:$E$104,4,FALSE))</f>
        <v>14.55</v>
      </c>
      <c r="I61" s="8">
        <f t="shared" si="1"/>
        <v>1283.3100000000002</v>
      </c>
    </row>
    <row r="62" spans="2:9" x14ac:dyDescent="0.25">
      <c r="B62" s="8" t="s">
        <v>136</v>
      </c>
      <c r="C62" s="8" t="str">
        <f>IF(B62="","",VLOOKUP(B62,'Product Sheet'!$B$4:$E$104,2,FALSE))</f>
        <v>RDR2</v>
      </c>
      <c r="D62" s="8">
        <f>IF(B62="","",VLOOKUP(B62,'Product Sheet'!$B$4:$E$104,3,FALSE))</f>
        <v>484</v>
      </c>
      <c r="E62" s="8">
        <v>2</v>
      </c>
      <c r="F62" s="14">
        <v>0.24</v>
      </c>
      <c r="G62" s="15">
        <f t="shared" si="0"/>
        <v>367.84000000000003</v>
      </c>
      <c r="H62" s="15">
        <f>IF(B62="","",D62*VLOOKUP(B62,'Product Sheet'!$B$4:$E$104,4,FALSE))</f>
        <v>43.559999999999995</v>
      </c>
      <c r="I62" s="8">
        <f t="shared" si="1"/>
        <v>822.80000000000007</v>
      </c>
    </row>
    <row r="63" spans="2:9" x14ac:dyDescent="0.25">
      <c r="B63" s="8" t="s">
        <v>137</v>
      </c>
      <c r="C63" s="8" t="str">
        <f>IF(B63="","",VLOOKUP(B63,'Product Sheet'!$B$4:$E$104,2,FALSE))</f>
        <v>Type-c Cable</v>
      </c>
      <c r="D63" s="8">
        <f>IF(B63="","",VLOOKUP(B63,'Product Sheet'!$B$4:$E$104,3,FALSE))</f>
        <v>228</v>
      </c>
      <c r="E63" s="8">
        <v>4</v>
      </c>
      <c r="F63" s="14">
        <v>0.27</v>
      </c>
      <c r="G63" s="15">
        <f t="shared" si="0"/>
        <v>166.44</v>
      </c>
      <c r="H63" s="15">
        <f>IF(B63="","",D63*VLOOKUP(B63,'Product Sheet'!$B$4:$E$104,4,FALSE))</f>
        <v>29.64</v>
      </c>
      <c r="I63" s="8">
        <f t="shared" si="1"/>
        <v>784.31999999999994</v>
      </c>
    </row>
    <row r="64" spans="2:9" x14ac:dyDescent="0.25">
      <c r="B64" s="8" t="s">
        <v>138</v>
      </c>
      <c r="C64" s="8" t="str">
        <f>IF(B64="","",VLOOKUP(B64,'Product Sheet'!$B$4:$E$104,2,FALSE))</f>
        <v>Micro-usb Cable</v>
      </c>
      <c r="D64" s="8">
        <f>IF(B64="","",VLOOKUP(B64,'Product Sheet'!$B$4:$E$104,3,FALSE))</f>
        <v>304</v>
      </c>
      <c r="E64" s="8">
        <v>10</v>
      </c>
      <c r="F64" s="14">
        <v>0.23</v>
      </c>
      <c r="G64" s="15">
        <f t="shared" si="0"/>
        <v>234.07999999999998</v>
      </c>
      <c r="H64" s="15">
        <f>IF(B64="","",D64*VLOOKUP(B64,'Product Sheet'!$B$4:$E$104,4,FALSE))</f>
        <v>69.92</v>
      </c>
      <c r="I64" s="8">
        <f t="shared" si="1"/>
        <v>3040</v>
      </c>
    </row>
    <row r="65" spans="2:9" x14ac:dyDescent="0.25">
      <c r="B65" s="8" t="s">
        <v>139</v>
      </c>
      <c r="C65" s="8" t="str">
        <f>IF(B65="","",VLOOKUP(B65,'Product Sheet'!$B$4:$E$104,2,FALSE))</f>
        <v>Thunderbolt Cable</v>
      </c>
      <c r="D65" s="8">
        <f>IF(B65="","",VLOOKUP(B65,'Product Sheet'!$B$4:$E$104,3,FALSE))</f>
        <v>379</v>
      </c>
      <c r="E65" s="8">
        <v>1</v>
      </c>
      <c r="F65" s="14">
        <v>0.26</v>
      </c>
      <c r="G65" s="15">
        <f t="shared" si="0"/>
        <v>280.45999999999998</v>
      </c>
      <c r="H65" s="15">
        <f>IF(B65="","",D65*VLOOKUP(B65,'Product Sheet'!$B$4:$E$104,4,FALSE))</f>
        <v>79.59</v>
      </c>
      <c r="I65" s="8">
        <f t="shared" si="1"/>
        <v>360.04999999999995</v>
      </c>
    </row>
    <row r="66" spans="2:9" x14ac:dyDescent="0.25">
      <c r="B66" s="8" t="s">
        <v>140</v>
      </c>
      <c r="C66" s="8" t="str">
        <f>IF(B66="","",VLOOKUP(B66,'Product Sheet'!$B$4:$E$104,2,FALSE))</f>
        <v>Premium Switches</v>
      </c>
      <c r="D66" s="8">
        <f>IF(B66="","",VLOOKUP(B66,'Product Sheet'!$B$4:$E$104,3,FALSE))</f>
        <v>224</v>
      </c>
      <c r="E66" s="8">
        <v>7</v>
      </c>
      <c r="F66" s="14">
        <v>0.19</v>
      </c>
      <c r="G66" s="15">
        <f t="shared" si="0"/>
        <v>181.44</v>
      </c>
      <c r="H66" s="15">
        <f>IF(B66="","",D66*VLOOKUP(B66,'Product Sheet'!$B$4:$E$104,4,FALSE))</f>
        <v>51.52</v>
      </c>
      <c r="I66" s="8">
        <f t="shared" si="1"/>
        <v>1630.72</v>
      </c>
    </row>
    <row r="67" spans="2:9" x14ac:dyDescent="0.25">
      <c r="B67" s="8" t="s">
        <v>141</v>
      </c>
      <c r="C67" s="8" t="str">
        <f>IF(B67="","",VLOOKUP(B67,'Product Sheet'!$B$4:$E$104,2,FALSE))</f>
        <v>RGB Cabinet</v>
      </c>
      <c r="D67" s="8">
        <f>IF(B67="","",VLOOKUP(B67,'Product Sheet'!$B$4:$E$104,3,FALSE))</f>
        <v>439</v>
      </c>
      <c r="E67" s="8">
        <v>9</v>
      </c>
      <c r="F67" s="14">
        <v>0.47</v>
      </c>
      <c r="G67" s="15">
        <f t="shared" si="0"/>
        <v>232.67000000000002</v>
      </c>
      <c r="H67" s="15">
        <f>IF(B67="","",D67*VLOOKUP(B67,'Product Sheet'!$B$4:$E$104,4,FALSE))</f>
        <v>87.800000000000011</v>
      </c>
      <c r="I67" s="8">
        <f t="shared" si="1"/>
        <v>2884.2300000000005</v>
      </c>
    </row>
    <row r="68" spans="2:9" x14ac:dyDescent="0.25">
      <c r="B68" s="8" t="s">
        <v>142</v>
      </c>
      <c r="C68" s="8" t="str">
        <f>IF(B68="","",VLOOKUP(B68,'Product Sheet'!$B$4:$E$104,2,FALSE))</f>
        <v>Normal Cabinet</v>
      </c>
      <c r="D68" s="8">
        <f>IF(B68="","",VLOOKUP(B68,'Product Sheet'!$B$4:$E$104,3,FALSE))</f>
        <v>75</v>
      </c>
      <c r="E68" s="8">
        <v>4</v>
      </c>
      <c r="F68" s="14">
        <v>0.45</v>
      </c>
      <c r="G68" s="15">
        <f t="shared" si="0"/>
        <v>41.25</v>
      </c>
      <c r="H68" s="15">
        <f>IF(B68="","",D68*VLOOKUP(B68,'Product Sheet'!$B$4:$E$104,4,FALSE))</f>
        <v>16.5</v>
      </c>
      <c r="I68" s="8">
        <f t="shared" si="1"/>
        <v>231</v>
      </c>
    </row>
    <row r="69" spans="2:9" x14ac:dyDescent="0.25">
      <c r="B69" s="8" t="s">
        <v>143</v>
      </c>
      <c r="C69" s="8" t="str">
        <f>IF(B69="","",VLOOKUP(B69,'Product Sheet'!$B$4:$E$104,2,FALSE))</f>
        <v>Wired Powerbank 10,000 mAh</v>
      </c>
      <c r="D69" s="8">
        <f>IF(B69="","",VLOOKUP(B69,'Product Sheet'!$B$4:$E$104,3,FALSE))</f>
        <v>187</v>
      </c>
      <c r="E69" s="8">
        <v>10</v>
      </c>
      <c r="F69" s="14">
        <v>0.38</v>
      </c>
      <c r="G69" s="15">
        <f t="shared" si="0"/>
        <v>115.94</v>
      </c>
      <c r="H69" s="15">
        <f>IF(B69="","",D69*VLOOKUP(B69,'Product Sheet'!$B$4:$E$104,4,FALSE))</f>
        <v>16.829999999999998</v>
      </c>
      <c r="I69" s="8">
        <f t="shared" si="1"/>
        <v>1327.6999999999998</v>
      </c>
    </row>
    <row r="70" spans="2:9" x14ac:dyDescent="0.25">
      <c r="B70" s="8" t="s">
        <v>144</v>
      </c>
      <c r="C70" s="8" t="str">
        <f>IF(B70="","",VLOOKUP(B70,'Product Sheet'!$B$4:$E$104,2,FALSE))</f>
        <v>HP Victus</v>
      </c>
      <c r="D70" s="8">
        <f>IF(B70="","",VLOOKUP(B70,'Product Sheet'!$B$4:$E$104,3,FALSE))</f>
        <v>196</v>
      </c>
      <c r="E70" s="8">
        <v>6</v>
      </c>
      <c r="F70" s="14">
        <v>0.1</v>
      </c>
      <c r="G70" s="15">
        <f t="shared" ref="G70:G104" si="2">D70-D70*F70</f>
        <v>176.4</v>
      </c>
      <c r="H70" s="15">
        <f>IF(B70="","",D70*VLOOKUP(B70,'Product Sheet'!$B$4:$E$104,4,FALSE))</f>
        <v>17.64</v>
      </c>
      <c r="I70" s="8">
        <f t="shared" ref="I70:I104" si="3">(G70+H70)*E70</f>
        <v>1164.2400000000002</v>
      </c>
    </row>
    <row r="71" spans="2:9" x14ac:dyDescent="0.25">
      <c r="B71" s="8" t="s">
        <v>145</v>
      </c>
      <c r="C71" s="8" t="str">
        <f>IF(B71="","",VLOOKUP(B71,'Product Sheet'!$B$4:$E$104,2,FALSE))</f>
        <v>Lenovo CPU</v>
      </c>
      <c r="D71" s="8">
        <f>IF(B71="","",VLOOKUP(B71,'Product Sheet'!$B$4:$E$104,3,FALSE))</f>
        <v>419</v>
      </c>
      <c r="E71" s="8">
        <v>10</v>
      </c>
      <c r="F71" s="14">
        <v>0.38</v>
      </c>
      <c r="G71" s="15">
        <f t="shared" si="2"/>
        <v>259.77999999999997</v>
      </c>
      <c r="H71" s="15">
        <f>IF(B71="","",D71*VLOOKUP(B71,'Product Sheet'!$B$4:$E$104,4,FALSE))</f>
        <v>33.520000000000003</v>
      </c>
      <c r="I71" s="8">
        <f t="shared" si="3"/>
        <v>2932.9999999999995</v>
      </c>
    </row>
    <row r="72" spans="2:9" x14ac:dyDescent="0.25">
      <c r="B72" s="8" t="s">
        <v>146</v>
      </c>
      <c r="C72" s="8" t="str">
        <f>IF(B72="","",VLOOKUP(B72,'Product Sheet'!$B$4:$E$104,2,FALSE))</f>
        <v>Lenovo YOGA Lapotop</v>
      </c>
      <c r="D72" s="8">
        <f>IF(B72="","",VLOOKUP(B72,'Product Sheet'!$B$4:$E$104,3,FALSE))</f>
        <v>63</v>
      </c>
      <c r="E72" s="8">
        <v>6</v>
      </c>
      <c r="F72" s="14">
        <v>0.31</v>
      </c>
      <c r="G72" s="15">
        <f t="shared" si="2"/>
        <v>43.47</v>
      </c>
      <c r="H72" s="15">
        <f>IF(B72="","",D72*VLOOKUP(B72,'Product Sheet'!$B$4:$E$104,4,FALSE))</f>
        <v>11.34</v>
      </c>
      <c r="I72" s="8">
        <f t="shared" si="3"/>
        <v>328.86</v>
      </c>
    </row>
    <row r="73" spans="2:9" x14ac:dyDescent="0.25">
      <c r="B73" s="8" t="s">
        <v>147</v>
      </c>
      <c r="C73" s="8" t="str">
        <f>IF(B73="","",VLOOKUP(B73,'Product Sheet'!$B$4:$E$104,2,FALSE))</f>
        <v>Lenovo Legion</v>
      </c>
      <c r="D73" s="8">
        <f>IF(B73="","",VLOOKUP(B73,'Product Sheet'!$B$4:$E$104,3,FALSE))</f>
        <v>283</v>
      </c>
      <c r="E73" s="8">
        <v>3</v>
      </c>
      <c r="F73" s="14">
        <v>0.41</v>
      </c>
      <c r="G73" s="15">
        <f t="shared" si="2"/>
        <v>166.97000000000003</v>
      </c>
      <c r="H73" s="15">
        <f>IF(B73="","",D73*VLOOKUP(B73,'Product Sheet'!$B$4:$E$104,4,FALSE))</f>
        <v>50.94</v>
      </c>
      <c r="I73" s="8">
        <f t="shared" si="3"/>
        <v>653.73</v>
      </c>
    </row>
    <row r="74" spans="2:9" x14ac:dyDescent="0.25">
      <c r="B74" s="8" t="s">
        <v>148</v>
      </c>
      <c r="C74" s="8" t="str">
        <f>IF(B74="","",VLOOKUP(B74,'Product Sheet'!$B$4:$E$104,2,FALSE))</f>
        <v>Nintendo Switch</v>
      </c>
      <c r="D74" s="8">
        <f>IF(B74="","",VLOOKUP(B74,'Product Sheet'!$B$4:$E$104,3,FALSE))</f>
        <v>292</v>
      </c>
      <c r="E74" s="8">
        <v>8</v>
      </c>
      <c r="F74" s="14">
        <v>0.28000000000000003</v>
      </c>
      <c r="G74" s="15">
        <f t="shared" si="2"/>
        <v>210.24</v>
      </c>
      <c r="H74" s="15">
        <f>IF(B74="","",D74*VLOOKUP(B74,'Product Sheet'!$B$4:$E$104,4,FALSE))</f>
        <v>23.36</v>
      </c>
      <c r="I74" s="8">
        <f t="shared" si="3"/>
        <v>1868.8000000000002</v>
      </c>
    </row>
    <row r="75" spans="2:9" x14ac:dyDescent="0.25">
      <c r="B75" s="8" t="s">
        <v>149</v>
      </c>
      <c r="C75" s="8" t="str">
        <f>IF(B75="","",VLOOKUP(B75,'Product Sheet'!$B$4:$E$104,2,FALSE))</f>
        <v>PlayStation 5</v>
      </c>
      <c r="D75" s="8">
        <f>IF(B75="","",VLOOKUP(B75,'Product Sheet'!$B$4:$E$104,3,FALSE))</f>
        <v>124</v>
      </c>
      <c r="E75" s="8">
        <v>5</v>
      </c>
      <c r="F75" s="14">
        <v>0.19</v>
      </c>
      <c r="G75" s="15">
        <f t="shared" si="2"/>
        <v>100.44</v>
      </c>
      <c r="H75" s="15">
        <f>IF(B75="","",D75*VLOOKUP(B75,'Product Sheet'!$B$4:$E$104,4,FALSE))</f>
        <v>32.24</v>
      </c>
      <c r="I75" s="8">
        <f t="shared" si="3"/>
        <v>663.40000000000009</v>
      </c>
    </row>
    <row r="76" spans="2:9" x14ac:dyDescent="0.25">
      <c r="B76" s="8" t="s">
        <v>150</v>
      </c>
      <c r="C76" s="8" t="str">
        <f>IF(B76="","",VLOOKUP(B76,'Product Sheet'!$B$4:$E$104,2,FALSE))</f>
        <v>PlayStation 4</v>
      </c>
      <c r="D76" s="8">
        <f>IF(B76="","",VLOOKUP(B76,'Product Sheet'!$B$4:$E$104,3,FALSE))</f>
        <v>245</v>
      </c>
      <c r="E76" s="8">
        <v>8</v>
      </c>
      <c r="F76" s="14">
        <v>0.23</v>
      </c>
      <c r="G76" s="15">
        <f t="shared" si="2"/>
        <v>188.65</v>
      </c>
      <c r="H76" s="15">
        <f>IF(B76="","",D76*VLOOKUP(B76,'Product Sheet'!$B$4:$E$104,4,FALSE))</f>
        <v>36.75</v>
      </c>
      <c r="I76" s="8">
        <f t="shared" si="3"/>
        <v>1803.2</v>
      </c>
    </row>
    <row r="77" spans="2:9" x14ac:dyDescent="0.25">
      <c r="B77" s="8" t="s">
        <v>151</v>
      </c>
      <c r="C77" s="8" t="str">
        <f>IF(B77="","",VLOOKUP(B77,'Product Sheet'!$B$4:$E$104,2,FALSE))</f>
        <v>XBOX Series2</v>
      </c>
      <c r="D77" s="8">
        <f>IF(B77="","",VLOOKUP(B77,'Product Sheet'!$B$4:$E$104,3,FALSE))</f>
        <v>420</v>
      </c>
      <c r="E77" s="8">
        <v>5</v>
      </c>
      <c r="F77" s="14">
        <v>0.21</v>
      </c>
      <c r="G77" s="15">
        <f t="shared" si="2"/>
        <v>331.8</v>
      </c>
      <c r="H77" s="15">
        <f>IF(B77="","",D77*VLOOKUP(B77,'Product Sheet'!$B$4:$E$104,4,FALSE))</f>
        <v>37.799999999999997</v>
      </c>
      <c r="I77" s="8">
        <f t="shared" si="3"/>
        <v>1848</v>
      </c>
    </row>
    <row r="78" spans="2:9" x14ac:dyDescent="0.25">
      <c r="B78" s="8" t="s">
        <v>152</v>
      </c>
      <c r="C78" s="8" t="str">
        <f>IF(B78="","",VLOOKUP(B78,'Product Sheet'!$B$4:$E$104,2,FALSE))</f>
        <v>Plushes</v>
      </c>
      <c r="D78" s="8">
        <f>IF(B78="","",VLOOKUP(B78,'Product Sheet'!$B$4:$E$104,3,FALSE))</f>
        <v>122</v>
      </c>
      <c r="E78" s="8">
        <v>2</v>
      </c>
      <c r="F78" s="14">
        <v>0.43</v>
      </c>
      <c r="G78" s="15">
        <f t="shared" si="2"/>
        <v>69.539999999999992</v>
      </c>
      <c r="H78" s="15">
        <f>IF(B78="","",D78*VLOOKUP(B78,'Product Sheet'!$B$4:$E$104,4,FALSE))</f>
        <v>15.860000000000001</v>
      </c>
      <c r="I78" s="8">
        <f t="shared" si="3"/>
        <v>170.79999999999998</v>
      </c>
    </row>
    <row r="79" spans="2:9" x14ac:dyDescent="0.25">
      <c r="B79" s="8" t="s">
        <v>153</v>
      </c>
      <c r="C79" s="8" t="str">
        <f>IF(B79="","",VLOOKUP(B79,'Product Sheet'!$B$4:$E$104,2,FALSE))</f>
        <v>Mini Cars</v>
      </c>
      <c r="D79" s="8">
        <f>IF(B79="","",VLOOKUP(B79,'Product Sheet'!$B$4:$E$104,3,FALSE))</f>
        <v>368</v>
      </c>
      <c r="E79" s="8">
        <v>7</v>
      </c>
      <c r="F79" s="14">
        <v>0.23</v>
      </c>
      <c r="G79" s="15">
        <f t="shared" si="2"/>
        <v>283.36</v>
      </c>
      <c r="H79" s="15">
        <f>IF(B79="","",D79*VLOOKUP(B79,'Product Sheet'!$B$4:$E$104,4,FALSE))</f>
        <v>22.08</v>
      </c>
      <c r="I79" s="8">
        <f t="shared" si="3"/>
        <v>2138.08</v>
      </c>
    </row>
    <row r="80" spans="2:9" x14ac:dyDescent="0.25">
      <c r="B80" s="8" t="s">
        <v>154</v>
      </c>
      <c r="C80" s="8" t="str">
        <f>IF(B80="","",VLOOKUP(B80,'Product Sheet'!$B$4:$E$104,2,FALSE))</f>
        <v>RC Cars</v>
      </c>
      <c r="D80" s="8">
        <f>IF(B80="","",VLOOKUP(B80,'Product Sheet'!$B$4:$E$104,3,FALSE))</f>
        <v>415</v>
      </c>
      <c r="E80" s="8">
        <v>8</v>
      </c>
      <c r="F80" s="14">
        <v>0.24</v>
      </c>
      <c r="G80" s="15">
        <f t="shared" si="2"/>
        <v>315.39999999999998</v>
      </c>
      <c r="H80" s="15">
        <f>IF(B80="","",D80*VLOOKUP(B80,'Product Sheet'!$B$4:$E$104,4,FALSE))</f>
        <v>103.75</v>
      </c>
      <c r="I80" s="8">
        <f t="shared" si="3"/>
        <v>3353.2</v>
      </c>
    </row>
    <row r="81" spans="2:9" x14ac:dyDescent="0.25">
      <c r="B81" s="8" t="s">
        <v>155</v>
      </c>
      <c r="C81" s="8" t="str">
        <f>IF(B81="","",VLOOKUP(B81,'Product Sheet'!$B$4:$E$104,2,FALSE))</f>
        <v>Foot Rest</v>
      </c>
      <c r="D81" s="8">
        <f>IF(B81="","",VLOOKUP(B81,'Product Sheet'!$B$4:$E$104,3,FALSE))</f>
        <v>461</v>
      </c>
      <c r="E81" s="8">
        <v>9</v>
      </c>
      <c r="F81" s="14">
        <v>0.44</v>
      </c>
      <c r="G81" s="15">
        <f t="shared" si="2"/>
        <v>258.15999999999997</v>
      </c>
      <c r="H81" s="15">
        <f>IF(B81="","",D81*VLOOKUP(B81,'Product Sheet'!$B$4:$E$104,4,FALSE))</f>
        <v>92.2</v>
      </c>
      <c r="I81" s="8">
        <f t="shared" si="3"/>
        <v>3153.24</v>
      </c>
    </row>
    <row r="82" spans="2:9" x14ac:dyDescent="0.25">
      <c r="B82" s="8" t="s">
        <v>156</v>
      </c>
      <c r="C82" s="8" t="str">
        <f>IF(B82="","",VLOOKUP(B82,'Product Sheet'!$B$4:$E$104,2,FALSE))</f>
        <v>Logitech Gaming Wheel</v>
      </c>
      <c r="D82" s="8">
        <f>IF(B82="","",VLOOKUP(B82,'Product Sheet'!$B$4:$E$104,3,FALSE))</f>
        <v>61</v>
      </c>
      <c r="E82" s="8">
        <v>9</v>
      </c>
      <c r="F82" s="14">
        <v>0.13</v>
      </c>
      <c r="G82" s="15">
        <f t="shared" si="2"/>
        <v>53.07</v>
      </c>
      <c r="H82" s="15">
        <f>IF(B82="","",D82*VLOOKUP(B82,'Product Sheet'!$B$4:$E$104,4,FALSE))</f>
        <v>15.860000000000001</v>
      </c>
      <c r="I82" s="8">
        <f t="shared" si="3"/>
        <v>620.37000000000012</v>
      </c>
    </row>
    <row r="83" spans="2:9" x14ac:dyDescent="0.25">
      <c r="B83" s="8" t="s">
        <v>157</v>
      </c>
      <c r="C83" s="8" t="str">
        <f>IF(B83="","",VLOOKUP(B83,'Product Sheet'!$B$4:$E$104,2,FALSE))</f>
        <v>Thermal Paste</v>
      </c>
      <c r="D83" s="8">
        <f>IF(B83="","",VLOOKUP(B83,'Product Sheet'!$B$4:$E$104,3,FALSE))</f>
        <v>456</v>
      </c>
      <c r="E83" s="8">
        <v>5</v>
      </c>
      <c r="F83" s="14">
        <v>0.1</v>
      </c>
      <c r="G83" s="15">
        <f t="shared" si="2"/>
        <v>410.4</v>
      </c>
      <c r="H83" s="15">
        <f>IF(B83="","",D83*VLOOKUP(B83,'Product Sheet'!$B$4:$E$104,4,FALSE))</f>
        <v>86.64</v>
      </c>
      <c r="I83" s="8">
        <f t="shared" si="3"/>
        <v>2485.1999999999998</v>
      </c>
    </row>
    <row r="84" spans="2:9" x14ac:dyDescent="0.25">
      <c r="B84" s="8" t="s">
        <v>158</v>
      </c>
      <c r="C84" s="8" t="str">
        <f>IF(B84="","",VLOOKUP(B84,'Product Sheet'!$B$4:$E$104,2,FALSE))</f>
        <v>Intel Processors</v>
      </c>
      <c r="D84" s="8">
        <f>IF(B84="","",VLOOKUP(B84,'Product Sheet'!$B$4:$E$104,3,FALSE))</f>
        <v>65</v>
      </c>
      <c r="E84" s="8">
        <v>3</v>
      </c>
      <c r="F84" s="14">
        <v>0.31</v>
      </c>
      <c r="G84" s="15">
        <f t="shared" si="2"/>
        <v>44.85</v>
      </c>
      <c r="H84" s="15">
        <f>IF(B84="","",D84*VLOOKUP(B84,'Product Sheet'!$B$4:$E$104,4,FALSE))</f>
        <v>16.900000000000002</v>
      </c>
      <c r="I84" s="8">
        <f t="shared" si="3"/>
        <v>185.25</v>
      </c>
    </row>
    <row r="85" spans="2:9" x14ac:dyDescent="0.25">
      <c r="B85" s="8" t="s">
        <v>159</v>
      </c>
      <c r="C85" s="8" t="str">
        <f>IF(B85="","",VLOOKUP(B85,'Product Sheet'!$B$4:$E$104,2,FALSE))</f>
        <v>AMD Ryzen Processors</v>
      </c>
      <c r="D85" s="8">
        <f>IF(B85="","",VLOOKUP(B85,'Product Sheet'!$B$4:$E$104,3,FALSE))</f>
        <v>74</v>
      </c>
      <c r="E85" s="8">
        <v>8</v>
      </c>
      <c r="F85" s="14">
        <v>0.45</v>
      </c>
      <c r="G85" s="15">
        <f t="shared" si="2"/>
        <v>40.699999999999996</v>
      </c>
      <c r="H85" s="15">
        <f>IF(B85="","",D85*VLOOKUP(B85,'Product Sheet'!$B$4:$E$104,4,FALSE))</f>
        <v>4.4399999999999995</v>
      </c>
      <c r="I85" s="8">
        <f t="shared" si="3"/>
        <v>361.11999999999995</v>
      </c>
    </row>
    <row r="86" spans="2:9" x14ac:dyDescent="0.25">
      <c r="B86" s="8" t="s">
        <v>160</v>
      </c>
      <c r="C86" s="8" t="str">
        <f>IF(B86="","",VLOOKUP(B86,'Product Sheet'!$B$4:$E$104,2,FALSE))</f>
        <v>NVIDIA Graphic Card</v>
      </c>
      <c r="D86" s="8">
        <f>IF(B86="","",VLOOKUP(B86,'Product Sheet'!$B$4:$E$104,3,FALSE))</f>
        <v>412</v>
      </c>
      <c r="E86" s="8">
        <v>9</v>
      </c>
      <c r="F86" s="14">
        <v>0.49</v>
      </c>
      <c r="G86" s="15">
        <f t="shared" si="2"/>
        <v>210.12</v>
      </c>
      <c r="H86" s="15">
        <f>IF(B86="","",D86*VLOOKUP(B86,'Product Sheet'!$B$4:$E$104,4,FALSE))</f>
        <v>45.32</v>
      </c>
      <c r="I86" s="8">
        <f t="shared" si="3"/>
        <v>2298.96</v>
      </c>
    </row>
    <row r="87" spans="2:9" x14ac:dyDescent="0.25">
      <c r="B87" s="8" t="s">
        <v>161</v>
      </c>
      <c r="C87" s="8" t="str">
        <f>IF(B87="","",VLOOKUP(B87,'Product Sheet'!$B$4:$E$104,2,FALSE))</f>
        <v>Nike Shoes</v>
      </c>
      <c r="D87" s="8">
        <f>IF(B87="","",VLOOKUP(B87,'Product Sheet'!$B$4:$E$104,3,FALSE))</f>
        <v>341</v>
      </c>
      <c r="E87" s="8">
        <v>1</v>
      </c>
      <c r="F87" s="14">
        <v>0.4</v>
      </c>
      <c r="G87" s="15">
        <f t="shared" si="2"/>
        <v>204.6</v>
      </c>
      <c r="H87" s="15">
        <f>IF(B87="","",D87*VLOOKUP(B87,'Product Sheet'!$B$4:$E$104,4,FALSE))</f>
        <v>30.689999999999998</v>
      </c>
      <c r="I87" s="8">
        <f t="shared" si="3"/>
        <v>235.29</v>
      </c>
    </row>
    <row r="88" spans="2:9" x14ac:dyDescent="0.25">
      <c r="B88" s="8" t="s">
        <v>162</v>
      </c>
      <c r="C88" s="8" t="str">
        <f>IF(B88="","",VLOOKUP(B88,'Product Sheet'!$B$4:$E$104,2,FALSE))</f>
        <v>VolleyBall</v>
      </c>
      <c r="D88" s="8">
        <f>IF(B88="","",VLOOKUP(B88,'Product Sheet'!$B$4:$E$104,3,FALSE))</f>
        <v>472</v>
      </c>
      <c r="E88" s="8">
        <v>1</v>
      </c>
      <c r="F88" s="14">
        <v>0.39</v>
      </c>
      <c r="G88" s="15">
        <f t="shared" si="2"/>
        <v>287.91999999999996</v>
      </c>
      <c r="H88" s="15">
        <f>IF(B88="","",D88*VLOOKUP(B88,'Product Sheet'!$B$4:$E$104,4,FALSE))</f>
        <v>99.11999999999999</v>
      </c>
      <c r="I88" s="8">
        <f t="shared" si="3"/>
        <v>387.03999999999996</v>
      </c>
    </row>
    <row r="89" spans="2:9" x14ac:dyDescent="0.25">
      <c r="B89" s="8" t="s">
        <v>163</v>
      </c>
      <c r="C89" s="8" t="str">
        <f>IF(B89="","",VLOOKUP(B89,'Product Sheet'!$B$4:$E$104,2,FALSE))</f>
        <v>FootBall</v>
      </c>
      <c r="D89" s="8">
        <f>IF(B89="","",VLOOKUP(B89,'Product Sheet'!$B$4:$E$104,3,FALSE))</f>
        <v>325</v>
      </c>
      <c r="E89" s="8">
        <v>3</v>
      </c>
      <c r="F89" s="14">
        <v>0.28000000000000003</v>
      </c>
      <c r="G89" s="15">
        <f t="shared" si="2"/>
        <v>234</v>
      </c>
      <c r="H89" s="15">
        <f>IF(B89="","",D89*VLOOKUP(B89,'Product Sheet'!$B$4:$E$104,4,FALSE))</f>
        <v>97.5</v>
      </c>
      <c r="I89" s="8">
        <f t="shared" si="3"/>
        <v>994.5</v>
      </c>
    </row>
    <row r="90" spans="2:9" x14ac:dyDescent="0.25">
      <c r="B90" s="8" t="s">
        <v>164</v>
      </c>
      <c r="C90" s="8" t="str">
        <f>IF(B90="","",VLOOKUP(B90,'Product Sheet'!$B$4:$E$104,2,FALSE))</f>
        <v>Cricket Bat</v>
      </c>
      <c r="D90" s="8">
        <f>IF(B90="","",VLOOKUP(B90,'Product Sheet'!$B$4:$E$104,3,FALSE))</f>
        <v>464</v>
      </c>
      <c r="E90" s="8">
        <v>4</v>
      </c>
      <c r="F90" s="14">
        <v>0.43</v>
      </c>
      <c r="G90" s="15">
        <f t="shared" si="2"/>
        <v>264.48</v>
      </c>
      <c r="H90" s="15">
        <f>IF(B90="","",D90*VLOOKUP(B90,'Product Sheet'!$B$4:$E$104,4,FALSE))</f>
        <v>46.400000000000006</v>
      </c>
      <c r="I90" s="8">
        <f t="shared" si="3"/>
        <v>1243.52</v>
      </c>
    </row>
    <row r="91" spans="2:9" x14ac:dyDescent="0.25">
      <c r="B91" s="8" t="s">
        <v>165</v>
      </c>
      <c r="C91" s="8" t="str">
        <f>IF(B91="","",VLOOKUP(B91,'Product Sheet'!$B$4:$E$104,2,FALSE))</f>
        <v>Stumps</v>
      </c>
      <c r="D91" s="8">
        <f>IF(B91="","",VLOOKUP(B91,'Product Sheet'!$B$4:$E$104,3,FALSE))</f>
        <v>143</v>
      </c>
      <c r="E91" s="8">
        <v>2</v>
      </c>
      <c r="F91" s="14">
        <v>0.37</v>
      </c>
      <c r="G91" s="15">
        <f t="shared" si="2"/>
        <v>90.09</v>
      </c>
      <c r="H91" s="15">
        <f>IF(B91="","",D91*VLOOKUP(B91,'Product Sheet'!$B$4:$E$104,4,FALSE))</f>
        <v>22.88</v>
      </c>
      <c r="I91" s="8">
        <f t="shared" si="3"/>
        <v>225.94</v>
      </c>
    </row>
    <row r="92" spans="2:9" x14ac:dyDescent="0.25">
      <c r="B92" s="8" t="s">
        <v>166</v>
      </c>
      <c r="C92" s="8" t="str">
        <f>IF(B92="","",VLOOKUP(B92,'Product Sheet'!$B$4:$E$104,2,FALSE))</f>
        <v>Tennis Ball</v>
      </c>
      <c r="D92" s="8">
        <f>IF(B92="","",VLOOKUP(B92,'Product Sheet'!$B$4:$E$104,3,FALSE))</f>
        <v>240</v>
      </c>
      <c r="E92" s="8">
        <v>5</v>
      </c>
      <c r="F92" s="14">
        <v>0.26</v>
      </c>
      <c r="G92" s="15">
        <f t="shared" si="2"/>
        <v>177.6</v>
      </c>
      <c r="H92" s="15">
        <f>IF(B92="","",D92*VLOOKUP(B92,'Product Sheet'!$B$4:$E$104,4,FALSE))</f>
        <v>14.399999999999999</v>
      </c>
      <c r="I92" s="8">
        <f t="shared" si="3"/>
        <v>960</v>
      </c>
    </row>
    <row r="93" spans="2:9" x14ac:dyDescent="0.25">
      <c r="B93" s="8" t="s">
        <v>167</v>
      </c>
      <c r="C93" s="8" t="str">
        <f>IF(B93="","",VLOOKUP(B93,'Product Sheet'!$B$4:$E$104,2,FALSE))</f>
        <v>Badminton</v>
      </c>
      <c r="D93" s="8">
        <f>IF(B93="","",VLOOKUP(B93,'Product Sheet'!$B$4:$E$104,3,FALSE))</f>
        <v>371</v>
      </c>
      <c r="E93" s="8">
        <v>2</v>
      </c>
      <c r="F93" s="14">
        <v>0.46</v>
      </c>
      <c r="G93" s="15">
        <f t="shared" si="2"/>
        <v>200.34</v>
      </c>
      <c r="H93" s="15">
        <f>IF(B93="","",D93*VLOOKUP(B93,'Product Sheet'!$B$4:$E$104,4,FALSE))</f>
        <v>55.65</v>
      </c>
      <c r="I93" s="8">
        <f t="shared" si="3"/>
        <v>511.98</v>
      </c>
    </row>
    <row r="94" spans="2:9" x14ac:dyDescent="0.25">
      <c r="B94" s="8" t="s">
        <v>168</v>
      </c>
      <c r="C94" s="8" t="str">
        <f>IF(B94="","",VLOOKUP(B94,'Product Sheet'!$B$4:$E$104,2,FALSE))</f>
        <v>VolleyBall Net</v>
      </c>
      <c r="D94" s="8">
        <f>IF(B94="","",VLOOKUP(B94,'Product Sheet'!$B$4:$E$104,3,FALSE))</f>
        <v>324</v>
      </c>
      <c r="E94" s="8">
        <v>3</v>
      </c>
      <c r="F94" s="14">
        <v>0.28000000000000003</v>
      </c>
      <c r="G94" s="15">
        <f t="shared" si="2"/>
        <v>233.27999999999997</v>
      </c>
      <c r="H94" s="15">
        <f>IF(B94="","",D94*VLOOKUP(B94,'Product Sheet'!$B$4:$E$104,4,FALSE))</f>
        <v>61.56</v>
      </c>
      <c r="I94" s="8">
        <f t="shared" si="3"/>
        <v>884.52</v>
      </c>
    </row>
    <row r="95" spans="2:9" x14ac:dyDescent="0.25">
      <c r="B95" s="8" t="s">
        <v>169</v>
      </c>
      <c r="C95" s="8" t="str">
        <f>IF(B95="","",VLOOKUP(B95,'Product Sheet'!$B$4:$E$104,2,FALSE))</f>
        <v>Table Tennis</v>
      </c>
      <c r="D95" s="8">
        <f>IF(B95="","",VLOOKUP(B95,'Product Sheet'!$B$4:$E$104,3,FALSE))</f>
        <v>208</v>
      </c>
      <c r="E95" s="8">
        <v>5</v>
      </c>
      <c r="F95" s="14">
        <v>0.34</v>
      </c>
      <c r="G95" s="15">
        <f t="shared" si="2"/>
        <v>137.28</v>
      </c>
      <c r="H95" s="15">
        <f>IF(B95="","",D95*VLOOKUP(B95,'Product Sheet'!$B$4:$E$104,4,FALSE))</f>
        <v>24.96</v>
      </c>
      <c r="I95" s="8">
        <f t="shared" si="3"/>
        <v>811.2</v>
      </c>
    </row>
    <row r="96" spans="2:9" x14ac:dyDescent="0.25">
      <c r="B96" s="8" t="s">
        <v>170</v>
      </c>
      <c r="C96" s="8" t="str">
        <f>IF(B96="","",VLOOKUP(B96,'Product Sheet'!$B$4:$E$104,2,FALSE))</f>
        <v>Pool Table</v>
      </c>
      <c r="D96" s="8">
        <f>IF(B96="","",VLOOKUP(B96,'Product Sheet'!$B$4:$E$104,3,FALSE))</f>
        <v>443</v>
      </c>
      <c r="E96" s="8">
        <v>5</v>
      </c>
      <c r="F96" s="14">
        <v>0.48</v>
      </c>
      <c r="G96" s="15">
        <f t="shared" si="2"/>
        <v>230.36</v>
      </c>
      <c r="H96" s="15">
        <f>IF(B96="","",D96*VLOOKUP(B96,'Product Sheet'!$B$4:$E$104,4,FALSE))</f>
        <v>124.04</v>
      </c>
      <c r="I96" s="8">
        <f t="shared" si="3"/>
        <v>1772.0000000000002</v>
      </c>
    </row>
    <row r="97" spans="2:9" x14ac:dyDescent="0.25">
      <c r="B97" s="8" t="s">
        <v>171</v>
      </c>
      <c r="C97" s="8" t="str">
        <f>IF(B97="","",VLOOKUP(B97,'Product Sheet'!$B$4:$E$104,2,FALSE))</f>
        <v>Realme Narzo Phone</v>
      </c>
      <c r="D97" s="8">
        <f>IF(B97="","",VLOOKUP(B97,'Product Sheet'!$B$4:$E$104,3,FALSE))</f>
        <v>217</v>
      </c>
      <c r="E97" s="8">
        <v>10</v>
      </c>
      <c r="F97" s="14">
        <v>0.49</v>
      </c>
      <c r="G97" s="15">
        <f t="shared" si="2"/>
        <v>110.67</v>
      </c>
      <c r="H97" s="15">
        <f>IF(B97="","",D97*VLOOKUP(B97,'Product Sheet'!$B$4:$E$104,4,FALSE))</f>
        <v>23.87</v>
      </c>
      <c r="I97" s="8">
        <f t="shared" si="3"/>
        <v>1345.3999999999999</v>
      </c>
    </row>
    <row r="98" spans="2:9" x14ac:dyDescent="0.25">
      <c r="B98" s="8" t="s">
        <v>172</v>
      </c>
      <c r="C98" s="8" t="str">
        <f>IF(B98="","",VLOOKUP(B98,'Product Sheet'!$B$4:$E$104,2,FALSE))</f>
        <v>Oppo Reno Series Phone</v>
      </c>
      <c r="D98" s="8">
        <f>IF(B98="","",VLOOKUP(B98,'Product Sheet'!$B$4:$E$104,3,FALSE))</f>
        <v>134</v>
      </c>
      <c r="E98" s="8">
        <v>5</v>
      </c>
      <c r="F98" s="14">
        <v>0.27</v>
      </c>
      <c r="G98" s="15">
        <f t="shared" si="2"/>
        <v>97.82</v>
      </c>
      <c r="H98" s="15">
        <f>IF(B98="","",D98*VLOOKUP(B98,'Product Sheet'!$B$4:$E$104,4,FALSE))</f>
        <v>25.46</v>
      </c>
      <c r="I98" s="8">
        <f t="shared" si="3"/>
        <v>616.4</v>
      </c>
    </row>
    <row r="99" spans="2:9" x14ac:dyDescent="0.25">
      <c r="B99" s="8" t="s">
        <v>173</v>
      </c>
      <c r="C99" s="8" t="str">
        <f>IF(B99="","",VLOOKUP(B99,'Product Sheet'!$B$4:$E$104,2,FALSE))</f>
        <v>4K High Res Monitor</v>
      </c>
      <c r="D99" s="8">
        <f>IF(B99="","",VLOOKUP(B99,'Product Sheet'!$B$4:$E$104,3,FALSE))</f>
        <v>350</v>
      </c>
      <c r="E99" s="8">
        <v>6</v>
      </c>
      <c r="F99" s="14">
        <v>0.24</v>
      </c>
      <c r="G99" s="15">
        <f t="shared" si="2"/>
        <v>266</v>
      </c>
      <c r="H99" s="15">
        <f>IF(B99="","",D99*VLOOKUP(B99,'Product Sheet'!$B$4:$E$104,4,FALSE))</f>
        <v>38.5</v>
      </c>
      <c r="I99" s="8">
        <f t="shared" si="3"/>
        <v>1827</v>
      </c>
    </row>
    <row r="100" spans="2:9" x14ac:dyDescent="0.25">
      <c r="B100" s="8" t="s">
        <v>174</v>
      </c>
      <c r="C100" s="8" t="str">
        <f>IF(B100="","",VLOOKUP(B100,'Product Sheet'!$B$4:$E$104,2,FALSE))</f>
        <v>Curved 4K Monitor With OLED Panel</v>
      </c>
      <c r="D100" s="8">
        <f>IF(B100="","",VLOOKUP(B100,'Product Sheet'!$B$4:$E$104,3,FALSE))</f>
        <v>94</v>
      </c>
      <c r="E100" s="8">
        <v>10</v>
      </c>
      <c r="F100" s="14">
        <v>0.12</v>
      </c>
      <c r="G100" s="15">
        <f t="shared" si="2"/>
        <v>82.72</v>
      </c>
      <c r="H100" s="15">
        <f>IF(B100="","",D100*VLOOKUP(B100,'Product Sheet'!$B$4:$E$104,4,FALSE))</f>
        <v>14.1</v>
      </c>
      <c r="I100" s="8">
        <f t="shared" si="3"/>
        <v>968.19999999999993</v>
      </c>
    </row>
    <row r="101" spans="2:9" x14ac:dyDescent="0.25">
      <c r="B101" s="8" t="s">
        <v>175</v>
      </c>
      <c r="C101" s="8" t="str">
        <f>IF(B101="","",VLOOKUP(B101,'Product Sheet'!$B$4:$E$104,2,FALSE))</f>
        <v>Gaming Cabinet</v>
      </c>
      <c r="D101" s="8">
        <f>IF(B101="","",VLOOKUP(B101,'Product Sheet'!$B$4:$E$104,3,FALSE))</f>
        <v>446</v>
      </c>
      <c r="E101" s="8">
        <v>9</v>
      </c>
      <c r="F101" s="14">
        <v>0.2</v>
      </c>
      <c r="G101" s="15">
        <f t="shared" si="2"/>
        <v>356.8</v>
      </c>
      <c r="H101" s="15">
        <f>IF(B101="","",D101*VLOOKUP(B101,'Product Sheet'!$B$4:$E$104,4,FALSE))</f>
        <v>31.220000000000002</v>
      </c>
      <c r="I101" s="8">
        <f t="shared" si="3"/>
        <v>3492.1800000000003</v>
      </c>
    </row>
    <row r="102" spans="2:9" x14ac:dyDescent="0.25">
      <c r="B102" s="8" t="s">
        <v>176</v>
      </c>
      <c r="C102" s="8" t="str">
        <f>IF(B102="","",VLOOKUP(B102,'Product Sheet'!$B$4:$E$104,2,FALSE))</f>
        <v>RGB Wireless Mouse</v>
      </c>
      <c r="D102" s="8">
        <f>IF(B102="","",VLOOKUP(B102,'Product Sheet'!$B$4:$E$104,3,FALSE))</f>
        <v>423</v>
      </c>
      <c r="E102" s="8">
        <v>3</v>
      </c>
      <c r="F102" s="14">
        <v>0.16</v>
      </c>
      <c r="G102" s="15">
        <f t="shared" si="2"/>
        <v>355.32</v>
      </c>
      <c r="H102" s="15">
        <f>IF(B102="","",D102*VLOOKUP(B102,'Product Sheet'!$B$4:$E$104,4,FALSE))</f>
        <v>67.680000000000007</v>
      </c>
      <c r="I102" s="8">
        <f t="shared" si="3"/>
        <v>1269</v>
      </c>
    </row>
    <row r="103" spans="2:9" x14ac:dyDescent="0.25">
      <c r="B103" s="8" t="s">
        <v>177</v>
      </c>
      <c r="C103" s="8" t="str">
        <f>IF(B103="","",VLOOKUP(B103,'Product Sheet'!$B$4:$E$104,2,FALSE))</f>
        <v>RBG Full Size MousePad</v>
      </c>
      <c r="D103" s="8">
        <f>IF(B103="","",VLOOKUP(B103,'Product Sheet'!$B$4:$E$104,3,FALSE))</f>
        <v>242</v>
      </c>
      <c r="E103" s="8">
        <v>1</v>
      </c>
      <c r="F103" s="14">
        <v>0.42</v>
      </c>
      <c r="G103" s="15">
        <f t="shared" si="2"/>
        <v>140.36000000000001</v>
      </c>
      <c r="H103" s="15">
        <f>IF(B103="","",D103*VLOOKUP(B103,'Product Sheet'!$B$4:$E$104,4,FALSE))</f>
        <v>36.299999999999997</v>
      </c>
      <c r="I103" s="8">
        <f t="shared" si="3"/>
        <v>176.66000000000003</v>
      </c>
    </row>
    <row r="104" spans="2:9" x14ac:dyDescent="0.25">
      <c r="B104" s="8" t="s">
        <v>178</v>
      </c>
      <c r="C104" s="8" t="str">
        <f>IF(B104="","",VLOOKUP(B104,'Product Sheet'!$B$4:$E$104,2,FALSE))</f>
        <v>Windows11 Pro Key</v>
      </c>
      <c r="D104" s="8">
        <f>IF(B104="","",VLOOKUP(B104,'Product Sheet'!$B$4:$E$104,3,FALSE))</f>
        <v>339</v>
      </c>
      <c r="E104" s="8">
        <v>8</v>
      </c>
      <c r="F104" s="14">
        <v>0.38</v>
      </c>
      <c r="G104" s="15">
        <f t="shared" si="2"/>
        <v>210.18</v>
      </c>
      <c r="H104" s="15">
        <f>IF(B104="","",D104*VLOOKUP(B104,'Product Sheet'!$B$4:$E$104,4,FALSE))</f>
        <v>94.920000000000016</v>
      </c>
      <c r="I104" s="8">
        <f t="shared" si="3"/>
        <v>2440.8000000000002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0C5850-4242-43FF-931A-E3B224F0599A}">
          <x14:formula1>
            <xm:f>'Product Sheet'!$B$5:$B$104</xm:f>
          </x14:formula1>
          <xm:sqref>B5:B104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241F-03DA-4885-A89E-6AB980105069}">
  <dimension ref="B1:K35"/>
  <sheetViews>
    <sheetView tabSelected="1" zoomScale="130" zoomScaleNormal="130" workbookViewId="0">
      <pane ySplit="4" topLeftCell="A5" activePane="bottomLeft" state="frozen"/>
      <selection pane="bottomLeft"/>
    </sheetView>
  </sheetViews>
  <sheetFormatPr defaultRowHeight="15" x14ac:dyDescent="0.25"/>
  <cols>
    <col min="2" max="2" width="11.140625" bestFit="1" customWidth="1"/>
    <col min="3" max="3" width="5.42578125" bestFit="1" customWidth="1"/>
    <col min="4" max="5" width="8.7109375" bestFit="1" customWidth="1"/>
    <col min="6" max="6" width="13.28515625" bestFit="1" customWidth="1"/>
    <col min="7" max="7" width="9.5703125" bestFit="1" customWidth="1"/>
    <col min="9" max="9" width="12" bestFit="1" customWidth="1"/>
  </cols>
  <sheetData>
    <row r="1" spans="2:11" x14ac:dyDescent="0.25">
      <c r="B1" s="44" t="s">
        <v>298</v>
      </c>
      <c r="C1" s="44"/>
      <c r="D1" s="44"/>
      <c r="E1" s="44"/>
      <c r="F1" s="44"/>
      <c r="G1" s="44"/>
    </row>
    <row r="2" spans="2:11" x14ac:dyDescent="0.25">
      <c r="B2" s="44"/>
      <c r="C2" s="44"/>
      <c r="D2" s="44"/>
      <c r="E2" s="44"/>
      <c r="F2" s="44"/>
      <c r="G2" s="44"/>
    </row>
    <row r="3" spans="2:11" x14ac:dyDescent="0.25">
      <c r="B3" s="24" t="s">
        <v>1</v>
      </c>
      <c r="C3" s="3" t="s">
        <v>14</v>
      </c>
      <c r="D3" s="24" t="s">
        <v>289</v>
      </c>
      <c r="E3" s="3" t="s">
        <v>297</v>
      </c>
      <c r="F3" s="24" t="s">
        <v>290</v>
      </c>
      <c r="G3" s="3">
        <v>35000</v>
      </c>
      <c r="H3" s="22"/>
      <c r="I3" s="23"/>
      <c r="J3" s="23"/>
      <c r="K3" s="23"/>
    </row>
    <row r="4" spans="2:11" x14ac:dyDescent="0.25">
      <c r="B4" s="24" t="s">
        <v>291</v>
      </c>
      <c r="C4" s="24" t="s">
        <v>292</v>
      </c>
      <c r="D4" s="24" t="s">
        <v>293</v>
      </c>
      <c r="E4" s="24" t="s">
        <v>294</v>
      </c>
      <c r="F4" s="24" t="s">
        <v>295</v>
      </c>
      <c r="G4" s="24" t="s">
        <v>296</v>
      </c>
    </row>
    <row r="5" spans="2:11" x14ac:dyDescent="0.25">
      <c r="B5" s="10">
        <v>46023</v>
      </c>
      <c r="C5" s="3" t="str">
        <f>TEXT(B5,"ddd")</f>
        <v>Thu</v>
      </c>
      <c r="D5" s="11">
        <v>0.375</v>
      </c>
      <c r="E5" s="12">
        <v>0.75</v>
      </c>
      <c r="F5" s="11">
        <f>E5-D5</f>
        <v>0.375</v>
      </c>
      <c r="G5" s="13" t="str">
        <f>IF(F5="","",IF(F5&lt;TIME(9,0,0),"LM",IF(F5="L","L","NO LM")))</f>
        <v>NO LM</v>
      </c>
    </row>
    <row r="6" spans="2:11" x14ac:dyDescent="0.25">
      <c r="B6" s="10">
        <v>46024</v>
      </c>
      <c r="C6" s="3" t="str">
        <f t="shared" ref="C6:C35" si="0">TEXT(B6,"ddd")</f>
        <v>Fri</v>
      </c>
      <c r="D6" s="11">
        <v>0.45833333333333331</v>
      </c>
      <c r="E6" s="12">
        <v>0.75</v>
      </c>
      <c r="F6" s="11">
        <f t="shared" ref="F6:F35" si="1">E6-D6</f>
        <v>0.29166666666666669</v>
      </c>
      <c r="G6" s="13" t="str">
        <f t="shared" ref="G6:G35" si="2">IF(F6="","",IF(F6&lt;TIME(9,0,0),"LM",IF(F6="L","L","NO LM")))</f>
        <v>LM</v>
      </c>
    </row>
    <row r="7" spans="2:11" x14ac:dyDescent="0.25">
      <c r="B7" s="10">
        <v>46025</v>
      </c>
      <c r="C7" s="3" t="str">
        <f t="shared" si="0"/>
        <v>Sat</v>
      </c>
      <c r="D7" s="11">
        <v>0.375</v>
      </c>
      <c r="E7" s="12">
        <v>0.75</v>
      </c>
      <c r="F7" s="11">
        <f t="shared" si="1"/>
        <v>0.375</v>
      </c>
      <c r="G7" s="13" t="str">
        <f t="shared" si="2"/>
        <v>NO LM</v>
      </c>
      <c r="I7" s="9"/>
    </row>
    <row r="8" spans="2:11" x14ac:dyDescent="0.25">
      <c r="B8" s="10">
        <v>46026</v>
      </c>
      <c r="C8" s="3" t="str">
        <f t="shared" si="0"/>
        <v>Sun</v>
      </c>
      <c r="D8" s="11" t="s">
        <v>299</v>
      </c>
      <c r="E8" s="12" t="s">
        <v>299</v>
      </c>
      <c r="F8" s="11" t="s">
        <v>299</v>
      </c>
      <c r="G8" s="13" t="str">
        <f t="shared" si="2"/>
        <v>L</v>
      </c>
    </row>
    <row r="9" spans="2:11" x14ac:dyDescent="0.25">
      <c r="B9" s="10">
        <v>46027</v>
      </c>
      <c r="C9" s="3" t="str">
        <f t="shared" si="0"/>
        <v>Mon</v>
      </c>
      <c r="D9" s="11">
        <v>0.375</v>
      </c>
      <c r="E9" s="12">
        <v>0.75</v>
      </c>
      <c r="F9" s="11">
        <f t="shared" si="1"/>
        <v>0.375</v>
      </c>
      <c r="G9" s="13" t="str">
        <f t="shared" si="2"/>
        <v>NO LM</v>
      </c>
    </row>
    <row r="10" spans="2:11" x14ac:dyDescent="0.25">
      <c r="B10" s="10">
        <v>46028</v>
      </c>
      <c r="C10" s="3" t="str">
        <f t="shared" si="0"/>
        <v>Tue</v>
      </c>
      <c r="D10" s="11">
        <v>0.39583333333333331</v>
      </c>
      <c r="E10" s="12">
        <v>0.75</v>
      </c>
      <c r="F10" s="11">
        <f t="shared" si="1"/>
        <v>0.35416666666666669</v>
      </c>
      <c r="G10" s="13" t="str">
        <f t="shared" si="2"/>
        <v>LM</v>
      </c>
    </row>
    <row r="11" spans="2:11" x14ac:dyDescent="0.25">
      <c r="B11" s="10">
        <v>46029</v>
      </c>
      <c r="C11" s="3" t="str">
        <f t="shared" si="0"/>
        <v>Wed</v>
      </c>
      <c r="D11" s="11">
        <v>0.375</v>
      </c>
      <c r="E11" s="12">
        <v>0.75</v>
      </c>
      <c r="F11" s="11">
        <f t="shared" si="1"/>
        <v>0.375</v>
      </c>
      <c r="G11" s="13" t="str">
        <f t="shared" si="2"/>
        <v>NO LM</v>
      </c>
    </row>
    <row r="12" spans="2:11" x14ac:dyDescent="0.25">
      <c r="B12" s="10">
        <v>46030</v>
      </c>
      <c r="C12" s="3" t="str">
        <f t="shared" si="0"/>
        <v>Thu</v>
      </c>
      <c r="D12" s="11">
        <v>0.375</v>
      </c>
      <c r="E12" s="12">
        <v>0.75</v>
      </c>
      <c r="F12" s="11">
        <f t="shared" si="1"/>
        <v>0.375</v>
      </c>
      <c r="G12" s="13" t="str">
        <f t="shared" si="2"/>
        <v>NO LM</v>
      </c>
    </row>
    <row r="13" spans="2:11" x14ac:dyDescent="0.25">
      <c r="B13" s="10">
        <v>46031</v>
      </c>
      <c r="C13" s="3" t="str">
        <f t="shared" si="0"/>
        <v>Fri</v>
      </c>
      <c r="D13" s="11">
        <v>0.375</v>
      </c>
      <c r="E13" s="12">
        <v>0.75</v>
      </c>
      <c r="F13" s="11">
        <f t="shared" si="1"/>
        <v>0.375</v>
      </c>
      <c r="G13" s="13" t="str">
        <f t="shared" si="2"/>
        <v>NO LM</v>
      </c>
    </row>
    <row r="14" spans="2:11" x14ac:dyDescent="0.25">
      <c r="B14" s="10">
        <v>46032</v>
      </c>
      <c r="C14" s="3" t="str">
        <f t="shared" si="0"/>
        <v>Sat</v>
      </c>
      <c r="D14" s="11">
        <v>0.3923611111111111</v>
      </c>
      <c r="E14" s="12">
        <v>0.75</v>
      </c>
      <c r="F14" s="11">
        <f t="shared" si="1"/>
        <v>0.3576388888888889</v>
      </c>
      <c r="G14" s="13" t="str">
        <f t="shared" si="2"/>
        <v>LM</v>
      </c>
    </row>
    <row r="15" spans="2:11" x14ac:dyDescent="0.25">
      <c r="B15" s="10">
        <v>46033</v>
      </c>
      <c r="C15" s="3" t="str">
        <f t="shared" si="0"/>
        <v>Sun</v>
      </c>
      <c r="D15" s="11" t="s">
        <v>299</v>
      </c>
      <c r="E15" s="12" t="s">
        <v>299</v>
      </c>
      <c r="F15" s="11" t="s">
        <v>299</v>
      </c>
      <c r="G15" s="13" t="str">
        <f t="shared" si="2"/>
        <v>L</v>
      </c>
    </row>
    <row r="16" spans="2:11" x14ac:dyDescent="0.25">
      <c r="B16" s="10">
        <v>46034</v>
      </c>
      <c r="C16" s="3" t="str">
        <f t="shared" si="0"/>
        <v>Mon</v>
      </c>
      <c r="D16" s="11">
        <v>0.375</v>
      </c>
      <c r="E16" s="12">
        <v>0.75</v>
      </c>
      <c r="F16" s="11">
        <f t="shared" si="1"/>
        <v>0.375</v>
      </c>
      <c r="G16" s="13" t="str">
        <f t="shared" si="2"/>
        <v>NO LM</v>
      </c>
    </row>
    <row r="17" spans="2:7" x14ac:dyDescent="0.25">
      <c r="B17" s="10">
        <v>46035</v>
      </c>
      <c r="C17" s="3" t="str">
        <f t="shared" si="0"/>
        <v>Tue</v>
      </c>
      <c r="D17" s="11">
        <v>0.4375</v>
      </c>
      <c r="E17" s="12">
        <v>0.75</v>
      </c>
      <c r="F17" s="11">
        <f t="shared" si="1"/>
        <v>0.3125</v>
      </c>
      <c r="G17" s="13" t="str">
        <f t="shared" si="2"/>
        <v>LM</v>
      </c>
    </row>
    <row r="18" spans="2:7" x14ac:dyDescent="0.25">
      <c r="B18" s="10">
        <v>46036</v>
      </c>
      <c r="C18" s="3" t="str">
        <f t="shared" si="0"/>
        <v>Wed</v>
      </c>
      <c r="D18" s="11">
        <v>0.375</v>
      </c>
      <c r="E18" s="12">
        <v>0.75</v>
      </c>
      <c r="F18" s="11">
        <f t="shared" si="1"/>
        <v>0.375</v>
      </c>
      <c r="G18" s="13" t="str">
        <f t="shared" si="2"/>
        <v>NO LM</v>
      </c>
    </row>
    <row r="19" spans="2:7" x14ac:dyDescent="0.25">
      <c r="B19" s="10">
        <v>46037</v>
      </c>
      <c r="C19" s="3" t="str">
        <f t="shared" si="0"/>
        <v>Thu</v>
      </c>
      <c r="D19" s="11">
        <v>0.375</v>
      </c>
      <c r="E19" s="12">
        <v>0.75</v>
      </c>
      <c r="F19" s="11">
        <f t="shared" si="1"/>
        <v>0.375</v>
      </c>
      <c r="G19" s="13" t="str">
        <f t="shared" si="2"/>
        <v>NO LM</v>
      </c>
    </row>
    <row r="20" spans="2:7" x14ac:dyDescent="0.25">
      <c r="B20" s="10">
        <v>46038</v>
      </c>
      <c r="C20" s="3" t="str">
        <f t="shared" si="0"/>
        <v>Fri</v>
      </c>
      <c r="D20" s="11">
        <v>0.40625</v>
      </c>
      <c r="E20" s="12">
        <v>0.75</v>
      </c>
      <c r="F20" s="11">
        <f t="shared" si="1"/>
        <v>0.34375</v>
      </c>
      <c r="G20" s="13" t="str">
        <f t="shared" si="2"/>
        <v>LM</v>
      </c>
    </row>
    <row r="21" spans="2:7" x14ac:dyDescent="0.25">
      <c r="B21" s="10">
        <v>46039</v>
      </c>
      <c r="C21" s="3" t="str">
        <f t="shared" si="0"/>
        <v>Sat</v>
      </c>
      <c r="D21" s="11">
        <v>0.375</v>
      </c>
      <c r="E21" s="12">
        <v>0.75</v>
      </c>
      <c r="F21" s="11">
        <f t="shared" si="1"/>
        <v>0.375</v>
      </c>
      <c r="G21" s="13" t="str">
        <f t="shared" si="2"/>
        <v>NO LM</v>
      </c>
    </row>
    <row r="22" spans="2:7" x14ac:dyDescent="0.25">
      <c r="B22" s="10">
        <v>46040</v>
      </c>
      <c r="C22" s="3" t="str">
        <f t="shared" si="0"/>
        <v>Sun</v>
      </c>
      <c r="D22" s="11" t="s">
        <v>299</v>
      </c>
      <c r="E22" s="12" t="s">
        <v>299</v>
      </c>
      <c r="F22" s="11" t="s">
        <v>299</v>
      </c>
      <c r="G22" s="13" t="str">
        <f t="shared" si="2"/>
        <v>L</v>
      </c>
    </row>
    <row r="23" spans="2:7" x14ac:dyDescent="0.25">
      <c r="B23" s="10">
        <v>46041</v>
      </c>
      <c r="C23" s="3" t="str">
        <f t="shared" si="0"/>
        <v>Mon</v>
      </c>
      <c r="D23" s="11">
        <v>0.375</v>
      </c>
      <c r="E23" s="12">
        <v>0.75</v>
      </c>
      <c r="F23" s="11">
        <f t="shared" si="1"/>
        <v>0.375</v>
      </c>
      <c r="G23" s="13" t="str">
        <f t="shared" si="2"/>
        <v>NO LM</v>
      </c>
    </row>
    <row r="24" spans="2:7" x14ac:dyDescent="0.25">
      <c r="B24" s="10">
        <v>46042</v>
      </c>
      <c r="C24" s="3" t="str">
        <f t="shared" si="0"/>
        <v>Tue</v>
      </c>
      <c r="D24" s="11">
        <v>0.375</v>
      </c>
      <c r="E24" s="12">
        <v>0.75</v>
      </c>
      <c r="F24" s="11">
        <f t="shared" si="1"/>
        <v>0.375</v>
      </c>
      <c r="G24" s="13" t="str">
        <f t="shared" si="2"/>
        <v>NO LM</v>
      </c>
    </row>
    <row r="25" spans="2:7" x14ac:dyDescent="0.25">
      <c r="B25" s="10">
        <v>46043</v>
      </c>
      <c r="C25" s="3" t="str">
        <f t="shared" si="0"/>
        <v>Wed</v>
      </c>
      <c r="D25" s="11">
        <v>0.43055555555555558</v>
      </c>
      <c r="E25" s="12">
        <v>0.75</v>
      </c>
      <c r="F25" s="11">
        <f t="shared" si="1"/>
        <v>0.31944444444444442</v>
      </c>
      <c r="G25" s="13" t="str">
        <f t="shared" si="2"/>
        <v>LM</v>
      </c>
    </row>
    <row r="26" spans="2:7" x14ac:dyDescent="0.25">
      <c r="B26" s="10">
        <v>46044</v>
      </c>
      <c r="C26" s="3" t="str">
        <f t="shared" si="0"/>
        <v>Thu</v>
      </c>
      <c r="D26" s="11">
        <v>0.375</v>
      </c>
      <c r="E26" s="12">
        <v>0.75</v>
      </c>
      <c r="F26" s="11">
        <f t="shared" si="1"/>
        <v>0.375</v>
      </c>
      <c r="G26" s="13" t="str">
        <f t="shared" si="2"/>
        <v>NO LM</v>
      </c>
    </row>
    <row r="27" spans="2:7" x14ac:dyDescent="0.25">
      <c r="B27" s="10">
        <v>46045</v>
      </c>
      <c r="C27" s="3" t="str">
        <f t="shared" si="0"/>
        <v>Fri</v>
      </c>
      <c r="D27" s="11">
        <v>0.375</v>
      </c>
      <c r="E27" s="12">
        <v>0.75</v>
      </c>
      <c r="F27" s="11">
        <f t="shared" si="1"/>
        <v>0.375</v>
      </c>
      <c r="G27" s="13" t="str">
        <f t="shared" si="2"/>
        <v>NO LM</v>
      </c>
    </row>
    <row r="28" spans="2:7" x14ac:dyDescent="0.25">
      <c r="B28" s="10">
        <v>46046</v>
      </c>
      <c r="C28" s="3" t="str">
        <f t="shared" si="0"/>
        <v>Sat</v>
      </c>
      <c r="D28" s="11">
        <v>0.41666666666666669</v>
      </c>
      <c r="E28" s="12">
        <v>0.75</v>
      </c>
      <c r="F28" s="11">
        <f t="shared" si="1"/>
        <v>0.33333333333333331</v>
      </c>
      <c r="G28" s="13" t="str">
        <f t="shared" si="2"/>
        <v>LM</v>
      </c>
    </row>
    <row r="29" spans="2:7" x14ac:dyDescent="0.25">
      <c r="B29" s="10">
        <v>46047</v>
      </c>
      <c r="C29" s="3" t="str">
        <f t="shared" si="0"/>
        <v>Sun</v>
      </c>
      <c r="D29" s="11" t="s">
        <v>299</v>
      </c>
      <c r="E29" s="12" t="s">
        <v>299</v>
      </c>
      <c r="F29" s="11" t="s">
        <v>299</v>
      </c>
      <c r="G29" s="13" t="str">
        <f t="shared" si="2"/>
        <v>L</v>
      </c>
    </row>
    <row r="30" spans="2:7" x14ac:dyDescent="0.25">
      <c r="B30" s="10">
        <v>46048</v>
      </c>
      <c r="C30" s="3" t="str">
        <f t="shared" si="0"/>
        <v>Mon</v>
      </c>
      <c r="D30" s="11">
        <v>0.375</v>
      </c>
      <c r="E30" s="12">
        <v>0.75</v>
      </c>
      <c r="F30" s="11">
        <f t="shared" si="1"/>
        <v>0.375</v>
      </c>
      <c r="G30" s="13" t="str">
        <f t="shared" si="2"/>
        <v>NO LM</v>
      </c>
    </row>
    <row r="31" spans="2:7" x14ac:dyDescent="0.25">
      <c r="B31" s="10">
        <v>46049</v>
      </c>
      <c r="C31" s="3" t="str">
        <f t="shared" si="0"/>
        <v>Tue</v>
      </c>
      <c r="D31" s="11">
        <v>0.375</v>
      </c>
      <c r="E31" s="12">
        <v>0.75</v>
      </c>
      <c r="F31" s="11">
        <f t="shared" si="1"/>
        <v>0.375</v>
      </c>
      <c r="G31" s="13" t="str">
        <f t="shared" si="2"/>
        <v>NO LM</v>
      </c>
    </row>
    <row r="32" spans="2:7" x14ac:dyDescent="0.25">
      <c r="B32" s="10">
        <v>46050</v>
      </c>
      <c r="C32" s="3" t="str">
        <f t="shared" si="0"/>
        <v>Wed</v>
      </c>
      <c r="D32" s="11">
        <v>0.41666666666666669</v>
      </c>
      <c r="E32" s="12">
        <v>0.75</v>
      </c>
      <c r="F32" s="11">
        <f t="shared" si="1"/>
        <v>0.33333333333333331</v>
      </c>
      <c r="G32" s="13" t="str">
        <f t="shared" si="2"/>
        <v>LM</v>
      </c>
    </row>
    <row r="33" spans="2:7" x14ac:dyDescent="0.25">
      <c r="B33" s="10">
        <v>46051</v>
      </c>
      <c r="C33" s="3" t="str">
        <f t="shared" si="0"/>
        <v>Thu</v>
      </c>
      <c r="D33" s="11">
        <v>0.375</v>
      </c>
      <c r="E33" s="12">
        <v>0.75</v>
      </c>
      <c r="F33" s="11">
        <f t="shared" si="1"/>
        <v>0.375</v>
      </c>
      <c r="G33" s="13" t="str">
        <f t="shared" si="2"/>
        <v>NO LM</v>
      </c>
    </row>
    <row r="34" spans="2:7" x14ac:dyDescent="0.25">
      <c r="B34" s="10">
        <v>46052</v>
      </c>
      <c r="C34" s="3" t="str">
        <f t="shared" si="0"/>
        <v>Fri</v>
      </c>
      <c r="D34" s="11">
        <v>0.375</v>
      </c>
      <c r="E34" s="12">
        <v>0.75</v>
      </c>
      <c r="F34" s="11">
        <f t="shared" si="1"/>
        <v>0.375</v>
      </c>
      <c r="G34" s="13" t="str">
        <f t="shared" si="2"/>
        <v>NO LM</v>
      </c>
    </row>
    <row r="35" spans="2:7" x14ac:dyDescent="0.25">
      <c r="B35" s="10">
        <v>46053</v>
      </c>
      <c r="C35" s="3" t="str">
        <f t="shared" si="0"/>
        <v>Sat</v>
      </c>
      <c r="D35" s="11">
        <v>0.37569444444444444</v>
      </c>
      <c r="E35" s="12">
        <v>0.75</v>
      </c>
      <c r="F35" s="11">
        <f t="shared" si="1"/>
        <v>0.37430555555555556</v>
      </c>
      <c r="G35" s="13" t="str">
        <f t="shared" si="2"/>
        <v>LM</v>
      </c>
    </row>
  </sheetData>
  <mergeCells count="1">
    <mergeCell ref="B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Teacher's Sheet</vt:lpstr>
      <vt:lpstr>Result Sheet</vt:lpstr>
      <vt:lpstr>Salary data</vt:lpstr>
      <vt:lpstr>Salary sheet</vt:lpstr>
      <vt:lpstr>Product Sheet</vt:lpstr>
      <vt:lpstr>Billing + GST</vt:lpstr>
      <vt:lpstr>Product Discount</vt:lpstr>
      <vt:lpstr>Product Discount GST</vt:lpstr>
      <vt:lpstr>Employee In_out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Batch5</dc:creator>
  <cp:lastModifiedBy>Batch5</cp:lastModifiedBy>
  <dcterms:created xsi:type="dcterms:W3CDTF">2026-04-18T09:43:30Z</dcterms:created>
  <dcterms:modified xsi:type="dcterms:W3CDTF">2026-05-08T11:18:00Z</dcterms:modified>
</cp:coreProperties>
</file>