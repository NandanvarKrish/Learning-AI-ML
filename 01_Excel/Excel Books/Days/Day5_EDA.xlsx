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charts/chartEx6.xml" ContentType="application/vnd.ms-office.chartex+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Krish\01_Excel\Excel Books\"/>
    </mc:Choice>
  </mc:AlternateContent>
  <xr:revisionPtr revIDLastSave="0" documentId="13_ncr:1_{DB164441-F117-43CC-AA1A-44A03F32A8A3}" xr6:coauthVersionLast="47" xr6:coauthVersionMax="47" xr10:uidLastSave="{00000000-0000-0000-0000-000000000000}"/>
  <bookViews>
    <workbookView xWindow="-120" yWindow="-120" windowWidth="24240" windowHeight="13140" activeTab="1" xr2:uid="{05ACED24-20D3-461E-B602-6B6BFAAD6AB9}"/>
  </bookViews>
  <sheets>
    <sheet name="Main" sheetId="1" r:id="rId1"/>
    <sheet name="EDA_Dashboard" sheetId="2" r:id="rId2"/>
  </sheets>
  <definedNames>
    <definedName name="_xlchart.v1.0" hidden="1">Main!$B$2:$B$81</definedName>
    <definedName name="_xlchart.v1.1" hidden="1">Main!$C$2:$C$81</definedName>
    <definedName name="_xlchart.v1.2" hidden="1">Main!$D$2:$D$81</definedName>
    <definedName name="_xlchart.v1.3" hidden="1">Main!$B$2:$B$81</definedName>
    <definedName name="_xlchart.v1.4" hidden="1">Main!$K$2:$K$29</definedName>
    <definedName name="_xlchart.v1.5" hidden="1">Main!$L$2:$L$29</definedName>
    <definedName name="_xlchart.v1.6" hidden="1">Main!$M$2:$M$29</definedName>
    <definedName name="_xlchart.v1.7" hidden="1">Main!$B$2:$B$81</definedName>
    <definedName name="_xlchart.v1.8" hidden="1">Main!$B$2:$B$81</definedName>
    <definedName name="_xlchart.v1.9" hidden="1">Main!$B$2:$B$81</definedName>
    <definedName name="Slicer_Departm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B5" i="2"/>
  <c r="B4" i="2"/>
  <c r="L40" i="1"/>
  <c r="L41" i="1"/>
  <c r="L42" i="1"/>
  <c r="Q42" i="1"/>
  <c r="Q41" i="1"/>
  <c r="Q40" i="1"/>
  <c r="Q39" i="1"/>
  <c r="Q38" i="1"/>
  <c r="R42" i="1"/>
  <c r="R40" i="1"/>
  <c r="R41" i="1"/>
  <c r="R39" i="1"/>
  <c r="R38" i="1"/>
  <c r="Q43" i="1" l="1"/>
  <c r="Q44" i="1" s="1"/>
  <c r="R43" i="1"/>
  <c r="R44" i="1" s="1"/>
  <c r="Q45" i="1" l="1"/>
  <c r="H3" i="1"/>
  <c r="H62" i="1"/>
  <c r="H81" i="1"/>
  <c r="H17" i="1"/>
  <c r="H48" i="1"/>
  <c r="H63" i="1"/>
  <c r="H78" i="1"/>
  <c r="H38" i="1"/>
  <c r="H77" i="1"/>
  <c r="H33" i="1"/>
  <c r="H72" i="1"/>
  <c r="H44" i="1"/>
  <c r="H59" i="1"/>
  <c r="H27" i="1"/>
  <c r="H74" i="1"/>
  <c r="H54" i="1"/>
  <c r="H30" i="1"/>
  <c r="H10" i="1"/>
  <c r="H73" i="1"/>
  <c r="H49" i="1"/>
  <c r="H29" i="1"/>
  <c r="H9" i="1"/>
  <c r="H64" i="1"/>
  <c r="H32" i="1"/>
  <c r="H79" i="1"/>
  <c r="H47" i="1"/>
  <c r="H15" i="1"/>
  <c r="H42" i="1"/>
  <c r="H22" i="1"/>
  <c r="H61" i="1"/>
  <c r="H41" i="1"/>
  <c r="H76" i="1"/>
  <c r="H16" i="1"/>
  <c r="H31" i="1"/>
  <c r="H58" i="1"/>
  <c r="H14" i="1"/>
  <c r="H57" i="1"/>
  <c r="H13" i="1"/>
  <c r="H12" i="1"/>
  <c r="H70" i="1"/>
  <c r="H46" i="1"/>
  <c r="H26" i="1"/>
  <c r="H6" i="1"/>
  <c r="H65" i="1"/>
  <c r="H45" i="1"/>
  <c r="H25" i="1"/>
  <c r="H80" i="1"/>
  <c r="H60" i="1"/>
  <c r="H28" i="1"/>
  <c r="H75" i="1"/>
  <c r="H43" i="1"/>
  <c r="H11" i="1"/>
  <c r="H56" i="1"/>
  <c r="H40" i="1"/>
  <c r="H24" i="1"/>
  <c r="H8" i="1"/>
  <c r="H71" i="1"/>
  <c r="H55" i="1"/>
  <c r="H39" i="1"/>
  <c r="H23" i="1"/>
  <c r="H7" i="1"/>
  <c r="H66" i="1"/>
  <c r="H50" i="1"/>
  <c r="H34" i="1"/>
  <c r="H18" i="1"/>
  <c r="H2" i="1"/>
  <c r="H69" i="1"/>
  <c r="H53" i="1"/>
  <c r="H37" i="1"/>
  <c r="H21" i="1"/>
  <c r="H5" i="1"/>
  <c r="H68" i="1"/>
  <c r="H52" i="1"/>
  <c r="H36" i="1"/>
  <c r="H20" i="1"/>
  <c r="H4" i="1"/>
  <c r="H67" i="1"/>
  <c r="H51" i="1"/>
  <c r="H35" i="1"/>
  <c r="H19" i="1"/>
  <c r="R45" i="1"/>
  <c r="G5" i="1" s="1"/>
  <c r="G12" i="1" l="1"/>
  <c r="I12" i="1" s="1"/>
  <c r="G4" i="1"/>
  <c r="I4" i="1" s="1"/>
  <c r="G23" i="1"/>
  <c r="I23" i="1" s="1"/>
  <c r="I5" i="1"/>
  <c r="G15" i="1"/>
  <c r="I15" i="1" s="1"/>
  <c r="G54" i="1"/>
  <c r="I54" i="1" s="1"/>
  <c r="G45" i="1"/>
  <c r="I45" i="1" s="1"/>
  <c r="G60" i="1"/>
  <c r="I60" i="1" s="1"/>
  <c r="G10" i="1"/>
  <c r="I10" i="1" s="1"/>
  <c r="G2" i="1"/>
  <c r="G11" i="1"/>
  <c r="I11" i="1" s="1"/>
  <c r="G6" i="1"/>
  <c r="I6" i="1" s="1"/>
  <c r="G81" i="1"/>
  <c r="I81" i="1" s="1"/>
  <c r="G32" i="1"/>
  <c r="I32" i="1" s="1"/>
  <c r="G30" i="1"/>
  <c r="I30" i="1" s="1"/>
  <c r="G47" i="1"/>
  <c r="I47" i="1" s="1"/>
  <c r="G65" i="1"/>
  <c r="I65" i="1" s="1"/>
  <c r="G25" i="1"/>
  <c r="I25" i="1" s="1"/>
  <c r="G40" i="1"/>
  <c r="I40" i="1" s="1"/>
  <c r="G67" i="1"/>
  <c r="I67" i="1" s="1"/>
  <c r="G46" i="1"/>
  <c r="I46" i="1" s="1"/>
  <c r="G75" i="1"/>
  <c r="I75" i="1" s="1"/>
  <c r="G41" i="1"/>
  <c r="I41" i="1" s="1"/>
  <c r="G80" i="1"/>
  <c r="I80" i="1" s="1"/>
  <c r="G59" i="1"/>
  <c r="I59" i="1" s="1"/>
  <c r="G74" i="1"/>
  <c r="I74" i="1" s="1"/>
  <c r="G64" i="1"/>
  <c r="I64" i="1" s="1"/>
  <c r="G68" i="1"/>
  <c r="I68" i="1" s="1"/>
  <c r="G16" i="1"/>
  <c r="I16" i="1" s="1"/>
  <c r="G35" i="1"/>
  <c r="I35" i="1" s="1"/>
  <c r="G70" i="1"/>
  <c r="I70" i="1" s="1"/>
  <c r="G26" i="1"/>
  <c r="I26" i="1" s="1"/>
  <c r="G44" i="1"/>
  <c r="I44" i="1" s="1"/>
  <c r="G39" i="1"/>
  <c r="I39" i="1" s="1"/>
  <c r="G61" i="1"/>
  <c r="I61" i="1" s="1"/>
  <c r="G17" i="1"/>
  <c r="I17" i="1" s="1"/>
  <c r="G62" i="1"/>
  <c r="I62" i="1" s="1"/>
  <c r="G42" i="1"/>
  <c r="I42" i="1" s="1"/>
  <c r="G22" i="1"/>
  <c r="I22" i="1" s="1"/>
  <c r="G76" i="1"/>
  <c r="I76" i="1" s="1"/>
  <c r="G36" i="1"/>
  <c r="I36" i="1" s="1"/>
  <c r="G71" i="1"/>
  <c r="I71" i="1" s="1"/>
  <c r="G27" i="1"/>
  <c r="I27" i="1" s="1"/>
  <c r="G77" i="1"/>
  <c r="I77" i="1" s="1"/>
  <c r="G57" i="1"/>
  <c r="I57" i="1" s="1"/>
  <c r="G33" i="1"/>
  <c r="I33" i="1" s="1"/>
  <c r="G13" i="1"/>
  <c r="I13" i="1" s="1"/>
  <c r="G48" i="1"/>
  <c r="I48" i="1" s="1"/>
  <c r="G8" i="1"/>
  <c r="I8" i="1" s="1"/>
  <c r="G55" i="1"/>
  <c r="I55" i="1" s="1"/>
  <c r="G78" i="1"/>
  <c r="I78" i="1" s="1"/>
  <c r="G58" i="1"/>
  <c r="I58" i="1" s="1"/>
  <c r="G38" i="1"/>
  <c r="I38" i="1" s="1"/>
  <c r="G14" i="1"/>
  <c r="I14" i="1" s="1"/>
  <c r="G72" i="1"/>
  <c r="I72" i="1" s="1"/>
  <c r="G28" i="1"/>
  <c r="I28" i="1" s="1"/>
  <c r="G51" i="1"/>
  <c r="I51" i="1" s="1"/>
  <c r="G19" i="1"/>
  <c r="I19" i="1" s="1"/>
  <c r="G73" i="1"/>
  <c r="I73" i="1" s="1"/>
  <c r="G49" i="1"/>
  <c r="I49" i="1" s="1"/>
  <c r="G29" i="1"/>
  <c r="I29" i="1" s="1"/>
  <c r="G9" i="1"/>
  <c r="I9" i="1" s="1"/>
  <c r="G52" i="1"/>
  <c r="I52" i="1" s="1"/>
  <c r="G24" i="1"/>
  <c r="I24" i="1" s="1"/>
  <c r="G79" i="1"/>
  <c r="I79" i="1" s="1"/>
  <c r="G43" i="1"/>
  <c r="I43" i="1" s="1"/>
  <c r="G7" i="1"/>
  <c r="I7" i="1" s="1"/>
  <c r="G66" i="1"/>
  <c r="I66" i="1" s="1"/>
  <c r="G50" i="1"/>
  <c r="I50" i="1" s="1"/>
  <c r="G34" i="1"/>
  <c r="I34" i="1" s="1"/>
  <c r="G18" i="1"/>
  <c r="I18" i="1" s="1"/>
  <c r="G56" i="1"/>
  <c r="I56" i="1" s="1"/>
  <c r="G20" i="1"/>
  <c r="I20" i="1" s="1"/>
  <c r="G63" i="1"/>
  <c r="I63" i="1" s="1"/>
  <c r="G31" i="1"/>
  <c r="I31" i="1" s="1"/>
  <c r="G3" i="1"/>
  <c r="I3" i="1" s="1"/>
  <c r="G69" i="1"/>
  <c r="I69" i="1" s="1"/>
  <c r="G53" i="1"/>
  <c r="I53" i="1" s="1"/>
  <c r="G37" i="1"/>
  <c r="I37" i="1" s="1"/>
  <c r="G21" i="1"/>
  <c r="I21" i="1" s="1"/>
  <c r="M2" i="1" a="1"/>
  <c r="M2" i="1" s="1"/>
  <c r="L2" i="1" a="1"/>
  <c r="L2" i="1" s="1"/>
  <c r="K2" i="1" a="1"/>
  <c r="K2" i="1" s="1"/>
  <c r="O36" i="1"/>
  <c r="N36" i="1"/>
  <c r="M36" i="1"/>
  <c r="L36" i="1"/>
  <c r="O35" i="1"/>
  <c r="N35" i="1"/>
  <c r="M35" i="1"/>
  <c r="L35" i="1"/>
  <c r="O34" i="1"/>
  <c r="N34" i="1"/>
  <c r="M34" i="1"/>
  <c r="L34" i="1"/>
  <c r="O33" i="1"/>
  <c r="N33" i="1"/>
  <c r="M33" i="1"/>
  <c r="L33" i="1"/>
  <c r="B83" i="1"/>
  <c r="B84" i="1"/>
  <c r="B85" i="1"/>
  <c r="I2" i="1" l="1"/>
  <c r="B7"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<sst xmlns="http://schemas.openxmlformats.org/spreadsheetml/2006/main" count="119" uniqueCount="30">
  <si>
    <t>Department</t>
  </si>
  <si>
    <t>StudentID</t>
  </si>
  <si>
    <t>StudyHours</t>
  </si>
  <si>
    <t>Attendance</t>
  </si>
  <si>
    <t>Income</t>
  </si>
  <si>
    <t>Scientist</t>
  </si>
  <si>
    <t>Finance</t>
  </si>
  <si>
    <t>Engineer</t>
  </si>
  <si>
    <t>Score</t>
  </si>
  <si>
    <t>Attendence</t>
  </si>
  <si>
    <t>CORREL</t>
  </si>
  <si>
    <t>Score_Eng</t>
  </si>
  <si>
    <t>Score_Fin</t>
  </si>
  <si>
    <t>Score_Sci</t>
  </si>
  <si>
    <t>Outlier_Score</t>
  </si>
  <si>
    <t>Multi_Outlier</t>
  </si>
  <si>
    <t>Outlier_Income</t>
  </si>
  <si>
    <t>Score outlier</t>
  </si>
  <si>
    <t>Income Outlier</t>
  </si>
  <si>
    <t>Student Performance — EDA Dashboard</t>
  </si>
  <si>
    <t>Feature Name</t>
  </si>
  <si>
    <t>R2 value with Score</t>
  </si>
  <si>
    <t>Study Hours</t>
  </si>
  <si>
    <t>Exploratory Data Analysis</t>
  </si>
  <si>
    <t>80 Students</t>
  </si>
  <si>
    <t>Avg Score</t>
  </si>
  <si>
    <t>Pass Rate %</t>
  </si>
  <si>
    <t>Top Score</t>
  </si>
  <si>
    <t>Outlier Count</t>
  </si>
  <si>
    <t>Data as of 20-05-2026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</si>
</sst>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8" x14ac:knownFonts="1">
    <font>
      <sz val="11"/>
      <color theme="1"/>
      <name val="Calibri"/>
      <family val="2"/>
      <scheme val="minor"/>
    </font>
    <font>
      <b/>
      <i/>
      <sz val="11"/>
      <color theme="1"/>
      <name val="Calibri"/>
      <family val="2"/>
      <scheme val="minor"/>
    </font>
    <font>
      <i/>
      <sz val="11"/>
      <color theme="1"/>
      <name val="Calibri"/>
      <family val="2"/>
      <scheme val="minor"/>
    </font>
    <font>
      <b/>
      <i/>
      <sz val="20"/>
      <color theme="1"/>
      <name val="Calibri"/>
      <family val="2"/>
      <scheme val="minor"/>
    </font>
    <font>
      <sz val="11"/>
      <color rgb="FF18243A"/>
      <name val="Calibri"/>
      <family val="2"/>
      <scheme val="minor"/>
    </font>
    <font>
      <b/>
      <i/>
      <sz val="11"/>
      <color rgb="FF18243A"/>
      <name val="Calibri"/>
      <family val="2"/>
      <scheme val="minor"/>
    </font>
    <font>
      <sz val="12"/>
      <color rgb="FF18243A"/>
      <name val="Arial"/>
      <family val="2"/>
    </font>
    <font>
      <sz val="16"/>
      <color theme="1"/>
      <name val="Calibri"/>
      <family val="2"/>
      <scheme val="minor"/>
    </font>
  </fonts>
  <fills count="6">
    <fill>
      <patternFill patternType="none"/>
    </fill>
    <fill>
      <patternFill patternType="gray125"/>
    </fill>
    <fill>
      <patternFill patternType="solid">
        <fgColor theme="7" tint="0.79998168889431442"/>
        <bgColor theme="7" tint="0.79998168889431442"/>
      </patternFill>
    </fill>
    <fill>
      <patternFill patternType="solid">
        <fgColor theme="0"/>
        <bgColor indexed="64"/>
      </patternFill>
    </fill>
    <fill>
      <patternFill patternType="solid">
        <fgColor theme="0"/>
        <bgColor theme="4" tint="0.79998168889431442"/>
      </patternFill>
    </fill>
    <fill>
      <patternFill patternType="solid">
        <fgColor theme="9" tint="0.59999389629810485"/>
        <bgColor indexed="64"/>
      </patternFill>
    </fill>
  </fills>
  <borders count="12">
    <border>
      <left/>
      <right/>
      <top/>
      <bottom/>
      <diagonal/>
    </border>
    <border>
      <left style="thin">
        <color theme="7"/>
      </left>
      <right style="thin">
        <color theme="7"/>
      </right>
      <top style="thin">
        <color theme="7"/>
      </top>
      <bottom style="thin">
        <color theme="7"/>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2" fillId="0" borderId="0" xfId="0" applyFont="1" applyAlignment="1">
      <alignment horizontal="center" vertical="center"/>
    </xf>
    <xf numFmtId="0" fontId="1" fillId="0" borderId="0" xfId="0" applyFont="1" applyAlignment="1">
      <alignment horizontal="center" vertical="center"/>
    </xf>
    <xf numFmtId="0" fontId="0" fillId="0" borderId="3" xfId="0" applyBorder="1"/>
    <xf numFmtId="0" fontId="4"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164" fontId="0" fillId="0" borderId="0" xfId="0" applyNumberFormat="1" applyAlignment="1">
      <alignment horizontal="center" vertical="center"/>
    </xf>
    <xf numFmtId="0" fontId="0" fillId="3" borderId="2" xfId="0" applyFill="1" applyBorder="1" applyAlignment="1">
      <alignment horizontal="center" vertical="center"/>
    </xf>
    <xf numFmtId="0" fontId="0" fillId="3" borderId="0" xfId="0" applyFill="1" applyAlignment="1">
      <alignment horizontal="center" vertical="center"/>
    </xf>
    <xf numFmtId="0" fontId="0" fillId="4" borderId="2" xfId="0" applyFill="1" applyBorder="1" applyAlignment="1">
      <alignment horizontal="center" vertical="center"/>
    </xf>
    <xf numFmtId="2" fontId="0" fillId="4" borderId="2" xfId="0" applyNumberFormat="1" applyFill="1" applyBorder="1" applyAlignment="1">
      <alignment horizontal="center" vertical="center"/>
    </xf>
    <xf numFmtId="2" fontId="0" fillId="4" borderId="0" xfId="0" applyNumberFormat="1" applyFill="1" applyAlignment="1">
      <alignment horizontal="center" vertical="center"/>
    </xf>
    <xf numFmtId="2" fontId="0" fillId="3" borderId="2" xfId="0" applyNumberFormat="1" applyFill="1" applyBorder="1" applyAlignment="1">
      <alignment horizontal="center" vertical="center"/>
    </xf>
    <xf numFmtId="2" fontId="0" fillId="3" borderId="0" xfId="0" applyNumberFormat="1" applyFill="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2" fontId="0" fillId="0" borderId="5" xfId="0" applyNumberFormat="1" applyBorder="1" applyAlignment="1">
      <alignment horizontal="center" vertical="center"/>
    </xf>
    <xf numFmtId="0" fontId="0" fillId="0" borderId="8" xfId="0" applyBorder="1" applyAlignment="1">
      <alignment horizontal="center" vertical="center"/>
    </xf>
    <xf numFmtId="2" fontId="0" fillId="0" borderId="9" xfId="0" applyNumberFormat="1" applyBorder="1" applyAlignment="1">
      <alignment horizontal="center" vertical="center"/>
    </xf>
    <xf numFmtId="0" fontId="0" fillId="2" borderId="1" xfId="0" applyFill="1" applyBorder="1" applyAlignment="1">
      <alignment horizontal="center" vertical="center"/>
    </xf>
    <xf numFmtId="2" fontId="0" fillId="0" borderId="0" xfId="0" applyNumberFormat="1" applyAlignment="1">
      <alignment horizontal="center" vertical="center"/>
    </xf>
    <xf numFmtId="0" fontId="3" fillId="5" borderId="0" xfId="0" applyFont="1" applyFill="1" applyAlignment="1">
      <alignment horizontal="center"/>
    </xf>
    <xf numFmtId="0" fontId="3" fillId="5" borderId="3" xfId="0" applyFont="1" applyFill="1" applyBorder="1" applyAlignment="1">
      <alignment horizontal="center"/>
    </xf>
    <xf numFmtId="0" fontId="6" fillId="0" borderId="10" xfId="0" applyFont="1" applyBorder="1" applyAlignment="1">
      <alignment horizontal="center" vertical="center"/>
    </xf>
    <xf numFmtId="14" fontId="6" fillId="0" borderId="10" xfId="0" applyNumberFormat="1" applyFont="1" applyBorder="1" applyAlignment="1">
      <alignment horizontal="center" vertical="center"/>
    </xf>
    <xf numFmtId="0" fontId="6" fillId="0" borderId="3" xfId="0" applyFont="1" applyBorder="1" applyAlignment="1">
      <alignment horizontal="center" vertical="center"/>
    </xf>
    <xf numFmtId="14" fontId="6" fillId="0" borderId="3" xfId="0" applyNumberFormat="1" applyFont="1" applyBorder="1" applyAlignment="1">
      <alignment horizontal="center" vertical="center"/>
    </xf>
    <xf numFmtId="0" fontId="6" fillId="0" borderId="0" xfId="0" applyFont="1" applyBorder="1" applyAlignment="1">
      <alignment horizontal="center" vertical="center"/>
    </xf>
    <xf numFmtId="0" fontId="0" fillId="0" borderId="2" xfId="0" applyBorder="1" applyAlignment="1">
      <alignment horizontal="center" vertical="center"/>
    </xf>
    <xf numFmtId="0" fontId="0" fillId="0" borderId="11" xfId="0" applyBorder="1" applyAlignment="1">
      <alignment horizontal="center" vertical="center"/>
    </xf>
    <xf numFmtId="0" fontId="7" fillId="0" borderId="0" xfId="0" applyFont="1" applyBorder="1"/>
  </cellXfs>
  <cellStyles count="1">
    <cellStyle name="Normal" xfId="0" builtinId="0"/>
  </cellStyles>
  <dxfs count="23">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val="0"/>
        <i val="0"/>
        <color theme="1" tint="0.499984740745262"/>
      </font>
    </dxf>
    <dxf>
      <fill>
        <patternFill>
          <bgColor theme="0"/>
        </patternFill>
      </fill>
    </dxf>
    <dxf>
      <font>
        <strike val="0"/>
        <outline val="0"/>
        <shadow val="0"/>
        <u val="none"/>
        <vertAlign val="baseline"/>
        <sz val="11"/>
        <name val="Calibri"/>
        <family val="2"/>
        <scheme val="minor"/>
      </font>
      <numFmt numFmtId="2"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outline="0">
        <bottom style="thin">
          <color indexed="64"/>
        </bottom>
      </border>
    </dxf>
    <dxf>
      <font>
        <strike val="0"/>
        <outline val="0"/>
        <shadow val="0"/>
        <u val="none"/>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rgb="FF18243A"/>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numFmt numFmtId="164" formatCode="_ [$₹-4009]\ * #,##0.00_ ;_ [$₹-4009]\ * \-#,##0.00_ ;_ [$₹-4009]\ * &quot;-&quot;??_ ;_ @_ "/>
      <alignment horizontal="center" vertical="center" textRotation="0" wrapText="0" indent="0" justifyLastLine="0" shrinkToFit="0" readingOrder="0"/>
    </dxf>
    <dxf>
      <font>
        <strike val="0"/>
        <outline val="0"/>
        <shadow val="0"/>
        <u val="none"/>
        <vertAlign val="baseline"/>
        <sz val="11"/>
        <name val="Calibri"/>
        <family val="2"/>
        <scheme val="minor"/>
      </font>
      <numFmt numFmtId="14" formatCode="0.00%"/>
      <alignment horizontal="center"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i/>
        <strike val="0"/>
        <outline val="0"/>
        <shadow val="0"/>
        <u val="none"/>
        <vertAlign val="baseline"/>
        <sz val="1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Study Hours vs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3901709930237777"/>
                  <c:y val="-0.318705890930300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Main!$B$2:$B$81</c:f>
              <c:numCache>
                <c:formatCode>General</c:formatCode>
                <c:ptCount val="80"/>
                <c:pt idx="0">
                  <c:v>88</c:v>
                </c:pt>
                <c:pt idx="1">
                  <c:v>39</c:v>
                </c:pt>
                <c:pt idx="2">
                  <c:v>37</c:v>
                </c:pt>
                <c:pt idx="3">
                  <c:v>88</c:v>
                </c:pt>
                <c:pt idx="4">
                  <c:v>54</c:v>
                </c:pt>
                <c:pt idx="5">
                  <c:v>87</c:v>
                </c:pt>
                <c:pt idx="6">
                  <c:v>84</c:v>
                </c:pt>
                <c:pt idx="7">
                  <c:v>80</c:v>
                </c:pt>
                <c:pt idx="8">
                  <c:v>37</c:v>
                </c:pt>
                <c:pt idx="9">
                  <c:v>78</c:v>
                </c:pt>
                <c:pt idx="10">
                  <c:v>69</c:v>
                </c:pt>
                <c:pt idx="11">
                  <c:v>71</c:v>
                </c:pt>
                <c:pt idx="12">
                  <c:v>64</c:v>
                </c:pt>
                <c:pt idx="13">
                  <c:v>38</c:v>
                </c:pt>
                <c:pt idx="14">
                  <c:v>44</c:v>
                </c:pt>
                <c:pt idx="15">
                  <c:v>52</c:v>
                </c:pt>
                <c:pt idx="16">
                  <c:v>57</c:v>
                </c:pt>
                <c:pt idx="17">
                  <c:v>34</c:v>
                </c:pt>
                <c:pt idx="18">
                  <c:v>96</c:v>
                </c:pt>
                <c:pt idx="19">
                  <c:v>54</c:v>
                </c:pt>
                <c:pt idx="20">
                  <c:v>39</c:v>
                </c:pt>
                <c:pt idx="21">
                  <c:v>59</c:v>
                </c:pt>
                <c:pt idx="22">
                  <c:v>58</c:v>
                </c:pt>
                <c:pt idx="23">
                  <c:v>52</c:v>
                </c:pt>
                <c:pt idx="24">
                  <c:v>72</c:v>
                </c:pt>
                <c:pt idx="25">
                  <c:v>96</c:v>
                </c:pt>
                <c:pt idx="26">
                  <c:v>67</c:v>
                </c:pt>
                <c:pt idx="27">
                  <c:v>80</c:v>
                </c:pt>
                <c:pt idx="28">
                  <c:v>93</c:v>
                </c:pt>
                <c:pt idx="29">
                  <c:v>57</c:v>
                </c:pt>
                <c:pt idx="30">
                  <c:v>35</c:v>
                </c:pt>
                <c:pt idx="31">
                  <c:v>63</c:v>
                </c:pt>
                <c:pt idx="32">
                  <c:v>31</c:v>
                </c:pt>
                <c:pt idx="33">
                  <c:v>85</c:v>
                </c:pt>
                <c:pt idx="34">
                  <c:v>96</c:v>
                </c:pt>
                <c:pt idx="35">
                  <c:v>35</c:v>
                </c:pt>
                <c:pt idx="36">
                  <c:v>97</c:v>
                </c:pt>
                <c:pt idx="37">
                  <c:v>48</c:v>
                </c:pt>
                <c:pt idx="38">
                  <c:v>33</c:v>
                </c:pt>
                <c:pt idx="39">
                  <c:v>39</c:v>
                </c:pt>
                <c:pt idx="40">
                  <c:v>65</c:v>
                </c:pt>
                <c:pt idx="41">
                  <c:v>97</c:v>
                </c:pt>
                <c:pt idx="42">
                  <c:v>38</c:v>
                </c:pt>
                <c:pt idx="43">
                  <c:v>76</c:v>
                </c:pt>
                <c:pt idx="44">
                  <c:v>56</c:v>
                </c:pt>
                <c:pt idx="45">
                  <c:v>100</c:v>
                </c:pt>
                <c:pt idx="46">
                  <c:v>71</c:v>
                </c:pt>
                <c:pt idx="47">
                  <c:v>67</c:v>
                </c:pt>
                <c:pt idx="48">
                  <c:v>68</c:v>
                </c:pt>
                <c:pt idx="49">
                  <c:v>84</c:v>
                </c:pt>
                <c:pt idx="50">
                  <c:v>47</c:v>
                </c:pt>
                <c:pt idx="51">
                  <c:v>43</c:v>
                </c:pt>
                <c:pt idx="52">
                  <c:v>79</c:v>
                </c:pt>
                <c:pt idx="53">
                  <c:v>77</c:v>
                </c:pt>
                <c:pt idx="54">
                  <c:v>78</c:v>
                </c:pt>
                <c:pt idx="55">
                  <c:v>68</c:v>
                </c:pt>
                <c:pt idx="56">
                  <c:v>63</c:v>
                </c:pt>
                <c:pt idx="57">
                  <c:v>88</c:v>
                </c:pt>
                <c:pt idx="58">
                  <c:v>100</c:v>
                </c:pt>
                <c:pt idx="59">
                  <c:v>87</c:v>
                </c:pt>
                <c:pt idx="60">
                  <c:v>60</c:v>
                </c:pt>
                <c:pt idx="61">
                  <c:v>35</c:v>
                </c:pt>
                <c:pt idx="62">
                  <c:v>60</c:v>
                </c:pt>
                <c:pt idx="63">
                  <c:v>36</c:v>
                </c:pt>
                <c:pt idx="64">
                  <c:v>42</c:v>
                </c:pt>
                <c:pt idx="65">
                  <c:v>84</c:v>
                </c:pt>
                <c:pt idx="66">
                  <c:v>87</c:v>
                </c:pt>
                <c:pt idx="67">
                  <c:v>98</c:v>
                </c:pt>
                <c:pt idx="68">
                  <c:v>44</c:v>
                </c:pt>
                <c:pt idx="69">
                  <c:v>37</c:v>
                </c:pt>
                <c:pt idx="70">
                  <c:v>65</c:v>
                </c:pt>
                <c:pt idx="71">
                  <c:v>44</c:v>
                </c:pt>
                <c:pt idx="72">
                  <c:v>33</c:v>
                </c:pt>
                <c:pt idx="73">
                  <c:v>77</c:v>
                </c:pt>
                <c:pt idx="74">
                  <c:v>94</c:v>
                </c:pt>
                <c:pt idx="75">
                  <c:v>86</c:v>
                </c:pt>
                <c:pt idx="76">
                  <c:v>87</c:v>
                </c:pt>
                <c:pt idx="77">
                  <c:v>88</c:v>
                </c:pt>
                <c:pt idx="78">
                  <c:v>58</c:v>
                </c:pt>
                <c:pt idx="79">
                  <c:v>44</c:v>
                </c:pt>
              </c:numCache>
            </c:numRef>
          </c:xVal>
          <c:yVal>
            <c:numRef>
              <c:f>Main!$C$2:$C$81</c:f>
              <c:numCache>
                <c:formatCode>General</c:formatCode>
                <c:ptCount val="80"/>
                <c:pt idx="0">
                  <c:v>3</c:v>
                </c:pt>
                <c:pt idx="1">
                  <c:v>4</c:v>
                </c:pt>
                <c:pt idx="2">
                  <c:v>1</c:v>
                </c:pt>
                <c:pt idx="3">
                  <c:v>3</c:v>
                </c:pt>
                <c:pt idx="4">
                  <c:v>7</c:v>
                </c:pt>
                <c:pt idx="5">
                  <c:v>2</c:v>
                </c:pt>
                <c:pt idx="6">
                  <c:v>3</c:v>
                </c:pt>
                <c:pt idx="7">
                  <c:v>2</c:v>
                </c:pt>
                <c:pt idx="8">
                  <c:v>7</c:v>
                </c:pt>
                <c:pt idx="9">
                  <c:v>5</c:v>
                </c:pt>
                <c:pt idx="10">
                  <c:v>3</c:v>
                </c:pt>
                <c:pt idx="11">
                  <c:v>4</c:v>
                </c:pt>
                <c:pt idx="12">
                  <c:v>10</c:v>
                </c:pt>
                <c:pt idx="13">
                  <c:v>9</c:v>
                </c:pt>
                <c:pt idx="14">
                  <c:v>8</c:v>
                </c:pt>
                <c:pt idx="15">
                  <c:v>8</c:v>
                </c:pt>
                <c:pt idx="16">
                  <c:v>3</c:v>
                </c:pt>
                <c:pt idx="17">
                  <c:v>8</c:v>
                </c:pt>
                <c:pt idx="18">
                  <c:v>4</c:v>
                </c:pt>
                <c:pt idx="19">
                  <c:v>8</c:v>
                </c:pt>
                <c:pt idx="20">
                  <c:v>9</c:v>
                </c:pt>
                <c:pt idx="21">
                  <c:v>10</c:v>
                </c:pt>
                <c:pt idx="22">
                  <c:v>4</c:v>
                </c:pt>
                <c:pt idx="23">
                  <c:v>4</c:v>
                </c:pt>
                <c:pt idx="24">
                  <c:v>8</c:v>
                </c:pt>
                <c:pt idx="25">
                  <c:v>2</c:v>
                </c:pt>
                <c:pt idx="26">
                  <c:v>3</c:v>
                </c:pt>
                <c:pt idx="27">
                  <c:v>10</c:v>
                </c:pt>
                <c:pt idx="28">
                  <c:v>5</c:v>
                </c:pt>
                <c:pt idx="29">
                  <c:v>6</c:v>
                </c:pt>
                <c:pt idx="30">
                  <c:v>5</c:v>
                </c:pt>
                <c:pt idx="31">
                  <c:v>1</c:v>
                </c:pt>
                <c:pt idx="32">
                  <c:v>9</c:v>
                </c:pt>
                <c:pt idx="33">
                  <c:v>8</c:v>
                </c:pt>
                <c:pt idx="34">
                  <c:v>6</c:v>
                </c:pt>
                <c:pt idx="35">
                  <c:v>10</c:v>
                </c:pt>
                <c:pt idx="36">
                  <c:v>2</c:v>
                </c:pt>
                <c:pt idx="37">
                  <c:v>6</c:v>
                </c:pt>
                <c:pt idx="38">
                  <c:v>3</c:v>
                </c:pt>
                <c:pt idx="39">
                  <c:v>7</c:v>
                </c:pt>
                <c:pt idx="40">
                  <c:v>2</c:v>
                </c:pt>
                <c:pt idx="41">
                  <c:v>5</c:v>
                </c:pt>
                <c:pt idx="42">
                  <c:v>2</c:v>
                </c:pt>
                <c:pt idx="43">
                  <c:v>5</c:v>
                </c:pt>
                <c:pt idx="44">
                  <c:v>8</c:v>
                </c:pt>
                <c:pt idx="45">
                  <c:v>2</c:v>
                </c:pt>
                <c:pt idx="46">
                  <c:v>5</c:v>
                </c:pt>
                <c:pt idx="47">
                  <c:v>4</c:v>
                </c:pt>
                <c:pt idx="48">
                  <c:v>9</c:v>
                </c:pt>
                <c:pt idx="49">
                  <c:v>4</c:v>
                </c:pt>
                <c:pt idx="50">
                  <c:v>1</c:v>
                </c:pt>
                <c:pt idx="51">
                  <c:v>5</c:v>
                </c:pt>
                <c:pt idx="52">
                  <c:v>10</c:v>
                </c:pt>
                <c:pt idx="53">
                  <c:v>9</c:v>
                </c:pt>
                <c:pt idx="54">
                  <c:v>9</c:v>
                </c:pt>
                <c:pt idx="55">
                  <c:v>10</c:v>
                </c:pt>
                <c:pt idx="56">
                  <c:v>2</c:v>
                </c:pt>
                <c:pt idx="57">
                  <c:v>2</c:v>
                </c:pt>
                <c:pt idx="58">
                  <c:v>4</c:v>
                </c:pt>
                <c:pt idx="59">
                  <c:v>2</c:v>
                </c:pt>
                <c:pt idx="60">
                  <c:v>5</c:v>
                </c:pt>
                <c:pt idx="61">
                  <c:v>9</c:v>
                </c:pt>
                <c:pt idx="62">
                  <c:v>2</c:v>
                </c:pt>
                <c:pt idx="63">
                  <c:v>9</c:v>
                </c:pt>
                <c:pt idx="64">
                  <c:v>5</c:v>
                </c:pt>
                <c:pt idx="65">
                  <c:v>10</c:v>
                </c:pt>
                <c:pt idx="66">
                  <c:v>7</c:v>
                </c:pt>
                <c:pt idx="67">
                  <c:v>10</c:v>
                </c:pt>
                <c:pt idx="68">
                  <c:v>5</c:v>
                </c:pt>
                <c:pt idx="69">
                  <c:v>8</c:v>
                </c:pt>
                <c:pt idx="70">
                  <c:v>8</c:v>
                </c:pt>
                <c:pt idx="71">
                  <c:v>5</c:v>
                </c:pt>
                <c:pt idx="72">
                  <c:v>10</c:v>
                </c:pt>
                <c:pt idx="73">
                  <c:v>5</c:v>
                </c:pt>
                <c:pt idx="74">
                  <c:v>4</c:v>
                </c:pt>
                <c:pt idx="75">
                  <c:v>3</c:v>
                </c:pt>
                <c:pt idx="76">
                  <c:v>9</c:v>
                </c:pt>
                <c:pt idx="77">
                  <c:v>2</c:v>
                </c:pt>
                <c:pt idx="78">
                  <c:v>3</c:v>
                </c:pt>
                <c:pt idx="79">
                  <c:v>5</c:v>
                </c:pt>
              </c:numCache>
            </c:numRef>
          </c:yVal>
          <c:smooth val="0"/>
          <c:extLst>
            <c:ext xmlns:c16="http://schemas.microsoft.com/office/drawing/2014/chart" uri="{C3380CC4-5D6E-409C-BE32-E72D297353CC}">
              <c16:uniqueId val="{00000000-1D3C-4EE7-8519-0849506C1997}"/>
            </c:ext>
          </c:extLst>
        </c:ser>
        <c:dLbls>
          <c:showLegendKey val="0"/>
          <c:showVal val="0"/>
          <c:showCatName val="0"/>
          <c:showSerName val="0"/>
          <c:showPercent val="0"/>
          <c:showBubbleSize val="0"/>
        </c:dLbls>
        <c:axId val="1718456111"/>
        <c:axId val="1718456591"/>
      </c:scatterChart>
      <c:valAx>
        <c:axId val="1718456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Study Hours/Day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6591"/>
        <c:crosses val="autoZero"/>
        <c:crossBetween val="midCat"/>
      </c:valAx>
      <c:valAx>
        <c:axId val="1718456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Exam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6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Average Score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val>
            <c:numRef>
              <c:f>(Main!$B$2:$B$81,Main!$B$83:$B$85)</c:f>
              <c:numCache>
                <c:formatCode>General</c:formatCode>
                <c:ptCount val="83"/>
                <c:pt idx="0">
                  <c:v>88</c:v>
                </c:pt>
                <c:pt idx="1">
                  <c:v>39</c:v>
                </c:pt>
                <c:pt idx="2">
                  <c:v>37</c:v>
                </c:pt>
                <c:pt idx="3">
                  <c:v>88</c:v>
                </c:pt>
                <c:pt idx="4">
                  <c:v>54</c:v>
                </c:pt>
                <c:pt idx="5">
                  <c:v>87</c:v>
                </c:pt>
                <c:pt idx="6">
                  <c:v>84</c:v>
                </c:pt>
                <c:pt idx="7">
                  <c:v>80</c:v>
                </c:pt>
                <c:pt idx="8">
                  <c:v>37</c:v>
                </c:pt>
                <c:pt idx="9">
                  <c:v>78</c:v>
                </c:pt>
                <c:pt idx="10">
                  <c:v>69</c:v>
                </c:pt>
                <c:pt idx="11">
                  <c:v>71</c:v>
                </c:pt>
                <c:pt idx="12">
                  <c:v>64</c:v>
                </c:pt>
                <c:pt idx="13">
                  <c:v>38</c:v>
                </c:pt>
                <c:pt idx="14">
                  <c:v>44</c:v>
                </c:pt>
                <c:pt idx="15">
                  <c:v>52</c:v>
                </c:pt>
                <c:pt idx="16">
                  <c:v>57</c:v>
                </c:pt>
                <c:pt idx="17">
                  <c:v>34</c:v>
                </c:pt>
                <c:pt idx="18">
                  <c:v>96</c:v>
                </c:pt>
                <c:pt idx="19">
                  <c:v>54</c:v>
                </c:pt>
                <c:pt idx="20">
                  <c:v>39</c:v>
                </c:pt>
                <c:pt idx="21">
                  <c:v>59</c:v>
                </c:pt>
                <c:pt idx="22">
                  <c:v>58</c:v>
                </c:pt>
                <c:pt idx="23">
                  <c:v>52</c:v>
                </c:pt>
                <c:pt idx="24">
                  <c:v>72</c:v>
                </c:pt>
                <c:pt idx="25">
                  <c:v>96</c:v>
                </c:pt>
                <c:pt idx="26">
                  <c:v>67</c:v>
                </c:pt>
                <c:pt idx="27">
                  <c:v>80</c:v>
                </c:pt>
                <c:pt idx="28">
                  <c:v>93</c:v>
                </c:pt>
                <c:pt idx="29">
                  <c:v>57</c:v>
                </c:pt>
                <c:pt idx="30">
                  <c:v>35</c:v>
                </c:pt>
                <c:pt idx="31">
                  <c:v>63</c:v>
                </c:pt>
                <c:pt idx="32">
                  <c:v>31</c:v>
                </c:pt>
                <c:pt idx="33">
                  <c:v>85</c:v>
                </c:pt>
                <c:pt idx="34">
                  <c:v>96</c:v>
                </c:pt>
                <c:pt idx="35">
                  <c:v>35</c:v>
                </c:pt>
                <c:pt idx="36">
                  <c:v>97</c:v>
                </c:pt>
                <c:pt idx="37">
                  <c:v>48</c:v>
                </c:pt>
                <c:pt idx="38">
                  <c:v>33</c:v>
                </c:pt>
                <c:pt idx="39">
                  <c:v>39</c:v>
                </c:pt>
                <c:pt idx="40">
                  <c:v>65</c:v>
                </c:pt>
                <c:pt idx="41">
                  <c:v>97</c:v>
                </c:pt>
                <c:pt idx="42">
                  <c:v>38</c:v>
                </c:pt>
                <c:pt idx="43">
                  <c:v>76</c:v>
                </c:pt>
                <c:pt idx="44">
                  <c:v>56</c:v>
                </c:pt>
                <c:pt idx="45">
                  <c:v>100</c:v>
                </c:pt>
                <c:pt idx="46">
                  <c:v>71</c:v>
                </c:pt>
                <c:pt idx="47">
                  <c:v>67</c:v>
                </c:pt>
                <c:pt idx="48">
                  <c:v>68</c:v>
                </c:pt>
                <c:pt idx="49">
                  <c:v>84</c:v>
                </c:pt>
                <c:pt idx="50">
                  <c:v>47</c:v>
                </c:pt>
                <c:pt idx="51">
                  <c:v>43</c:v>
                </c:pt>
                <c:pt idx="52">
                  <c:v>79</c:v>
                </c:pt>
                <c:pt idx="53">
                  <c:v>77</c:v>
                </c:pt>
                <c:pt idx="54">
                  <c:v>78</c:v>
                </c:pt>
                <c:pt idx="55">
                  <c:v>68</c:v>
                </c:pt>
                <c:pt idx="56">
                  <c:v>63</c:v>
                </c:pt>
                <c:pt idx="57">
                  <c:v>88</c:v>
                </c:pt>
                <c:pt idx="58">
                  <c:v>100</c:v>
                </c:pt>
                <c:pt idx="59">
                  <c:v>87</c:v>
                </c:pt>
                <c:pt idx="60">
                  <c:v>60</c:v>
                </c:pt>
                <c:pt idx="61">
                  <c:v>35</c:v>
                </c:pt>
                <c:pt idx="62">
                  <c:v>60</c:v>
                </c:pt>
                <c:pt idx="63">
                  <c:v>36</c:v>
                </c:pt>
                <c:pt idx="64">
                  <c:v>42</c:v>
                </c:pt>
                <c:pt idx="65">
                  <c:v>84</c:v>
                </c:pt>
                <c:pt idx="66">
                  <c:v>87</c:v>
                </c:pt>
                <c:pt idx="67">
                  <c:v>98</c:v>
                </c:pt>
                <c:pt idx="68">
                  <c:v>44</c:v>
                </c:pt>
                <c:pt idx="69">
                  <c:v>37</c:v>
                </c:pt>
                <c:pt idx="70">
                  <c:v>65</c:v>
                </c:pt>
                <c:pt idx="71">
                  <c:v>44</c:v>
                </c:pt>
                <c:pt idx="72">
                  <c:v>33</c:v>
                </c:pt>
                <c:pt idx="73">
                  <c:v>77</c:v>
                </c:pt>
                <c:pt idx="74">
                  <c:v>94</c:v>
                </c:pt>
                <c:pt idx="75">
                  <c:v>86</c:v>
                </c:pt>
                <c:pt idx="76">
                  <c:v>87</c:v>
                </c:pt>
                <c:pt idx="77">
                  <c:v>88</c:v>
                </c:pt>
                <c:pt idx="78">
                  <c:v>58</c:v>
                </c:pt>
                <c:pt idx="79">
                  <c:v>44</c:v>
                </c:pt>
                <c:pt idx="80" formatCode="0.00">
                  <c:v>72.785714285714292</c:v>
                </c:pt>
                <c:pt idx="81" formatCode="0.00">
                  <c:v>62.785714285714285</c:v>
                </c:pt>
                <c:pt idx="82" formatCode="0.00">
                  <c:v>58.375</c:v>
                </c:pt>
              </c:numCache>
            </c:numRef>
          </c:val>
          <c:extLst>
            <c:ext xmlns:c16="http://schemas.microsoft.com/office/drawing/2014/chart" uri="{C3380CC4-5D6E-409C-BE32-E72D297353CC}">
              <c16:uniqueId val="{00000000-F368-4D1F-9733-BF7FDF40053C}"/>
            </c:ext>
          </c:extLst>
        </c:ser>
        <c:dLbls>
          <c:showLegendKey val="0"/>
          <c:showVal val="0"/>
          <c:showCatName val="0"/>
          <c:showSerName val="0"/>
          <c:showPercent val="0"/>
          <c:showBubbleSize val="0"/>
        </c:dLbls>
        <c:gapWidth val="219"/>
        <c:overlap val="-27"/>
        <c:axId val="1789243663"/>
        <c:axId val="1789244623"/>
      </c:barChart>
      <c:catAx>
        <c:axId val="17892436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44623"/>
        <c:crosses val="autoZero"/>
        <c:auto val="1"/>
        <c:lblAlgn val="ctr"/>
        <c:lblOffset val="100"/>
        <c:noMultiLvlLbl val="0"/>
      </c:catAx>
      <c:valAx>
        <c:axId val="178924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4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R-Squared with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trendline>
            <c:spPr>
              <a:ln w="19050" cap="rnd">
                <a:solidFill>
                  <a:schemeClr val="accent1"/>
                </a:solidFill>
                <a:prstDash val="sysDot"/>
              </a:ln>
              <a:effectLst/>
            </c:spPr>
            <c:trendlineType val="linear"/>
            <c:dispRSqr val="1"/>
            <c:dispEq val="0"/>
            <c:trendlineLbl>
              <c:layout>
                <c:manualLayout>
                  <c:x val="-3.0380577427811339E-4"/>
                  <c:y val="-0.287499999999999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val>
            <c:numRef>
              <c:f>Main!$B$2:$B$81</c:f>
              <c:numCache>
                <c:formatCode>General</c:formatCode>
                <c:ptCount val="80"/>
                <c:pt idx="0">
                  <c:v>88</c:v>
                </c:pt>
                <c:pt idx="1">
                  <c:v>39</c:v>
                </c:pt>
                <c:pt idx="2">
                  <c:v>37</c:v>
                </c:pt>
                <c:pt idx="3">
                  <c:v>88</c:v>
                </c:pt>
                <c:pt idx="4">
                  <c:v>54</c:v>
                </c:pt>
                <c:pt idx="5">
                  <c:v>87</c:v>
                </c:pt>
                <c:pt idx="6">
                  <c:v>84</c:v>
                </c:pt>
                <c:pt idx="7">
                  <c:v>80</c:v>
                </c:pt>
                <c:pt idx="8">
                  <c:v>37</c:v>
                </c:pt>
                <c:pt idx="9">
                  <c:v>78</c:v>
                </c:pt>
                <c:pt idx="10">
                  <c:v>69</c:v>
                </c:pt>
                <c:pt idx="11">
                  <c:v>71</c:v>
                </c:pt>
                <c:pt idx="12">
                  <c:v>64</c:v>
                </c:pt>
                <c:pt idx="13">
                  <c:v>38</c:v>
                </c:pt>
                <c:pt idx="14">
                  <c:v>44</c:v>
                </c:pt>
                <c:pt idx="15">
                  <c:v>52</c:v>
                </c:pt>
                <c:pt idx="16">
                  <c:v>57</c:v>
                </c:pt>
                <c:pt idx="17">
                  <c:v>34</c:v>
                </c:pt>
                <c:pt idx="18">
                  <c:v>96</c:v>
                </c:pt>
                <c:pt idx="19">
                  <c:v>54</c:v>
                </c:pt>
                <c:pt idx="20">
                  <c:v>39</c:v>
                </c:pt>
                <c:pt idx="21">
                  <c:v>59</c:v>
                </c:pt>
                <c:pt idx="22">
                  <c:v>58</c:v>
                </c:pt>
                <c:pt idx="23">
                  <c:v>52</c:v>
                </c:pt>
                <c:pt idx="24">
                  <c:v>72</c:v>
                </c:pt>
                <c:pt idx="25">
                  <c:v>96</c:v>
                </c:pt>
                <c:pt idx="26">
                  <c:v>67</c:v>
                </c:pt>
                <c:pt idx="27">
                  <c:v>80</c:v>
                </c:pt>
                <c:pt idx="28">
                  <c:v>93</c:v>
                </c:pt>
                <c:pt idx="29">
                  <c:v>57</c:v>
                </c:pt>
                <c:pt idx="30">
                  <c:v>35</c:v>
                </c:pt>
                <c:pt idx="31">
                  <c:v>63</c:v>
                </c:pt>
                <c:pt idx="32">
                  <c:v>31</c:v>
                </c:pt>
                <c:pt idx="33">
                  <c:v>85</c:v>
                </c:pt>
                <c:pt idx="34">
                  <c:v>96</c:v>
                </c:pt>
                <c:pt idx="35">
                  <c:v>35</c:v>
                </c:pt>
                <c:pt idx="36">
                  <c:v>97</c:v>
                </c:pt>
                <c:pt idx="37">
                  <c:v>48</c:v>
                </c:pt>
                <c:pt idx="38">
                  <c:v>33</c:v>
                </c:pt>
                <c:pt idx="39">
                  <c:v>39</c:v>
                </c:pt>
                <c:pt idx="40">
                  <c:v>65</c:v>
                </c:pt>
                <c:pt idx="41">
                  <c:v>97</c:v>
                </c:pt>
                <c:pt idx="42">
                  <c:v>38</c:v>
                </c:pt>
                <c:pt idx="43">
                  <c:v>76</c:v>
                </c:pt>
                <c:pt idx="44">
                  <c:v>56</c:v>
                </c:pt>
                <c:pt idx="45">
                  <c:v>100</c:v>
                </c:pt>
                <c:pt idx="46">
                  <c:v>71</c:v>
                </c:pt>
                <c:pt idx="47">
                  <c:v>67</c:v>
                </c:pt>
                <c:pt idx="48">
                  <c:v>68</c:v>
                </c:pt>
                <c:pt idx="49">
                  <c:v>84</c:v>
                </c:pt>
                <c:pt idx="50">
                  <c:v>47</c:v>
                </c:pt>
                <c:pt idx="51">
                  <c:v>43</c:v>
                </c:pt>
                <c:pt idx="52">
                  <c:v>79</c:v>
                </c:pt>
                <c:pt idx="53">
                  <c:v>77</c:v>
                </c:pt>
                <c:pt idx="54">
                  <c:v>78</c:v>
                </c:pt>
                <c:pt idx="55">
                  <c:v>68</c:v>
                </c:pt>
                <c:pt idx="56">
                  <c:v>63</c:v>
                </c:pt>
                <c:pt idx="57">
                  <c:v>88</c:v>
                </c:pt>
                <c:pt idx="58">
                  <c:v>100</c:v>
                </c:pt>
                <c:pt idx="59">
                  <c:v>87</c:v>
                </c:pt>
                <c:pt idx="60">
                  <c:v>60</c:v>
                </c:pt>
                <c:pt idx="61">
                  <c:v>35</c:v>
                </c:pt>
                <c:pt idx="62">
                  <c:v>60</c:v>
                </c:pt>
                <c:pt idx="63">
                  <c:v>36</c:v>
                </c:pt>
                <c:pt idx="64">
                  <c:v>42</c:v>
                </c:pt>
                <c:pt idx="65">
                  <c:v>84</c:v>
                </c:pt>
                <c:pt idx="66">
                  <c:v>87</c:v>
                </c:pt>
                <c:pt idx="67">
                  <c:v>98</c:v>
                </c:pt>
                <c:pt idx="68">
                  <c:v>44</c:v>
                </c:pt>
                <c:pt idx="69">
                  <c:v>37</c:v>
                </c:pt>
                <c:pt idx="70">
                  <c:v>65</c:v>
                </c:pt>
                <c:pt idx="71">
                  <c:v>44</c:v>
                </c:pt>
                <c:pt idx="72">
                  <c:v>33</c:v>
                </c:pt>
                <c:pt idx="73">
                  <c:v>77</c:v>
                </c:pt>
                <c:pt idx="74">
                  <c:v>94</c:v>
                </c:pt>
                <c:pt idx="75">
                  <c:v>86</c:v>
                </c:pt>
                <c:pt idx="76">
                  <c:v>87</c:v>
                </c:pt>
                <c:pt idx="77">
                  <c:v>88</c:v>
                </c:pt>
                <c:pt idx="78">
                  <c:v>58</c:v>
                </c:pt>
                <c:pt idx="79">
                  <c:v>44</c:v>
                </c:pt>
              </c:numCache>
            </c:numRef>
          </c:val>
          <c:extLst>
            <c:ext xmlns:c16="http://schemas.microsoft.com/office/drawing/2014/chart" uri="{C3380CC4-5D6E-409C-BE32-E72D297353CC}">
              <c16:uniqueId val="{00000000-7480-4DA4-B5EF-EF49DADF5298}"/>
            </c:ext>
          </c:extLst>
        </c:ser>
        <c:dLbls>
          <c:showLegendKey val="0"/>
          <c:showVal val="0"/>
          <c:showCatName val="0"/>
          <c:showSerName val="0"/>
          <c:showPercent val="0"/>
          <c:showBubbleSize val="0"/>
        </c:dLbls>
        <c:gapWidth val="219"/>
        <c:overlap val="-27"/>
        <c:axId val="1810881535"/>
        <c:axId val="1810880575"/>
      </c:barChart>
      <c:catAx>
        <c:axId val="18108815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880575"/>
        <c:crosses val="autoZero"/>
        <c:auto val="1"/>
        <c:lblAlgn val="ctr"/>
        <c:lblOffset val="100"/>
        <c:noMultiLvlLbl val="0"/>
      </c:catAx>
      <c:valAx>
        <c:axId val="181088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88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Feature Predictive Power (R²)</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linear"/>
            <c:dispRSqr val="1"/>
            <c:dispEq val="0"/>
            <c:trendlineLbl>
              <c:layout>
                <c:manualLayout>
                  <c:x val="-0.3158144352018708"/>
                  <c:y val="8.7729658792650919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val>
            <c:numRef>
              <c:f>Main!$L$40:$L$42</c:f>
              <c:numCache>
                <c:formatCode>0.00</c:formatCode>
                <c:ptCount val="3"/>
                <c:pt idx="0">
                  <c:v>-0.14333134231231062</c:v>
                </c:pt>
                <c:pt idx="1">
                  <c:v>-0.17182416291188957</c:v>
                </c:pt>
                <c:pt idx="2">
                  <c:v>-0.23509748845009468</c:v>
                </c:pt>
              </c:numCache>
            </c:numRef>
          </c:val>
          <c:extLst>
            <c:ext xmlns:c16="http://schemas.microsoft.com/office/drawing/2014/chart" uri="{C3380CC4-5D6E-409C-BE32-E72D297353CC}">
              <c16:uniqueId val="{00000000-A404-45AC-877B-CEF634853A66}"/>
            </c:ext>
          </c:extLst>
        </c:ser>
        <c:dLbls>
          <c:showLegendKey val="0"/>
          <c:showVal val="0"/>
          <c:showCatName val="0"/>
          <c:showSerName val="0"/>
          <c:showPercent val="0"/>
          <c:showBubbleSize val="0"/>
        </c:dLbls>
        <c:gapWidth val="219"/>
        <c:overlap val="-27"/>
        <c:axId val="2046078784"/>
        <c:axId val="2046100864"/>
      </c:barChart>
      <c:catAx>
        <c:axId val="20460787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100864"/>
        <c:crosses val="autoZero"/>
        <c:auto val="1"/>
        <c:lblAlgn val="ctr"/>
        <c:lblOffset val="100"/>
        <c:noMultiLvlLbl val="0"/>
      </c:catAx>
      <c:valAx>
        <c:axId val="2046100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07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Study Hours vs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3901709930237777"/>
                  <c:y val="-0.318705890930300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Main!$B$2:$B$81</c:f>
              <c:numCache>
                <c:formatCode>General</c:formatCode>
                <c:ptCount val="80"/>
                <c:pt idx="0">
                  <c:v>88</c:v>
                </c:pt>
                <c:pt idx="1">
                  <c:v>39</c:v>
                </c:pt>
                <c:pt idx="2">
                  <c:v>37</c:v>
                </c:pt>
                <c:pt idx="3">
                  <c:v>88</c:v>
                </c:pt>
                <c:pt idx="4">
                  <c:v>54</c:v>
                </c:pt>
                <c:pt idx="5">
                  <c:v>87</c:v>
                </c:pt>
                <c:pt idx="6">
                  <c:v>84</c:v>
                </c:pt>
                <c:pt idx="7">
                  <c:v>80</c:v>
                </c:pt>
                <c:pt idx="8">
                  <c:v>37</c:v>
                </c:pt>
                <c:pt idx="9">
                  <c:v>78</c:v>
                </c:pt>
                <c:pt idx="10">
                  <c:v>69</c:v>
                </c:pt>
                <c:pt idx="11">
                  <c:v>71</c:v>
                </c:pt>
                <c:pt idx="12">
                  <c:v>64</c:v>
                </c:pt>
                <c:pt idx="13">
                  <c:v>38</c:v>
                </c:pt>
                <c:pt idx="14">
                  <c:v>44</c:v>
                </c:pt>
                <c:pt idx="15">
                  <c:v>52</c:v>
                </c:pt>
                <c:pt idx="16">
                  <c:v>57</c:v>
                </c:pt>
                <c:pt idx="17">
                  <c:v>34</c:v>
                </c:pt>
                <c:pt idx="18">
                  <c:v>96</c:v>
                </c:pt>
                <c:pt idx="19">
                  <c:v>54</c:v>
                </c:pt>
                <c:pt idx="20">
                  <c:v>39</c:v>
                </c:pt>
                <c:pt idx="21">
                  <c:v>59</c:v>
                </c:pt>
                <c:pt idx="22">
                  <c:v>58</c:v>
                </c:pt>
                <c:pt idx="23">
                  <c:v>52</c:v>
                </c:pt>
                <c:pt idx="24">
                  <c:v>72</c:v>
                </c:pt>
                <c:pt idx="25">
                  <c:v>96</c:v>
                </c:pt>
                <c:pt idx="26">
                  <c:v>67</c:v>
                </c:pt>
                <c:pt idx="27">
                  <c:v>80</c:v>
                </c:pt>
                <c:pt idx="28">
                  <c:v>93</c:v>
                </c:pt>
                <c:pt idx="29">
                  <c:v>57</c:v>
                </c:pt>
                <c:pt idx="30">
                  <c:v>35</c:v>
                </c:pt>
                <c:pt idx="31">
                  <c:v>63</c:v>
                </c:pt>
                <c:pt idx="32">
                  <c:v>31</c:v>
                </c:pt>
                <c:pt idx="33">
                  <c:v>85</c:v>
                </c:pt>
                <c:pt idx="34">
                  <c:v>96</c:v>
                </c:pt>
                <c:pt idx="35">
                  <c:v>35</c:v>
                </c:pt>
                <c:pt idx="36">
                  <c:v>97</c:v>
                </c:pt>
                <c:pt idx="37">
                  <c:v>48</c:v>
                </c:pt>
                <c:pt idx="38">
                  <c:v>33</c:v>
                </c:pt>
                <c:pt idx="39">
                  <c:v>39</c:v>
                </c:pt>
                <c:pt idx="40">
                  <c:v>65</c:v>
                </c:pt>
                <c:pt idx="41">
                  <c:v>97</c:v>
                </c:pt>
                <c:pt idx="42">
                  <c:v>38</c:v>
                </c:pt>
                <c:pt idx="43">
                  <c:v>76</c:v>
                </c:pt>
                <c:pt idx="44">
                  <c:v>56</c:v>
                </c:pt>
                <c:pt idx="45">
                  <c:v>100</c:v>
                </c:pt>
                <c:pt idx="46">
                  <c:v>71</c:v>
                </c:pt>
                <c:pt idx="47">
                  <c:v>67</c:v>
                </c:pt>
                <c:pt idx="48">
                  <c:v>68</c:v>
                </c:pt>
                <c:pt idx="49">
                  <c:v>84</c:v>
                </c:pt>
                <c:pt idx="50">
                  <c:v>47</c:v>
                </c:pt>
                <c:pt idx="51">
                  <c:v>43</c:v>
                </c:pt>
                <c:pt idx="52">
                  <c:v>79</c:v>
                </c:pt>
                <c:pt idx="53">
                  <c:v>77</c:v>
                </c:pt>
                <c:pt idx="54">
                  <c:v>78</c:v>
                </c:pt>
                <c:pt idx="55">
                  <c:v>68</c:v>
                </c:pt>
                <c:pt idx="56">
                  <c:v>63</c:v>
                </c:pt>
                <c:pt idx="57">
                  <c:v>88</c:v>
                </c:pt>
                <c:pt idx="58">
                  <c:v>100</c:v>
                </c:pt>
                <c:pt idx="59">
                  <c:v>87</c:v>
                </c:pt>
                <c:pt idx="60">
                  <c:v>60</c:v>
                </c:pt>
                <c:pt idx="61">
                  <c:v>35</c:v>
                </c:pt>
                <c:pt idx="62">
                  <c:v>60</c:v>
                </c:pt>
                <c:pt idx="63">
                  <c:v>36</c:v>
                </c:pt>
                <c:pt idx="64">
                  <c:v>42</c:v>
                </c:pt>
                <c:pt idx="65">
                  <c:v>84</c:v>
                </c:pt>
                <c:pt idx="66">
                  <c:v>87</c:v>
                </c:pt>
                <c:pt idx="67">
                  <c:v>98</c:v>
                </c:pt>
                <c:pt idx="68">
                  <c:v>44</c:v>
                </c:pt>
                <c:pt idx="69">
                  <c:v>37</c:v>
                </c:pt>
                <c:pt idx="70">
                  <c:v>65</c:v>
                </c:pt>
                <c:pt idx="71">
                  <c:v>44</c:v>
                </c:pt>
                <c:pt idx="72">
                  <c:v>33</c:v>
                </c:pt>
                <c:pt idx="73">
                  <c:v>77</c:v>
                </c:pt>
                <c:pt idx="74">
                  <c:v>94</c:v>
                </c:pt>
                <c:pt idx="75">
                  <c:v>86</c:v>
                </c:pt>
                <c:pt idx="76">
                  <c:v>87</c:v>
                </c:pt>
                <c:pt idx="77">
                  <c:v>88</c:v>
                </c:pt>
                <c:pt idx="78">
                  <c:v>58</c:v>
                </c:pt>
                <c:pt idx="79">
                  <c:v>44</c:v>
                </c:pt>
              </c:numCache>
            </c:numRef>
          </c:xVal>
          <c:yVal>
            <c:numRef>
              <c:f>Main!$C$2:$C$81</c:f>
              <c:numCache>
                <c:formatCode>General</c:formatCode>
                <c:ptCount val="80"/>
                <c:pt idx="0">
                  <c:v>3</c:v>
                </c:pt>
                <c:pt idx="1">
                  <c:v>4</c:v>
                </c:pt>
                <c:pt idx="2">
                  <c:v>1</c:v>
                </c:pt>
                <c:pt idx="3">
                  <c:v>3</c:v>
                </c:pt>
                <c:pt idx="4">
                  <c:v>7</c:v>
                </c:pt>
                <c:pt idx="5">
                  <c:v>2</c:v>
                </c:pt>
                <c:pt idx="6">
                  <c:v>3</c:v>
                </c:pt>
                <c:pt idx="7">
                  <c:v>2</c:v>
                </c:pt>
                <c:pt idx="8">
                  <c:v>7</c:v>
                </c:pt>
                <c:pt idx="9">
                  <c:v>5</c:v>
                </c:pt>
                <c:pt idx="10">
                  <c:v>3</c:v>
                </c:pt>
                <c:pt idx="11">
                  <c:v>4</c:v>
                </c:pt>
                <c:pt idx="12">
                  <c:v>10</c:v>
                </c:pt>
                <c:pt idx="13">
                  <c:v>9</c:v>
                </c:pt>
                <c:pt idx="14">
                  <c:v>8</c:v>
                </c:pt>
                <c:pt idx="15">
                  <c:v>8</c:v>
                </c:pt>
                <c:pt idx="16">
                  <c:v>3</c:v>
                </c:pt>
                <c:pt idx="17">
                  <c:v>8</c:v>
                </c:pt>
                <c:pt idx="18">
                  <c:v>4</c:v>
                </c:pt>
                <c:pt idx="19">
                  <c:v>8</c:v>
                </c:pt>
                <c:pt idx="20">
                  <c:v>9</c:v>
                </c:pt>
                <c:pt idx="21">
                  <c:v>10</c:v>
                </c:pt>
                <c:pt idx="22">
                  <c:v>4</c:v>
                </c:pt>
                <c:pt idx="23">
                  <c:v>4</c:v>
                </c:pt>
                <c:pt idx="24">
                  <c:v>8</c:v>
                </c:pt>
                <c:pt idx="25">
                  <c:v>2</c:v>
                </c:pt>
                <c:pt idx="26">
                  <c:v>3</c:v>
                </c:pt>
                <c:pt idx="27">
                  <c:v>10</c:v>
                </c:pt>
                <c:pt idx="28">
                  <c:v>5</c:v>
                </c:pt>
                <c:pt idx="29">
                  <c:v>6</c:v>
                </c:pt>
                <c:pt idx="30">
                  <c:v>5</c:v>
                </c:pt>
                <c:pt idx="31">
                  <c:v>1</c:v>
                </c:pt>
                <c:pt idx="32">
                  <c:v>9</c:v>
                </c:pt>
                <c:pt idx="33">
                  <c:v>8</c:v>
                </c:pt>
                <c:pt idx="34">
                  <c:v>6</c:v>
                </c:pt>
                <c:pt idx="35">
                  <c:v>10</c:v>
                </c:pt>
                <c:pt idx="36">
                  <c:v>2</c:v>
                </c:pt>
                <c:pt idx="37">
                  <c:v>6</c:v>
                </c:pt>
                <c:pt idx="38">
                  <c:v>3</c:v>
                </c:pt>
                <c:pt idx="39">
                  <c:v>7</c:v>
                </c:pt>
                <c:pt idx="40">
                  <c:v>2</c:v>
                </c:pt>
                <c:pt idx="41">
                  <c:v>5</c:v>
                </c:pt>
                <c:pt idx="42">
                  <c:v>2</c:v>
                </c:pt>
                <c:pt idx="43">
                  <c:v>5</c:v>
                </c:pt>
                <c:pt idx="44">
                  <c:v>8</c:v>
                </c:pt>
                <c:pt idx="45">
                  <c:v>2</c:v>
                </c:pt>
                <c:pt idx="46">
                  <c:v>5</c:v>
                </c:pt>
                <c:pt idx="47">
                  <c:v>4</c:v>
                </c:pt>
                <c:pt idx="48">
                  <c:v>9</c:v>
                </c:pt>
                <c:pt idx="49">
                  <c:v>4</c:v>
                </c:pt>
                <c:pt idx="50">
                  <c:v>1</c:v>
                </c:pt>
                <c:pt idx="51">
                  <c:v>5</c:v>
                </c:pt>
                <c:pt idx="52">
                  <c:v>10</c:v>
                </c:pt>
                <c:pt idx="53">
                  <c:v>9</c:v>
                </c:pt>
                <c:pt idx="54">
                  <c:v>9</c:v>
                </c:pt>
                <c:pt idx="55">
                  <c:v>10</c:v>
                </c:pt>
                <c:pt idx="56">
                  <c:v>2</c:v>
                </c:pt>
                <c:pt idx="57">
                  <c:v>2</c:v>
                </c:pt>
                <c:pt idx="58">
                  <c:v>4</c:v>
                </c:pt>
                <c:pt idx="59">
                  <c:v>2</c:v>
                </c:pt>
                <c:pt idx="60">
                  <c:v>5</c:v>
                </c:pt>
                <c:pt idx="61">
                  <c:v>9</c:v>
                </c:pt>
                <c:pt idx="62">
                  <c:v>2</c:v>
                </c:pt>
                <c:pt idx="63">
                  <c:v>9</c:v>
                </c:pt>
                <c:pt idx="64">
                  <c:v>5</c:v>
                </c:pt>
                <c:pt idx="65">
                  <c:v>10</c:v>
                </c:pt>
                <c:pt idx="66">
                  <c:v>7</c:v>
                </c:pt>
                <c:pt idx="67">
                  <c:v>10</c:v>
                </c:pt>
                <c:pt idx="68">
                  <c:v>5</c:v>
                </c:pt>
                <c:pt idx="69">
                  <c:v>8</c:v>
                </c:pt>
                <c:pt idx="70">
                  <c:v>8</c:v>
                </c:pt>
                <c:pt idx="71">
                  <c:v>5</c:v>
                </c:pt>
                <c:pt idx="72">
                  <c:v>10</c:v>
                </c:pt>
                <c:pt idx="73">
                  <c:v>5</c:v>
                </c:pt>
                <c:pt idx="74">
                  <c:v>4</c:v>
                </c:pt>
                <c:pt idx="75">
                  <c:v>3</c:v>
                </c:pt>
                <c:pt idx="76">
                  <c:v>9</c:v>
                </c:pt>
                <c:pt idx="77">
                  <c:v>2</c:v>
                </c:pt>
                <c:pt idx="78">
                  <c:v>3</c:v>
                </c:pt>
                <c:pt idx="79">
                  <c:v>5</c:v>
                </c:pt>
              </c:numCache>
            </c:numRef>
          </c:yVal>
          <c:smooth val="0"/>
          <c:extLst>
            <c:ext xmlns:c16="http://schemas.microsoft.com/office/drawing/2014/chart" uri="{C3380CC4-5D6E-409C-BE32-E72D297353CC}">
              <c16:uniqueId val="{0000000B-0C32-41B1-86E0-10CC8DA07A3D}"/>
            </c:ext>
          </c:extLst>
        </c:ser>
        <c:dLbls>
          <c:showLegendKey val="0"/>
          <c:showVal val="0"/>
          <c:showCatName val="0"/>
          <c:showSerName val="0"/>
          <c:showPercent val="0"/>
          <c:showBubbleSize val="0"/>
        </c:dLbls>
        <c:axId val="1718456111"/>
        <c:axId val="1718456591"/>
      </c:scatterChart>
      <c:valAx>
        <c:axId val="1718456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Study Hours/Day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6591"/>
        <c:crosses val="autoZero"/>
        <c:crossBetween val="midCat"/>
      </c:valAx>
      <c:valAx>
        <c:axId val="1718456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Exam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6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R-Squared with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trendline>
            <c:spPr>
              <a:ln w="19050" cap="rnd">
                <a:solidFill>
                  <a:schemeClr val="accent1"/>
                </a:solidFill>
                <a:prstDash val="sysDot"/>
              </a:ln>
              <a:effectLst/>
            </c:spPr>
            <c:trendlineType val="linear"/>
            <c:dispRSqr val="1"/>
            <c:dispEq val="0"/>
            <c:trendlineLbl>
              <c:layout>
                <c:manualLayout>
                  <c:x val="-3.0380577427811339E-4"/>
                  <c:y val="-0.287499999999999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val>
            <c:numRef>
              <c:f>Main!$B$2:$B$81</c:f>
              <c:numCache>
                <c:formatCode>General</c:formatCode>
                <c:ptCount val="80"/>
                <c:pt idx="0">
                  <c:v>88</c:v>
                </c:pt>
                <c:pt idx="1">
                  <c:v>39</c:v>
                </c:pt>
                <c:pt idx="2">
                  <c:v>37</c:v>
                </c:pt>
                <c:pt idx="3">
                  <c:v>88</c:v>
                </c:pt>
                <c:pt idx="4">
                  <c:v>54</c:v>
                </c:pt>
                <c:pt idx="5">
                  <c:v>87</c:v>
                </c:pt>
                <c:pt idx="6">
                  <c:v>84</c:v>
                </c:pt>
                <c:pt idx="7">
                  <c:v>80</c:v>
                </c:pt>
                <c:pt idx="8">
                  <c:v>37</c:v>
                </c:pt>
                <c:pt idx="9">
                  <c:v>78</c:v>
                </c:pt>
                <c:pt idx="10">
                  <c:v>69</c:v>
                </c:pt>
                <c:pt idx="11">
                  <c:v>71</c:v>
                </c:pt>
                <c:pt idx="12">
                  <c:v>64</c:v>
                </c:pt>
                <c:pt idx="13">
                  <c:v>38</c:v>
                </c:pt>
                <c:pt idx="14">
                  <c:v>44</c:v>
                </c:pt>
                <c:pt idx="15">
                  <c:v>52</c:v>
                </c:pt>
                <c:pt idx="16">
                  <c:v>57</c:v>
                </c:pt>
                <c:pt idx="17">
                  <c:v>34</c:v>
                </c:pt>
                <c:pt idx="18">
                  <c:v>96</c:v>
                </c:pt>
                <c:pt idx="19">
                  <c:v>54</c:v>
                </c:pt>
                <c:pt idx="20">
                  <c:v>39</c:v>
                </c:pt>
                <c:pt idx="21">
                  <c:v>59</c:v>
                </c:pt>
                <c:pt idx="22">
                  <c:v>58</c:v>
                </c:pt>
                <c:pt idx="23">
                  <c:v>52</c:v>
                </c:pt>
                <c:pt idx="24">
                  <c:v>72</c:v>
                </c:pt>
                <c:pt idx="25">
                  <c:v>96</c:v>
                </c:pt>
                <c:pt idx="26">
                  <c:v>67</c:v>
                </c:pt>
                <c:pt idx="27">
                  <c:v>80</c:v>
                </c:pt>
                <c:pt idx="28">
                  <c:v>93</c:v>
                </c:pt>
                <c:pt idx="29">
                  <c:v>57</c:v>
                </c:pt>
                <c:pt idx="30">
                  <c:v>35</c:v>
                </c:pt>
                <c:pt idx="31">
                  <c:v>63</c:v>
                </c:pt>
                <c:pt idx="32">
                  <c:v>31</c:v>
                </c:pt>
                <c:pt idx="33">
                  <c:v>85</c:v>
                </c:pt>
                <c:pt idx="34">
                  <c:v>96</c:v>
                </c:pt>
                <c:pt idx="35">
                  <c:v>35</c:v>
                </c:pt>
                <c:pt idx="36">
                  <c:v>97</c:v>
                </c:pt>
                <c:pt idx="37">
                  <c:v>48</c:v>
                </c:pt>
                <c:pt idx="38">
                  <c:v>33</c:v>
                </c:pt>
                <c:pt idx="39">
                  <c:v>39</c:v>
                </c:pt>
                <c:pt idx="40">
                  <c:v>65</c:v>
                </c:pt>
                <c:pt idx="41">
                  <c:v>97</c:v>
                </c:pt>
                <c:pt idx="42">
                  <c:v>38</c:v>
                </c:pt>
                <c:pt idx="43">
                  <c:v>76</c:v>
                </c:pt>
                <c:pt idx="44">
                  <c:v>56</c:v>
                </c:pt>
                <c:pt idx="45">
                  <c:v>100</c:v>
                </c:pt>
                <c:pt idx="46">
                  <c:v>71</c:v>
                </c:pt>
                <c:pt idx="47">
                  <c:v>67</c:v>
                </c:pt>
                <c:pt idx="48">
                  <c:v>68</c:v>
                </c:pt>
                <c:pt idx="49">
                  <c:v>84</c:v>
                </c:pt>
                <c:pt idx="50">
                  <c:v>47</c:v>
                </c:pt>
                <c:pt idx="51">
                  <c:v>43</c:v>
                </c:pt>
                <c:pt idx="52">
                  <c:v>79</c:v>
                </c:pt>
                <c:pt idx="53">
                  <c:v>77</c:v>
                </c:pt>
                <c:pt idx="54">
                  <c:v>78</c:v>
                </c:pt>
                <c:pt idx="55">
                  <c:v>68</c:v>
                </c:pt>
                <c:pt idx="56">
                  <c:v>63</c:v>
                </c:pt>
                <c:pt idx="57">
                  <c:v>88</c:v>
                </c:pt>
                <c:pt idx="58">
                  <c:v>100</c:v>
                </c:pt>
                <c:pt idx="59">
                  <c:v>87</c:v>
                </c:pt>
                <c:pt idx="60">
                  <c:v>60</c:v>
                </c:pt>
                <c:pt idx="61">
                  <c:v>35</c:v>
                </c:pt>
                <c:pt idx="62">
                  <c:v>60</c:v>
                </c:pt>
                <c:pt idx="63">
                  <c:v>36</c:v>
                </c:pt>
                <c:pt idx="64">
                  <c:v>42</c:v>
                </c:pt>
                <c:pt idx="65">
                  <c:v>84</c:v>
                </c:pt>
                <c:pt idx="66">
                  <c:v>87</c:v>
                </c:pt>
                <c:pt idx="67">
                  <c:v>98</c:v>
                </c:pt>
                <c:pt idx="68">
                  <c:v>44</c:v>
                </c:pt>
                <c:pt idx="69">
                  <c:v>37</c:v>
                </c:pt>
                <c:pt idx="70">
                  <c:v>65</c:v>
                </c:pt>
                <c:pt idx="71">
                  <c:v>44</c:v>
                </c:pt>
                <c:pt idx="72">
                  <c:v>33</c:v>
                </c:pt>
                <c:pt idx="73">
                  <c:v>77</c:v>
                </c:pt>
                <c:pt idx="74">
                  <c:v>94</c:v>
                </c:pt>
                <c:pt idx="75">
                  <c:v>86</c:v>
                </c:pt>
                <c:pt idx="76">
                  <c:v>87</c:v>
                </c:pt>
                <c:pt idx="77">
                  <c:v>88</c:v>
                </c:pt>
                <c:pt idx="78">
                  <c:v>58</c:v>
                </c:pt>
                <c:pt idx="79">
                  <c:v>44</c:v>
                </c:pt>
              </c:numCache>
            </c:numRef>
          </c:val>
          <c:extLst>
            <c:ext xmlns:c16="http://schemas.microsoft.com/office/drawing/2014/chart" uri="{C3380CC4-5D6E-409C-BE32-E72D297353CC}">
              <c16:uniqueId val="{00000002-5151-4A9B-B195-11860E9BC86F}"/>
            </c:ext>
          </c:extLst>
        </c:ser>
        <c:dLbls>
          <c:showLegendKey val="0"/>
          <c:showVal val="0"/>
          <c:showCatName val="0"/>
          <c:showSerName val="0"/>
          <c:showPercent val="0"/>
          <c:showBubbleSize val="0"/>
        </c:dLbls>
        <c:gapWidth val="219"/>
        <c:overlap val="-27"/>
        <c:axId val="1810881535"/>
        <c:axId val="1810880575"/>
      </c:barChart>
      <c:catAx>
        <c:axId val="18108815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880575"/>
        <c:crosses val="autoZero"/>
        <c:auto val="1"/>
        <c:lblAlgn val="ctr"/>
        <c:lblOffset val="100"/>
        <c:noMultiLvlLbl val="0"/>
      </c:catAx>
      <c:valAx>
        <c:axId val="181088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88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Score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3AB37116-6F72-4AC5-AC6D-366F3AF1EF24}">
          <cx:dataId val="0"/>
          <cx:layoutPr>
            <cx:binning intervalClosed="r">
              <cx:binCount val="12"/>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Score</a:t>
          </a:r>
        </a:p>
      </cx:txPr>
    </cx:title>
    <cx:plotArea>
      <cx:plotAreaRegion>
        <cx:series layoutId="boxWhisker" uniqueId="{B12243DC-4E3A-48CD-AF03-928B335BDF79}">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data id="2">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Feature Distribution Comparison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8FF40AD2-9A5B-46FA-99A2-1F0E7B88881E}">
          <cx:spPr>
            <a:solidFill>
              <a:schemeClr val="accent6">
                <a:lumMod val="75000"/>
              </a:schemeClr>
            </a:solidFill>
          </cx:spPr>
          <cx:dataId val="0"/>
          <cx:layoutPr>
            <cx:visibility meanLine="0" meanMarker="1" nonoutliers="0" outliers="1"/>
            <cx:statistics quartileMethod="exclusive"/>
          </cx:layoutPr>
        </cx:series>
        <cx:series layoutId="boxWhisker" uniqueId="{C9CCE0FB-06DB-43C5-A721-E4EEB819A87C}">
          <cx:spPr>
            <a:solidFill>
              <a:schemeClr val="accent5">
                <a:lumMod val="75000"/>
              </a:schemeClr>
            </a:solidFill>
          </cx:spPr>
          <cx:dataId val="1"/>
          <cx:layoutPr>
            <cx:visibility meanLine="0" meanMarker="1" nonoutliers="0" outliers="1"/>
            <cx:statistics quartileMethod="exclusive"/>
          </cx:layoutPr>
        </cx:series>
        <cx:series layoutId="boxWhisker" uniqueId="{FEB35EBD-5BC9-4D67-981C-5CBFB07298FA}">
          <cx:spPr>
            <a:solidFill>
              <a:schemeClr val="accent2">
                <a:lumMod val="75000"/>
              </a:schemeClr>
            </a:solidFill>
          </cx:spPr>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_xlchart.v1.5</cx:f>
      </cx:numDim>
    </cx:data>
    <cx:data id="2">
      <cx:numDim type="val">
        <cx:f>_xlchart.v1.6</cx:f>
      </cx:numDim>
    </cx:data>
  </cx:chartData>
  <cx:chart>
    <cx:title pos="t" align="ctr" overlay="0">
      <cx:tx>
        <cx:txData>
          <cx:v>Each Score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Each Score </a:t>
          </a:r>
        </a:p>
      </cx:txPr>
    </cx:title>
    <cx:plotArea>
      <cx:plotAreaRegion>
        <cx:series layoutId="boxWhisker" uniqueId="{2091E293-B1AF-4ED0-B471-211E43B92327}">
          <cx:dataId val="0"/>
          <cx:layoutPr>
            <cx:statistics quartileMethod="exclusive"/>
          </cx:layoutPr>
        </cx:series>
        <cx:series layoutId="boxWhisker" uniqueId="{65BABB72-AF58-4BA6-8A16-1F462BBB6601}">
          <cx:dataId val="1"/>
          <cx:layoutPr>
            <cx:statistics quartileMethod="exclusive"/>
          </cx:layoutPr>
        </cx:series>
        <cx:series layoutId="boxWhisker" uniqueId="{81BBB18B-13FB-4688-A814-8520135025BF}">
          <cx:dataId val="2"/>
          <cx:layoutPr>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Score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3AB37116-6F72-4AC5-AC6D-366F3AF1EF24}">
          <cx:dataId val="0"/>
          <cx:layoutPr>
            <cx:binning intervalClosed="r">
              <cx:binCount val="12"/>
            </cx:binning>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Score</a:t>
          </a:r>
        </a:p>
      </cx:txPr>
    </cx:title>
    <cx:plotArea>
      <cx:plotAreaRegion>
        <cx:series layoutId="boxWhisker" uniqueId="{B12243DC-4E3A-48CD-AF03-928B335BDF79}">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2.xml"/><Relationship Id="rId7" Type="http://schemas.microsoft.com/office/2014/relationships/chartEx" Target="../charts/chartEx4.xml"/><Relationship Id="rId2" Type="http://schemas.openxmlformats.org/officeDocument/2006/relationships/chart" Target="../charts/chart1.xml"/><Relationship Id="rId1" Type="http://schemas.microsoft.com/office/2014/relationships/chartEx" Target="../charts/chartEx1.xml"/><Relationship Id="rId6" Type="http://schemas.microsoft.com/office/2014/relationships/chartEx" Target="../charts/chartEx3.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microsoft.com/office/2014/relationships/chartEx" Target="../charts/chartEx6.xml"/><Relationship Id="rId2" Type="http://schemas.openxmlformats.org/officeDocument/2006/relationships/chart" Target="../charts/chart5.xml"/><Relationship Id="rId1" Type="http://schemas.microsoft.com/office/2014/relationships/chartEx" Target="../charts/chartEx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20</xdr:col>
      <xdr:colOff>365414</xdr:colOff>
      <xdr:row>0</xdr:row>
      <xdr:rowOff>0</xdr:rowOff>
    </xdr:from>
    <xdr:to>
      <xdr:col>29</xdr:col>
      <xdr:colOff>358486</xdr:colOff>
      <xdr:row>14</xdr:row>
      <xdr:rowOff>76200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51651B8-457B-444A-8491-A7938310AA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996314" y="0"/>
              <a:ext cx="5479472"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374939</xdr:colOff>
      <xdr:row>14</xdr:row>
      <xdr:rowOff>100012</xdr:rowOff>
    </xdr:from>
    <xdr:to>
      <xdr:col>29</xdr:col>
      <xdr:colOff>368011</xdr:colOff>
      <xdr:row>28</xdr:row>
      <xdr:rowOff>176212</xdr:rowOff>
    </xdr:to>
    <xdr:graphicFrame macro="">
      <xdr:nvGraphicFramePr>
        <xdr:cNvPr id="4" name="Chart 3">
          <a:extLst>
            <a:ext uri="{FF2B5EF4-FFF2-40B4-BE49-F238E27FC236}">
              <a16:creationId xmlns:a16="http://schemas.microsoft.com/office/drawing/2014/main" id="{B41297EE-F39A-56D4-08E3-CAA037F74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377536</xdr:colOff>
      <xdr:row>0</xdr:row>
      <xdr:rowOff>4762</xdr:rowOff>
    </xdr:from>
    <xdr:to>
      <xdr:col>37</xdr:col>
      <xdr:colOff>72735</xdr:colOff>
      <xdr:row>14</xdr:row>
      <xdr:rowOff>80962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C41F5467-60B2-7AEB-96EE-D69ABCD594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494836" y="4762"/>
              <a:ext cx="4571999"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971550</xdr:colOff>
      <xdr:row>82</xdr:row>
      <xdr:rowOff>4762</xdr:rowOff>
    </xdr:from>
    <xdr:to>
      <xdr:col>6</xdr:col>
      <xdr:colOff>0</xdr:colOff>
      <xdr:row>96</xdr:row>
      <xdr:rowOff>80962</xdr:rowOff>
    </xdr:to>
    <xdr:graphicFrame macro="">
      <xdr:nvGraphicFramePr>
        <xdr:cNvPr id="6" name="Chart 5">
          <a:extLst>
            <a:ext uri="{FF2B5EF4-FFF2-40B4-BE49-F238E27FC236}">
              <a16:creationId xmlns:a16="http://schemas.microsoft.com/office/drawing/2014/main" id="{150C8336-CD87-A2F9-785C-F7CC983FC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387061</xdr:colOff>
      <xdr:row>14</xdr:row>
      <xdr:rowOff>119062</xdr:rowOff>
    </xdr:from>
    <xdr:to>
      <xdr:col>37</xdr:col>
      <xdr:colOff>82260</xdr:colOff>
      <xdr:row>29</xdr:row>
      <xdr:rowOff>4762</xdr:rowOff>
    </xdr:to>
    <xdr:graphicFrame macro="">
      <xdr:nvGraphicFramePr>
        <xdr:cNvPr id="7" name="Chart 6">
          <a:extLst>
            <a:ext uri="{FF2B5EF4-FFF2-40B4-BE49-F238E27FC236}">
              <a16:creationId xmlns:a16="http://schemas.microsoft.com/office/drawing/2014/main" id="{87D9D993-6E6C-1299-11B6-4B0AC5788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371475</xdr:colOff>
      <xdr:row>29</xdr:row>
      <xdr:rowOff>23812</xdr:rowOff>
    </xdr:from>
    <xdr:to>
      <xdr:col>27</xdr:col>
      <xdr:colOff>223838</xdr:colOff>
      <xdr:row>43</xdr:row>
      <xdr:rowOff>100012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E6C33A3-BF71-07BE-2A19-ED11D0CAF1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002375" y="5548312"/>
              <a:ext cx="4119563"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20731</xdr:colOff>
      <xdr:row>0</xdr:row>
      <xdr:rowOff>0</xdr:rowOff>
    </xdr:from>
    <xdr:to>
      <xdr:col>20</xdr:col>
      <xdr:colOff>403412</xdr:colOff>
      <xdr:row>14</xdr:row>
      <xdr:rowOff>76200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B52EEB33-E923-2AF4-6396-F4E0337E47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889131" y="0"/>
              <a:ext cx="5145181"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720587</xdr:colOff>
      <xdr:row>42</xdr:row>
      <xdr:rowOff>44727</xdr:rowOff>
    </xdr:from>
    <xdr:to>
      <xdr:col>15</xdr:col>
      <xdr:colOff>182217</xdr:colOff>
      <xdr:row>56</xdr:row>
      <xdr:rowOff>120927</xdr:rowOff>
    </xdr:to>
    <xdr:graphicFrame macro="">
      <xdr:nvGraphicFramePr>
        <xdr:cNvPr id="2" name="Chart 1">
          <a:extLst>
            <a:ext uri="{FF2B5EF4-FFF2-40B4-BE49-F238E27FC236}">
              <a16:creationId xmlns:a16="http://schemas.microsoft.com/office/drawing/2014/main" id="{3096C050-BF8B-9DA6-4C9A-989D57C4F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13</xdr:col>
      <xdr:colOff>381000</xdr:colOff>
      <xdr:row>16</xdr:row>
      <xdr:rowOff>0</xdr:rowOff>
    </xdr:from>
    <xdr:to>
      <xdr:col>16</xdr:col>
      <xdr:colOff>447675</xdr:colOff>
      <xdr:row>29</xdr:row>
      <xdr:rowOff>47625</xdr:rowOff>
    </xdr:to>
    <mc:AlternateContent xmlns:mc="http://schemas.openxmlformats.org/markup-compatibility/2006">
      <mc:Choice xmlns:sle15="http://schemas.microsoft.com/office/drawing/2012/slicer" Requires="sle15">
        <xdr:graphicFrame macro="">
          <xdr:nvGraphicFramePr>
            <xdr:cNvPr id="8" name="Department">
              <a:extLst>
                <a:ext uri="{FF2B5EF4-FFF2-40B4-BE49-F238E27FC236}">
                  <a16:creationId xmlns:a16="http://schemas.microsoft.com/office/drawing/2014/main" id="{AB236F04-A630-3D2C-8A9F-5C7F6D8599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249400" y="3048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408215</xdr:colOff>
      <xdr:row>4</xdr:row>
      <xdr:rowOff>32656</xdr:rowOff>
    </xdr:from>
    <xdr:to>
      <xdr:col>10</xdr:col>
      <xdr:colOff>441965</xdr:colOff>
      <xdr:row>18</xdr:row>
      <xdr:rowOff>137656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DADD1BA-1BCC-471D-AAFB-8EEE01ADE0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21679" y="1039585"/>
              <a:ext cx="4320000" cy="2772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55789</xdr:colOff>
      <xdr:row>4</xdr:row>
      <xdr:rowOff>34698</xdr:rowOff>
    </xdr:from>
    <xdr:to>
      <xdr:col>12</xdr:col>
      <xdr:colOff>3763468</xdr:colOff>
      <xdr:row>18</xdr:row>
      <xdr:rowOff>139698</xdr:rowOff>
    </xdr:to>
    <xdr:graphicFrame macro="">
      <xdr:nvGraphicFramePr>
        <xdr:cNvPr id="3" name="Chart 2">
          <a:extLst>
            <a:ext uri="{FF2B5EF4-FFF2-40B4-BE49-F238E27FC236}">
              <a16:creationId xmlns:a16="http://schemas.microsoft.com/office/drawing/2014/main" id="{9C68A335-D38D-4868-BCF3-837ECF171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404132</xdr:colOff>
      <xdr:row>19</xdr:row>
      <xdr:rowOff>23813</xdr:rowOff>
    </xdr:from>
    <xdr:to>
      <xdr:col>10</xdr:col>
      <xdr:colOff>437882</xdr:colOff>
      <xdr:row>33</xdr:row>
      <xdr:rowOff>128813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2D9A9F1-8B12-43AE-BA38-762A38CE59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717596" y="3888242"/>
              <a:ext cx="4320000" cy="2772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601311</xdr:colOff>
      <xdr:row>19</xdr:row>
      <xdr:rowOff>110898</xdr:rowOff>
    </xdr:from>
    <xdr:to>
      <xdr:col>12</xdr:col>
      <xdr:colOff>3696668</xdr:colOff>
      <xdr:row>34</xdr:row>
      <xdr:rowOff>25398</xdr:rowOff>
    </xdr:to>
    <xdr:graphicFrame macro="">
      <xdr:nvGraphicFramePr>
        <xdr:cNvPr id="5" name="Chart 4">
          <a:extLst>
            <a:ext uri="{FF2B5EF4-FFF2-40B4-BE49-F238E27FC236}">
              <a16:creationId xmlns:a16="http://schemas.microsoft.com/office/drawing/2014/main" id="{D72310EF-6D3C-4A63-882E-4B67BA843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9525</xdr:colOff>
      <xdr:row>7</xdr:row>
      <xdr:rowOff>9525</xdr:rowOff>
    </xdr:from>
    <xdr:to>
      <xdr:col>1</xdr:col>
      <xdr:colOff>19050</xdr:colOff>
      <xdr:row>20</xdr:row>
      <xdr:rowOff>57150</xdr:rowOff>
    </xdr:to>
    <mc:AlternateContent xmlns:mc="http://schemas.openxmlformats.org/markup-compatibility/2006">
      <mc:Choice xmlns:sle15="http://schemas.microsoft.com/office/drawing/2012/slicer" Requires="sle15">
        <xdr:graphicFrame macro="">
          <xdr:nvGraphicFramePr>
            <xdr:cNvPr id="6" name="Department 1">
              <a:extLst>
                <a:ext uri="{FF2B5EF4-FFF2-40B4-BE49-F238E27FC236}">
                  <a16:creationId xmlns:a16="http://schemas.microsoft.com/office/drawing/2014/main" id="{5E89B813-BC79-4218-A33A-44FF4579D8E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525" y="1581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E005570-2181-46FC-91DE-3968418C6650}" sourceName="Department">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68C2BD1-FDEE-4A7C-9B26-BC9DAE2FB973}"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C6DFE6F-31D7-4847-894E-D37DEF669DD3}"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FE4440-9EEA-484B-887C-FBF17C289D92}" name="EDAData" displayName="EDAData" ref="A1:I81" totalsRowShown="0" headerRowDxfId="22" dataDxfId="21">
  <autoFilter ref="A1:I81" xr:uid="{57FE4440-9EEA-484B-887C-FBF17C289D92}"/>
  <sortState xmlns:xlrd2="http://schemas.microsoft.com/office/spreadsheetml/2017/richdata2" ref="A2:I81">
    <sortCondition ref="A1:A81"/>
  </sortState>
  <tableColumns count="9">
    <tableColumn id="1" xr3:uid="{AFAA37A5-AC25-44A8-AB7D-4BF81D2539B5}" name="StudentID" dataDxfId="20"/>
    <tableColumn id="2" xr3:uid="{F433243B-AC4D-4CC3-9386-4FD52F68D99B}" name="Score" dataDxfId="19"/>
    <tableColumn id="3" xr3:uid="{6A269EF7-78A1-4041-AA77-DA10B55702A5}" name="StudyHours" dataDxfId="18"/>
    <tableColumn id="4" xr3:uid="{09D9385D-C781-4BFB-B43F-59078AAA03CC}" name="Attendance" dataDxfId="17"/>
    <tableColumn id="5" xr3:uid="{DB755998-FE09-41D2-BC58-97592A5B0CD9}" name="Income" dataDxfId="16"/>
    <tableColumn id="6" xr3:uid="{6EDCCFDF-BE75-41F7-8D1D-0BC022A9693F}" name="Department" dataDxfId="15"/>
    <tableColumn id="9" xr3:uid="{40F601B0-247A-4588-BBD8-DFA4D89DB14A}" name="Outlier_Score" dataDxfId="14">
      <calculatedColumnFormula>IF(OR(EDAData[[#This Row],[Score]]&lt;$R$44, EDAData[[#This Row],[Score]]&gt;$R$45), "OUTLIER", "Normal")</calculatedColumnFormula>
    </tableColumn>
    <tableColumn id="12" xr3:uid="{6201B287-EE55-4654-A2C8-F3CDAFD5ABFB}" name="Outlier_Income" dataDxfId="13">
      <calculatedColumnFormula>IF(OR(EDAData[[#This Row],[Income]]&lt;$Q$44, EDAData[[#This Row],[Income]]&gt;$Q$45), "OUTLIER", "Normal")</calculatedColumnFormula>
    </tableColumn>
    <tableColumn id="11" xr3:uid="{F5AB0DB8-0384-4D01-B762-2312DC99CE9D}" name="Multi_Outlier" dataDxfId="12">
      <calculatedColumnFormula>IF(AND(EDAData[[#This Row],[Outlier_Score]]="Outlier",EDAData[[#This Row],[Outlier_Income]]="Outlier"),"Both",IF(AND(EDAData[[#This Row],[Outlier_Score]]="Normal",EDAData[[#This Row],[Outlier_Income]]="Normal"),"None","Single"))</calculatedColumnFormula>
    </tableColumn>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010AB2-3E5A-49FA-9CCC-E3A542597F7A}" name="FeaturePredictivePower" displayName="FeaturePredictivePower" ref="K39:L42" totalsRowShown="0" headerRowDxfId="11" dataDxfId="9" headerRowBorderDxfId="10" tableBorderDxfId="8" totalsRowBorderDxfId="7">
  <autoFilter ref="K39:L42" xr:uid="{0B010AB2-3E5A-49FA-9CCC-E3A542597F7A}"/>
  <sortState xmlns:xlrd2="http://schemas.microsoft.com/office/spreadsheetml/2017/richdata2" ref="K40:L42">
    <sortCondition descending="1" ref="L39:L42"/>
  </sortState>
  <tableColumns count="2">
    <tableColumn id="1" xr3:uid="{E62E2558-D6C1-4476-ABBB-EA6C69763C75}" name="Feature Name" dataDxfId="6"/>
    <tableColumn id="2" xr3:uid="{30167477-5529-4CF3-B5B5-903B4A760C72}" name="R2 value with Score" dataDxfId="5"/>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7F387-9488-4A9A-A34A-7B03576D9106}">
  <dimension ref="A1:R85"/>
  <sheetViews>
    <sheetView zoomScaleNormal="100" workbookViewId="0">
      <selection activeCell="B12" sqref="B12"/>
    </sheetView>
  </sheetViews>
  <sheetFormatPr defaultRowHeight="15" x14ac:dyDescent="0.25"/>
  <cols>
    <col min="1" max="1" width="14.85546875" style="6" bestFit="1" customWidth="1"/>
    <col min="2" max="2" width="10.85546875" style="6" bestFit="1" customWidth="1"/>
    <col min="3" max="4" width="16.28515625" style="6" bestFit="1" customWidth="1"/>
    <col min="5" max="5" width="13.28515625" style="6" bestFit="1" customWidth="1"/>
    <col min="6" max="6" width="16.7109375" style="6" bestFit="1" customWidth="1"/>
    <col min="7" max="7" width="18.140625" style="6" bestFit="1" customWidth="1"/>
    <col min="8" max="8" width="19.85546875" style="6" bestFit="1" customWidth="1"/>
    <col min="9" max="9" width="18.28515625" style="6" bestFit="1" customWidth="1"/>
    <col min="10" max="10" width="11" style="6" customWidth="1"/>
    <col min="11" max="11" width="18.28515625" style="6" bestFit="1" customWidth="1"/>
    <col min="12" max="12" width="23" style="6" bestFit="1" customWidth="1"/>
    <col min="13" max="13" width="11.140625" style="6" bestFit="1" customWidth="1"/>
    <col min="14" max="14" width="11.28515625" style="6" bestFit="1" customWidth="1"/>
    <col min="15" max="15" width="7.5703125" style="6" bestFit="1" customWidth="1"/>
    <col min="16" max="16" width="7.5703125" style="6" customWidth="1"/>
    <col min="17" max="17" width="14.42578125" style="6" bestFit="1" customWidth="1"/>
    <col min="18" max="18" width="12.28515625" style="6" bestFit="1" customWidth="1"/>
    <col min="19" max="16384" width="9.140625" style="6"/>
  </cols>
  <sheetData>
    <row r="1" spans="1:13" s="1" customFormat="1" x14ac:dyDescent="0.25">
      <c r="A1" s="5" t="s">
        <v>1</v>
      </c>
      <c r="B1" s="1" t="s">
        <v>8</v>
      </c>
      <c r="C1" s="1" t="s">
        <v>2</v>
      </c>
      <c r="D1" s="1" t="s">
        <v>3</v>
      </c>
      <c r="E1" s="1" t="s">
        <v>4</v>
      </c>
      <c r="F1" s="1" t="s">
        <v>0</v>
      </c>
      <c r="G1" s="1" t="s">
        <v>14</v>
      </c>
      <c r="H1" s="1" t="s">
        <v>16</v>
      </c>
      <c r="I1" s="1" t="s">
        <v>15</v>
      </c>
      <c r="K1" s="2" t="s">
        <v>11</v>
      </c>
      <c r="L1" s="2" t="s">
        <v>12</v>
      </c>
      <c r="M1" s="2" t="s">
        <v>13</v>
      </c>
    </row>
    <row r="2" spans="1:13" x14ac:dyDescent="0.25">
      <c r="A2" s="6">
        <v>501</v>
      </c>
      <c r="B2" s="6">
        <v>88</v>
      </c>
      <c r="C2" s="6">
        <v>3</v>
      </c>
      <c r="D2" s="7">
        <v>0.8</v>
      </c>
      <c r="E2" s="8">
        <v>147059</v>
      </c>
      <c r="F2" s="6" t="s">
        <v>5</v>
      </c>
      <c r="G2" s="6" t="str">
        <f>IF(OR(EDAData[[#This Row],[Score]]&lt;$R$44, EDAData[[#This Row],[Score]]&gt;$R$45), "OUTLIER", "Normal")</f>
        <v>Normal</v>
      </c>
      <c r="H2" s="6" t="str">
        <f>IF(OR(EDAData[[#This Row],[Income]]&lt;$Q$44, EDAData[[#This Row],[Income]]&gt;$Q$45), "OUTLIER", "Normal")</f>
        <v>Normal</v>
      </c>
      <c r="I2" s="4" t="str">
        <f>IF(AND(EDAData[[#This Row],[Outlier_Score]]="Outlier",EDAData[[#This Row],[Outlier_Income]]="Outlier"),"Both",IF(AND(EDAData[[#This Row],[Outlier_Score]]="Normal",EDAData[[#This Row],[Outlier_Income]]="Normal"),"None","Single"))</f>
        <v>None</v>
      </c>
      <c r="K2" s="6" cm="1">
        <f t="array" ref="K2:K29">_xlfn._xlws.FILTER(EDAData[Score],EDAData[Department]="Engineer")</f>
        <v>54</v>
      </c>
      <c r="L2" s="6" cm="1">
        <f t="array" ref="L2:L25">_xlfn._xlws.FILTER(EDAData[Score],EDAData[Department]="Finance")</f>
        <v>39</v>
      </c>
      <c r="M2" s="6" cm="1">
        <f t="array" ref="M2:M29">_xlfn._xlws.FILTER(EDAData[Score],EDAData[Department]="Scientist")</f>
        <v>88</v>
      </c>
    </row>
    <row r="3" spans="1:13" x14ac:dyDescent="0.25">
      <c r="A3" s="6">
        <v>502</v>
      </c>
      <c r="B3" s="6">
        <v>39</v>
      </c>
      <c r="C3" s="6">
        <v>4</v>
      </c>
      <c r="D3" s="7">
        <v>0.67</v>
      </c>
      <c r="E3" s="8">
        <v>131465</v>
      </c>
      <c r="F3" s="6" t="s">
        <v>6</v>
      </c>
      <c r="G3" s="6" t="str">
        <f>IF(OR(EDAData[[#This Row],[Score]]&lt;$R$44, EDAData[[#This Row],[Score]]&gt;$R$45), "OUTLIER", "Normal")</f>
        <v>Normal</v>
      </c>
      <c r="H3" s="6" t="str">
        <f>IF(OR(EDAData[[#This Row],[Income]]&lt;$Q$44, EDAData[[#This Row],[Income]]&gt;$Q$45), "OUTLIER", "Normal")</f>
        <v>Normal</v>
      </c>
      <c r="I3" s="4" t="str">
        <f>IF(AND(EDAData[[#This Row],[Outlier_Score]]="Outlier",EDAData[[#This Row],[Outlier_Income]]="Outlier"),"Both",IF(AND(EDAData[[#This Row],[Outlier_Score]]="Normal",EDAData[[#This Row],[Outlier_Income]]="Normal"),"None","Single"))</f>
        <v>None</v>
      </c>
      <c r="K3" s="6">
        <v>64</v>
      </c>
      <c r="L3" s="6">
        <v>88</v>
      </c>
      <c r="M3" s="6">
        <v>37</v>
      </c>
    </row>
    <row r="4" spans="1:13" x14ac:dyDescent="0.25">
      <c r="A4" s="6">
        <v>503</v>
      </c>
      <c r="B4" s="6">
        <v>37</v>
      </c>
      <c r="C4" s="6">
        <v>1</v>
      </c>
      <c r="D4" s="7">
        <v>0.83</v>
      </c>
      <c r="E4" s="8">
        <v>117595</v>
      </c>
      <c r="F4" s="6" t="s">
        <v>5</v>
      </c>
      <c r="G4" s="6" t="str">
        <f>IF(OR(EDAData[[#This Row],[Score]]&lt;$R$44, EDAData[[#This Row],[Score]]&gt;$R$45), "OUTLIER", "Normal")</f>
        <v>Normal</v>
      </c>
      <c r="H4" s="6" t="str">
        <f>IF(OR(EDAData[[#This Row],[Income]]&lt;$Q$44, EDAData[[#This Row],[Income]]&gt;$Q$45), "OUTLIER", "Normal")</f>
        <v>Normal</v>
      </c>
      <c r="I4" s="4" t="str">
        <f>IF(AND(EDAData[[#This Row],[Outlier_Score]]="Outlier",EDAData[[#This Row],[Outlier_Income]]="Outlier"),"Both",IF(AND(EDAData[[#This Row],[Outlier_Score]]="Normal",EDAData[[#This Row],[Outlier_Income]]="Normal"),"None","Single"))</f>
        <v>None</v>
      </c>
      <c r="K4" s="6">
        <v>38</v>
      </c>
      <c r="L4" s="6">
        <v>37</v>
      </c>
      <c r="M4" s="6">
        <v>87</v>
      </c>
    </row>
    <row r="5" spans="1:13" x14ac:dyDescent="0.25">
      <c r="A5" s="6">
        <v>504</v>
      </c>
      <c r="B5" s="6">
        <v>88</v>
      </c>
      <c r="C5" s="6">
        <v>3</v>
      </c>
      <c r="D5" s="7">
        <v>0.74</v>
      </c>
      <c r="E5" s="8">
        <v>141555</v>
      </c>
      <c r="F5" s="6" t="s">
        <v>6</v>
      </c>
      <c r="G5" s="6" t="str">
        <f>IF(OR(EDAData[[#This Row],[Score]]&lt;$R$44, EDAData[[#This Row],[Score]]&gt;$R$45), "OUTLIER", "Normal")</f>
        <v>Normal</v>
      </c>
      <c r="H5" s="6" t="str">
        <f>IF(OR(EDAData[[#This Row],[Income]]&lt;$Q$44, EDAData[[#This Row],[Income]]&gt;$Q$45), "OUTLIER", "Normal")</f>
        <v>Normal</v>
      </c>
      <c r="I5" s="4" t="str">
        <f>IF(AND(EDAData[[#This Row],[Outlier_Score]]="Outlier",EDAData[[#This Row],[Outlier_Income]]="Outlier"),"Both",IF(AND(EDAData[[#This Row],[Outlier_Score]]="Normal",EDAData[[#This Row],[Outlier_Income]]="Normal"),"None","Single"))</f>
        <v>None</v>
      </c>
      <c r="K5" s="6">
        <v>52</v>
      </c>
      <c r="L5" s="6">
        <v>78</v>
      </c>
      <c r="M5" s="6">
        <v>84</v>
      </c>
    </row>
    <row r="6" spans="1:13" x14ac:dyDescent="0.25">
      <c r="A6" s="6">
        <v>505</v>
      </c>
      <c r="B6" s="6">
        <v>54</v>
      </c>
      <c r="C6" s="6">
        <v>7</v>
      </c>
      <c r="D6" s="7">
        <v>0.57999999999999996</v>
      </c>
      <c r="E6" s="8">
        <v>109573</v>
      </c>
      <c r="F6" s="6" t="s">
        <v>7</v>
      </c>
      <c r="G6" s="6" t="str">
        <f>IF(OR(EDAData[[#This Row],[Score]]&lt;$R$44, EDAData[[#This Row],[Score]]&gt;$R$45), "OUTLIER", "Normal")</f>
        <v>Normal</v>
      </c>
      <c r="H6" s="6" t="str">
        <f>IF(OR(EDAData[[#This Row],[Income]]&lt;$Q$44, EDAData[[#This Row],[Income]]&gt;$Q$45), "OUTLIER", "Normal")</f>
        <v>Normal</v>
      </c>
      <c r="I6" s="4" t="str">
        <f>IF(AND(EDAData[[#This Row],[Outlier_Score]]="Outlier",EDAData[[#This Row],[Outlier_Income]]="Outlier"),"Both",IF(AND(EDAData[[#This Row],[Outlier_Score]]="Normal",EDAData[[#This Row],[Outlier_Income]]="Normal"),"None","Single"))</f>
        <v>None</v>
      </c>
      <c r="K6" s="6">
        <v>57</v>
      </c>
      <c r="L6" s="6">
        <v>71</v>
      </c>
      <c r="M6" s="6">
        <v>80</v>
      </c>
    </row>
    <row r="7" spans="1:13" x14ac:dyDescent="0.25">
      <c r="A7" s="6">
        <v>506</v>
      </c>
      <c r="B7" s="6">
        <v>87</v>
      </c>
      <c r="C7" s="6">
        <v>2</v>
      </c>
      <c r="D7" s="7">
        <v>0.85</v>
      </c>
      <c r="E7" s="8">
        <v>108070</v>
      </c>
      <c r="F7" s="6" t="s">
        <v>5</v>
      </c>
      <c r="G7" s="6" t="str">
        <f>IF(OR(EDAData[[#This Row],[Score]]&lt;$R$44, EDAData[[#This Row],[Score]]&gt;$R$45), "OUTLIER", "Normal")</f>
        <v>Normal</v>
      </c>
      <c r="H7" s="6" t="str">
        <f>IF(OR(EDAData[[#This Row],[Income]]&lt;$Q$44, EDAData[[#This Row],[Income]]&gt;$Q$45), "OUTLIER", "Normal")</f>
        <v>Normal</v>
      </c>
      <c r="I7" s="4" t="str">
        <f>IF(AND(EDAData[[#This Row],[Outlier_Score]]="Outlier",EDAData[[#This Row],[Outlier_Income]]="Outlier"),"Both",IF(AND(EDAData[[#This Row],[Outlier_Score]]="Normal",EDAData[[#This Row],[Outlier_Income]]="Normal"),"None","Single"))</f>
        <v>None</v>
      </c>
      <c r="K7" s="6">
        <v>54</v>
      </c>
      <c r="L7" s="6">
        <v>96</v>
      </c>
      <c r="M7" s="6">
        <v>69</v>
      </c>
    </row>
    <row r="8" spans="1:13" x14ac:dyDescent="0.25">
      <c r="A8" s="6">
        <v>507</v>
      </c>
      <c r="B8" s="6">
        <v>84</v>
      </c>
      <c r="C8" s="6">
        <v>3</v>
      </c>
      <c r="D8" s="7">
        <v>0.54</v>
      </c>
      <c r="E8" s="8">
        <v>107060</v>
      </c>
      <c r="F8" s="6" t="s">
        <v>5</v>
      </c>
      <c r="G8" s="6" t="str">
        <f>IF(OR(EDAData[[#This Row],[Score]]&lt;$R$44, EDAData[[#This Row],[Score]]&gt;$R$45), "OUTLIER", "Normal")</f>
        <v>Normal</v>
      </c>
      <c r="H8" s="6" t="str">
        <f>IF(OR(EDAData[[#This Row],[Income]]&lt;$Q$44, EDAData[[#This Row],[Income]]&gt;$Q$45), "OUTLIER", "Normal")</f>
        <v>Normal</v>
      </c>
      <c r="I8" s="4" t="str">
        <f>IF(AND(EDAData[[#This Row],[Outlier_Score]]="Outlier",EDAData[[#This Row],[Outlier_Income]]="Outlier"),"Both",IF(AND(EDAData[[#This Row],[Outlier_Score]]="Normal",EDAData[[#This Row],[Outlier_Income]]="Normal"),"None","Single"))</f>
        <v>None</v>
      </c>
      <c r="K8" s="6">
        <v>67</v>
      </c>
      <c r="L8" s="6">
        <v>39</v>
      </c>
      <c r="M8" s="6">
        <v>44</v>
      </c>
    </row>
    <row r="9" spans="1:13" x14ac:dyDescent="0.25">
      <c r="A9" s="6">
        <v>508</v>
      </c>
      <c r="B9" s="6">
        <v>80</v>
      </c>
      <c r="C9" s="6">
        <v>2</v>
      </c>
      <c r="D9" s="7">
        <v>0.52</v>
      </c>
      <c r="E9" s="8">
        <v>122928</v>
      </c>
      <c r="F9" s="6" t="s">
        <v>5</v>
      </c>
      <c r="G9" s="6" t="str">
        <f>IF(OR(EDAData[[#This Row],[Score]]&lt;$R$44, EDAData[[#This Row],[Score]]&gt;$R$45), "OUTLIER", "Normal")</f>
        <v>Normal</v>
      </c>
      <c r="H9" s="6" t="str">
        <f>IF(OR(EDAData[[#This Row],[Income]]&lt;$Q$44, EDAData[[#This Row],[Income]]&gt;$Q$45), "OUTLIER", "Normal")</f>
        <v>Normal</v>
      </c>
      <c r="I9" s="4" t="str">
        <f>IF(AND(EDAData[[#This Row],[Outlier_Score]]="Outlier",EDAData[[#This Row],[Outlier_Income]]="Outlier"),"Both",IF(AND(EDAData[[#This Row],[Outlier_Score]]="Normal",EDAData[[#This Row],[Outlier_Income]]="Normal"),"None","Single"))</f>
        <v>None</v>
      </c>
      <c r="K9" s="6">
        <v>63</v>
      </c>
      <c r="L9" s="6">
        <v>58</v>
      </c>
      <c r="M9" s="6">
        <v>34</v>
      </c>
    </row>
    <row r="10" spans="1:13" x14ac:dyDescent="0.25">
      <c r="A10" s="6">
        <v>509</v>
      </c>
      <c r="B10" s="6">
        <v>37</v>
      </c>
      <c r="C10" s="6">
        <v>7</v>
      </c>
      <c r="D10" s="7">
        <v>0.54</v>
      </c>
      <c r="E10" s="8">
        <v>148371</v>
      </c>
      <c r="F10" s="6" t="s">
        <v>6</v>
      </c>
      <c r="G10" s="6" t="str">
        <f>IF(OR(EDAData[[#This Row],[Score]]&lt;$R$44, EDAData[[#This Row],[Score]]&gt;$R$45), "OUTLIER", "Normal")</f>
        <v>Normal</v>
      </c>
      <c r="H10" s="6" t="str">
        <f>IF(OR(EDAData[[#This Row],[Income]]&lt;$Q$44, EDAData[[#This Row],[Income]]&gt;$Q$45), "OUTLIER", "Normal")</f>
        <v>Normal</v>
      </c>
      <c r="I10" s="4" t="str">
        <f>IF(AND(EDAData[[#This Row],[Outlier_Score]]="Outlier",EDAData[[#This Row],[Outlier_Income]]="Outlier"),"Both",IF(AND(EDAData[[#This Row],[Outlier_Score]]="Normal",EDAData[[#This Row],[Outlier_Income]]="Normal"),"None","Single"))</f>
        <v>None</v>
      </c>
      <c r="K10" s="6">
        <v>85</v>
      </c>
      <c r="L10" s="6">
        <v>52</v>
      </c>
      <c r="M10" s="6">
        <v>59</v>
      </c>
    </row>
    <row r="11" spans="1:13" x14ac:dyDescent="0.25">
      <c r="A11" s="6">
        <v>510</v>
      </c>
      <c r="B11" s="6">
        <v>78</v>
      </c>
      <c r="C11" s="6">
        <v>5</v>
      </c>
      <c r="D11" s="7">
        <v>0.73</v>
      </c>
      <c r="E11" s="8">
        <v>128344</v>
      </c>
      <c r="F11" s="6" t="s">
        <v>6</v>
      </c>
      <c r="G11" s="6" t="str">
        <f>IF(OR(EDAData[[#This Row],[Score]]&lt;$R$44, EDAData[[#This Row],[Score]]&gt;$R$45), "OUTLIER", "Normal")</f>
        <v>Normal</v>
      </c>
      <c r="H11" s="6" t="str">
        <f>IF(OR(EDAData[[#This Row],[Income]]&lt;$Q$44, EDAData[[#This Row],[Income]]&gt;$Q$45), "OUTLIER", "Normal")</f>
        <v>Normal</v>
      </c>
      <c r="I11" s="4" t="str">
        <f>IF(AND(EDAData[[#This Row],[Outlier_Score]]="Outlier",EDAData[[#This Row],[Outlier_Income]]="Outlier"),"Both",IF(AND(EDAData[[#This Row],[Outlier_Score]]="Normal",EDAData[[#This Row],[Outlier_Income]]="Normal"),"None","Single"))</f>
        <v>None</v>
      </c>
      <c r="K11" s="6">
        <v>35</v>
      </c>
      <c r="L11" s="6">
        <v>72</v>
      </c>
      <c r="M11" s="6">
        <v>80</v>
      </c>
    </row>
    <row r="12" spans="1:13" x14ac:dyDescent="0.25">
      <c r="A12" s="6">
        <v>511</v>
      </c>
      <c r="B12" s="6">
        <v>69</v>
      </c>
      <c r="C12" s="6">
        <v>3</v>
      </c>
      <c r="D12" s="7">
        <v>0.51</v>
      </c>
      <c r="E12" s="8">
        <v>141641</v>
      </c>
      <c r="F12" s="6" t="s">
        <v>5</v>
      </c>
      <c r="G12" s="6" t="str">
        <f>IF(OR(EDAData[[#This Row],[Score]]&lt;$R$44, EDAData[[#This Row],[Score]]&gt;$R$45), "OUTLIER", "Normal")</f>
        <v>Normal</v>
      </c>
      <c r="H12" s="6" t="str">
        <f>IF(OR(EDAData[[#This Row],[Income]]&lt;$Q$44, EDAData[[#This Row],[Income]]&gt;$Q$45), "OUTLIER", "Normal")</f>
        <v>Normal</v>
      </c>
      <c r="I12" s="4" t="str">
        <f>IF(AND(EDAData[[#This Row],[Outlier_Score]]="Outlier",EDAData[[#This Row],[Outlier_Income]]="Outlier"),"Both",IF(AND(EDAData[[#This Row],[Outlier_Score]]="Normal",EDAData[[#This Row],[Outlier_Income]]="Normal"),"None","Single"))</f>
        <v>None</v>
      </c>
      <c r="K12" s="6">
        <v>48</v>
      </c>
      <c r="L12" s="6">
        <v>96</v>
      </c>
      <c r="M12" s="6">
        <v>93</v>
      </c>
    </row>
    <row r="13" spans="1:13" x14ac:dyDescent="0.25">
      <c r="A13" s="6">
        <v>512</v>
      </c>
      <c r="B13" s="6">
        <v>71</v>
      </c>
      <c r="C13" s="6">
        <v>4</v>
      </c>
      <c r="D13" s="7">
        <v>0.52</v>
      </c>
      <c r="E13" s="8">
        <v>101561</v>
      </c>
      <c r="F13" s="6" t="s">
        <v>6</v>
      </c>
      <c r="G13" s="6" t="str">
        <f>IF(OR(EDAData[[#This Row],[Score]]&lt;$R$44, EDAData[[#This Row],[Score]]&gt;$R$45), "OUTLIER", "Normal")</f>
        <v>Normal</v>
      </c>
      <c r="H13" s="6" t="str">
        <f>IF(OR(EDAData[[#This Row],[Income]]&lt;$Q$44, EDAData[[#This Row],[Income]]&gt;$Q$45), "OUTLIER", "Normal")</f>
        <v>Normal</v>
      </c>
      <c r="I13" s="4" t="str">
        <f>IF(AND(EDAData[[#This Row],[Outlier_Score]]="Outlier",EDAData[[#This Row],[Outlier_Income]]="Outlier"),"Both",IF(AND(EDAData[[#This Row],[Outlier_Score]]="Normal",EDAData[[#This Row],[Outlier_Income]]="Normal"),"None","Single"))</f>
        <v>None</v>
      </c>
      <c r="K13" s="6">
        <v>97</v>
      </c>
      <c r="L13" s="6">
        <v>35</v>
      </c>
      <c r="M13" s="6">
        <v>57</v>
      </c>
    </row>
    <row r="14" spans="1:13" x14ac:dyDescent="0.25">
      <c r="A14" s="6">
        <v>513</v>
      </c>
      <c r="B14" s="6">
        <v>64</v>
      </c>
      <c r="C14" s="6">
        <v>10</v>
      </c>
      <c r="D14" s="7">
        <v>0.68</v>
      </c>
      <c r="E14" s="8">
        <v>140954</v>
      </c>
      <c r="F14" s="6" t="s">
        <v>7</v>
      </c>
      <c r="G14" s="6" t="str">
        <f>IF(OR(EDAData[[#This Row],[Score]]&lt;$R$44, EDAData[[#This Row],[Score]]&gt;$R$45), "OUTLIER", "Normal")</f>
        <v>Normal</v>
      </c>
      <c r="H14" s="6" t="str">
        <f>IF(OR(EDAData[[#This Row],[Income]]&lt;$Q$44, EDAData[[#This Row],[Income]]&gt;$Q$45), "OUTLIER", "Normal")</f>
        <v>Normal</v>
      </c>
      <c r="I14" s="4" t="str">
        <f>IF(AND(EDAData[[#This Row],[Outlier_Score]]="Outlier",EDAData[[#This Row],[Outlier_Income]]="Outlier"),"Both",IF(AND(EDAData[[#This Row],[Outlier_Score]]="Normal",EDAData[[#This Row],[Outlier_Income]]="Normal"),"None","Single"))</f>
        <v>None</v>
      </c>
      <c r="K14" s="6">
        <v>84</v>
      </c>
      <c r="L14" s="6">
        <v>33</v>
      </c>
      <c r="M14" s="6">
        <v>31</v>
      </c>
    </row>
    <row r="15" spans="1:13" x14ac:dyDescent="0.25">
      <c r="A15" s="6">
        <v>514</v>
      </c>
      <c r="B15" s="6">
        <v>38</v>
      </c>
      <c r="C15" s="6">
        <v>9</v>
      </c>
      <c r="D15" s="7">
        <v>0.72</v>
      </c>
      <c r="E15" s="8">
        <v>121188</v>
      </c>
      <c r="F15" s="6" t="s">
        <v>7</v>
      </c>
      <c r="G15" s="6" t="str">
        <f>IF(OR(EDAData[[#This Row],[Score]]&lt;$R$44, EDAData[[#This Row],[Score]]&gt;$R$45), "OUTLIER", "Normal")</f>
        <v>Normal</v>
      </c>
      <c r="H15" s="6" t="str">
        <f>IF(OR(EDAData[[#This Row],[Income]]&lt;$Q$44, EDAData[[#This Row],[Income]]&gt;$Q$45), "OUTLIER", "Normal")</f>
        <v>Normal</v>
      </c>
      <c r="I15" s="4" t="str">
        <f>IF(AND(EDAData[[#This Row],[Outlier_Score]]="Outlier",EDAData[[#This Row],[Outlier_Income]]="Outlier"),"Both",IF(AND(EDAData[[#This Row],[Outlier_Score]]="Normal",EDAData[[#This Row],[Outlier_Income]]="Normal"),"None","Single"))</f>
        <v>None</v>
      </c>
      <c r="K15" s="6">
        <v>68</v>
      </c>
      <c r="L15" s="6">
        <v>39</v>
      </c>
      <c r="M15" s="6">
        <v>96</v>
      </c>
    </row>
    <row r="16" spans="1:13" x14ac:dyDescent="0.25">
      <c r="A16" s="6">
        <v>515</v>
      </c>
      <c r="B16" s="6">
        <v>44</v>
      </c>
      <c r="C16" s="6">
        <v>8</v>
      </c>
      <c r="D16" s="7">
        <v>0.77</v>
      </c>
      <c r="E16" s="8">
        <v>149203</v>
      </c>
      <c r="F16" s="6" t="s">
        <v>5</v>
      </c>
      <c r="G16" s="6" t="str">
        <f>IF(OR(EDAData[[#This Row],[Score]]&lt;$R$44, EDAData[[#This Row],[Score]]&gt;$R$45), "OUTLIER", "Normal")</f>
        <v>Normal</v>
      </c>
      <c r="H16" s="6" t="str">
        <f>IF(OR(EDAData[[#This Row],[Income]]&lt;$Q$44, EDAData[[#This Row],[Income]]&gt;$Q$45), "OUTLIER", "Normal")</f>
        <v>Normal</v>
      </c>
      <c r="I16" s="4" t="str">
        <f>IF(AND(EDAData[[#This Row],[Outlier_Score]]="Outlier",EDAData[[#This Row],[Outlier_Income]]="Outlier"),"Both",IF(AND(EDAData[[#This Row],[Outlier_Score]]="Normal",EDAData[[#This Row],[Outlier_Income]]="Normal"),"None","Single"))</f>
        <v>None</v>
      </c>
      <c r="K16" s="6">
        <v>63</v>
      </c>
      <c r="L16" s="6">
        <v>38</v>
      </c>
      <c r="M16" s="6">
        <v>97</v>
      </c>
    </row>
    <row r="17" spans="1:16" x14ac:dyDescent="0.25">
      <c r="A17" s="6">
        <v>516</v>
      </c>
      <c r="B17" s="6">
        <v>52</v>
      </c>
      <c r="C17" s="6">
        <v>8</v>
      </c>
      <c r="D17" s="7">
        <v>0.71</v>
      </c>
      <c r="E17" s="8">
        <v>113031</v>
      </c>
      <c r="F17" s="6" t="s">
        <v>7</v>
      </c>
      <c r="G17" s="6" t="str">
        <f>IF(OR(EDAData[[#This Row],[Score]]&lt;$R$44, EDAData[[#This Row],[Score]]&gt;$R$45), "OUTLIER", "Normal")</f>
        <v>Normal</v>
      </c>
      <c r="H17" s="6" t="str">
        <f>IF(OR(EDAData[[#This Row],[Income]]&lt;$Q$44, EDAData[[#This Row],[Income]]&gt;$Q$45), "OUTLIER", "Normal")</f>
        <v>Normal</v>
      </c>
      <c r="I17" s="4" t="str">
        <f>IF(AND(EDAData[[#This Row],[Outlier_Score]]="Outlier",EDAData[[#This Row],[Outlier_Income]]="Outlier"),"Both",IF(AND(EDAData[[#This Row],[Outlier_Score]]="Normal",EDAData[[#This Row],[Outlier_Income]]="Normal"),"None","Single"))</f>
        <v>None</v>
      </c>
      <c r="K17" s="6">
        <v>100</v>
      </c>
      <c r="L17" s="6">
        <v>76</v>
      </c>
      <c r="M17" s="6">
        <v>65</v>
      </c>
    </row>
    <row r="18" spans="1:16" x14ac:dyDescent="0.25">
      <c r="A18" s="6">
        <v>517</v>
      </c>
      <c r="B18" s="6">
        <v>57</v>
      </c>
      <c r="C18" s="6">
        <v>3</v>
      </c>
      <c r="D18" s="7">
        <v>0.65</v>
      </c>
      <c r="E18" s="8">
        <v>144906</v>
      </c>
      <c r="F18" s="6" t="s">
        <v>7</v>
      </c>
      <c r="G18" s="6" t="str">
        <f>IF(OR(EDAData[[#This Row],[Score]]&lt;$R$44, EDAData[[#This Row],[Score]]&gt;$R$45), "OUTLIER", "Normal")</f>
        <v>Normal</v>
      </c>
      <c r="H18" s="6" t="str">
        <f>IF(OR(EDAData[[#This Row],[Income]]&lt;$Q$44, EDAData[[#This Row],[Income]]&gt;$Q$45), "OUTLIER", "Normal")</f>
        <v>Normal</v>
      </c>
      <c r="I18" s="4" t="str">
        <f>IF(AND(EDAData[[#This Row],[Outlier_Score]]="Outlier",EDAData[[#This Row],[Outlier_Income]]="Outlier"),"Both",IF(AND(EDAData[[#This Row],[Outlier_Score]]="Normal",EDAData[[#This Row],[Outlier_Income]]="Normal"),"None","Single"))</f>
        <v>None</v>
      </c>
      <c r="K18" s="6">
        <v>60</v>
      </c>
      <c r="L18" s="6">
        <v>56</v>
      </c>
      <c r="M18" s="6">
        <v>100</v>
      </c>
    </row>
    <row r="19" spans="1:16" x14ac:dyDescent="0.25">
      <c r="A19" s="6">
        <v>518</v>
      </c>
      <c r="B19" s="6">
        <v>34</v>
      </c>
      <c r="C19" s="6">
        <v>8</v>
      </c>
      <c r="D19" s="7">
        <v>0.6</v>
      </c>
      <c r="E19" s="8">
        <v>92122</v>
      </c>
      <c r="F19" s="6" t="s">
        <v>5</v>
      </c>
      <c r="G19" s="6" t="str">
        <f>IF(OR(EDAData[[#This Row],[Score]]&lt;$R$44, EDAData[[#This Row],[Score]]&gt;$R$45), "OUTLIER", "Normal")</f>
        <v>Normal</v>
      </c>
      <c r="H19" s="6" t="str">
        <f>IF(OR(EDAData[[#This Row],[Income]]&lt;$Q$44, EDAData[[#This Row],[Income]]&gt;$Q$45), "OUTLIER", "Normal")</f>
        <v>Normal</v>
      </c>
      <c r="I19" s="4" t="str">
        <f>IF(AND(EDAData[[#This Row],[Outlier_Score]]="Outlier",EDAData[[#This Row],[Outlier_Income]]="Outlier"),"Both",IF(AND(EDAData[[#This Row],[Outlier_Score]]="Normal",EDAData[[#This Row],[Outlier_Income]]="Normal"),"None","Single"))</f>
        <v>None</v>
      </c>
      <c r="K19" s="6">
        <v>60</v>
      </c>
      <c r="L19" s="6">
        <v>68</v>
      </c>
      <c r="M19" s="6">
        <v>71</v>
      </c>
    </row>
    <row r="20" spans="1:16" x14ac:dyDescent="0.25">
      <c r="A20" s="6">
        <v>519</v>
      </c>
      <c r="B20" s="6">
        <v>96</v>
      </c>
      <c r="C20" s="6">
        <v>4</v>
      </c>
      <c r="D20" s="7">
        <v>0.69</v>
      </c>
      <c r="E20" s="8">
        <v>144254</v>
      </c>
      <c r="F20" s="6" t="s">
        <v>6</v>
      </c>
      <c r="G20" s="6" t="str">
        <f>IF(OR(EDAData[[#This Row],[Score]]&lt;$R$44, EDAData[[#This Row],[Score]]&gt;$R$45), "OUTLIER", "Normal")</f>
        <v>Normal</v>
      </c>
      <c r="H20" s="6" t="str">
        <f>IF(OR(EDAData[[#This Row],[Income]]&lt;$Q$44, EDAData[[#This Row],[Income]]&gt;$Q$45), "OUTLIER", "Normal")</f>
        <v>Normal</v>
      </c>
      <c r="I20" s="4" t="str">
        <f>IF(AND(EDAData[[#This Row],[Outlier_Score]]="Outlier",EDAData[[#This Row],[Outlier_Income]]="Outlier"),"Both",IF(AND(EDAData[[#This Row],[Outlier_Score]]="Normal",EDAData[[#This Row],[Outlier_Income]]="Normal"),"None","Single"))</f>
        <v>None</v>
      </c>
      <c r="K20" s="6">
        <v>36</v>
      </c>
      <c r="L20" s="6">
        <v>47</v>
      </c>
      <c r="M20" s="6">
        <v>67</v>
      </c>
    </row>
    <row r="21" spans="1:16" x14ac:dyDescent="0.25">
      <c r="A21" s="6">
        <v>520</v>
      </c>
      <c r="B21" s="6">
        <v>54</v>
      </c>
      <c r="C21" s="6">
        <v>8</v>
      </c>
      <c r="D21" s="7">
        <v>0.84</v>
      </c>
      <c r="E21" s="8">
        <v>115577</v>
      </c>
      <c r="F21" s="6" t="s">
        <v>7</v>
      </c>
      <c r="G21" s="6" t="str">
        <f>IF(OR(EDAData[[#This Row],[Score]]&lt;$R$44, EDAData[[#This Row],[Score]]&gt;$R$45), "OUTLIER", "Normal")</f>
        <v>Normal</v>
      </c>
      <c r="H21" s="6" t="str">
        <f>IF(OR(EDAData[[#This Row],[Income]]&lt;$Q$44, EDAData[[#This Row],[Income]]&gt;$Q$45), "OUTLIER", "Normal")</f>
        <v>Normal</v>
      </c>
      <c r="I21" s="4" t="str">
        <f>IF(AND(EDAData[[#This Row],[Outlier_Score]]="Outlier",EDAData[[#This Row],[Outlier_Income]]="Outlier"),"Both",IF(AND(EDAData[[#This Row],[Outlier_Score]]="Normal",EDAData[[#This Row],[Outlier_Income]]="Normal"),"None","Single"))</f>
        <v>None</v>
      </c>
      <c r="K21" s="6">
        <v>42</v>
      </c>
      <c r="L21" s="6">
        <v>43</v>
      </c>
      <c r="M21" s="6">
        <v>79</v>
      </c>
    </row>
    <row r="22" spans="1:16" x14ac:dyDescent="0.25">
      <c r="A22" s="6">
        <v>521</v>
      </c>
      <c r="B22" s="6">
        <v>39</v>
      </c>
      <c r="C22" s="6">
        <v>9</v>
      </c>
      <c r="D22" s="7">
        <v>0.53</v>
      </c>
      <c r="E22" s="8">
        <v>100866</v>
      </c>
      <c r="F22" s="6" t="s">
        <v>6</v>
      </c>
      <c r="G22" s="6" t="str">
        <f>IF(OR(EDAData[[#This Row],[Score]]&lt;$R$44, EDAData[[#This Row],[Score]]&gt;$R$45), "OUTLIER", "Normal")</f>
        <v>Normal</v>
      </c>
      <c r="H22" s="6" t="str">
        <f>IF(OR(EDAData[[#This Row],[Income]]&lt;$Q$44, EDAData[[#This Row],[Income]]&gt;$Q$45), "OUTLIER", "Normal")</f>
        <v>Normal</v>
      </c>
      <c r="I22" s="4" t="str">
        <f>IF(AND(EDAData[[#This Row],[Outlier_Score]]="Outlier",EDAData[[#This Row],[Outlier_Income]]="Outlier"),"Both",IF(AND(EDAData[[#This Row],[Outlier_Score]]="Normal",EDAData[[#This Row],[Outlier_Income]]="Normal"),"None","Single"))</f>
        <v>None</v>
      </c>
      <c r="K22" s="6">
        <v>98</v>
      </c>
      <c r="L22" s="6">
        <v>77</v>
      </c>
      <c r="M22" s="6">
        <v>78</v>
      </c>
    </row>
    <row r="23" spans="1:16" x14ac:dyDescent="0.25">
      <c r="A23" s="6">
        <v>522</v>
      </c>
      <c r="B23" s="6">
        <v>59</v>
      </c>
      <c r="C23" s="6">
        <v>10</v>
      </c>
      <c r="D23" s="7">
        <v>0.54</v>
      </c>
      <c r="E23" s="8">
        <v>108580</v>
      </c>
      <c r="F23" s="6" t="s">
        <v>5</v>
      </c>
      <c r="G23" s="6" t="str">
        <f>IF(OR(EDAData[[#This Row],[Score]]&lt;$R$44, EDAData[[#This Row],[Score]]&gt;$R$45), "OUTLIER", "Normal")</f>
        <v>Normal</v>
      </c>
      <c r="H23" s="6" t="str">
        <f>IF(OR(EDAData[[#This Row],[Income]]&lt;$Q$44, EDAData[[#This Row],[Income]]&gt;$Q$45), "OUTLIER", "Normal")</f>
        <v>Normal</v>
      </c>
      <c r="I23" s="4" t="str">
        <f>IF(AND(EDAData[[#This Row],[Outlier_Score]]="Outlier",EDAData[[#This Row],[Outlier_Income]]="Outlier"),"Both",IF(AND(EDAData[[#This Row],[Outlier_Score]]="Normal",EDAData[[#This Row],[Outlier_Income]]="Normal"),"None","Single"))</f>
        <v>None</v>
      </c>
      <c r="K23" s="6">
        <v>37</v>
      </c>
      <c r="L23" s="6">
        <v>35</v>
      </c>
      <c r="M23" s="6">
        <v>88</v>
      </c>
    </row>
    <row r="24" spans="1:16" x14ac:dyDescent="0.25">
      <c r="A24" s="6">
        <v>523</v>
      </c>
      <c r="B24" s="6">
        <v>58</v>
      </c>
      <c r="C24" s="6">
        <v>4</v>
      </c>
      <c r="D24" s="7">
        <v>0.9</v>
      </c>
      <c r="E24" s="8">
        <v>125126</v>
      </c>
      <c r="F24" s="6" t="s">
        <v>6</v>
      </c>
      <c r="G24" s="6" t="str">
        <f>IF(OR(EDAData[[#This Row],[Score]]&lt;$R$44, EDAData[[#This Row],[Score]]&gt;$R$45), "OUTLIER", "Normal")</f>
        <v>Normal</v>
      </c>
      <c r="H24" s="6" t="str">
        <f>IF(OR(EDAData[[#This Row],[Income]]&lt;$Q$44, EDAData[[#This Row],[Income]]&gt;$Q$45), "OUTLIER", "Normal")</f>
        <v>Normal</v>
      </c>
      <c r="I24" s="4" t="str">
        <f>IF(AND(EDAData[[#This Row],[Outlier_Score]]="Outlier",EDAData[[#This Row],[Outlier_Income]]="Outlier"),"Both",IF(AND(EDAData[[#This Row],[Outlier_Score]]="Normal",EDAData[[#This Row],[Outlier_Income]]="Normal"),"None","Single"))</f>
        <v>None</v>
      </c>
      <c r="K24" s="6">
        <v>44</v>
      </c>
      <c r="L24" s="6">
        <v>84</v>
      </c>
      <c r="M24" s="6">
        <v>87</v>
      </c>
    </row>
    <row r="25" spans="1:16" x14ac:dyDescent="0.25">
      <c r="A25" s="6">
        <v>524</v>
      </c>
      <c r="B25" s="6">
        <v>52</v>
      </c>
      <c r="C25" s="6">
        <v>4</v>
      </c>
      <c r="D25" s="7">
        <v>0.63</v>
      </c>
      <c r="E25" s="8">
        <v>85027</v>
      </c>
      <c r="F25" s="6" t="s">
        <v>6</v>
      </c>
      <c r="G25" s="6" t="str">
        <f>IF(OR(EDAData[[#This Row],[Score]]&lt;$R$44, EDAData[[#This Row],[Score]]&gt;$R$45), "OUTLIER", "Normal")</f>
        <v>Normal</v>
      </c>
      <c r="H25" s="6" t="str">
        <f>IF(OR(EDAData[[#This Row],[Income]]&lt;$Q$44, EDAData[[#This Row],[Income]]&gt;$Q$45), "OUTLIER", "Normal")</f>
        <v>Normal</v>
      </c>
      <c r="I25" s="4" t="str">
        <f>IF(AND(EDAData[[#This Row],[Outlier_Score]]="Outlier",EDAData[[#This Row],[Outlier_Income]]="Outlier"),"Both",IF(AND(EDAData[[#This Row],[Outlier_Score]]="Normal",EDAData[[#This Row],[Outlier_Income]]="Normal"),"None","Single"))</f>
        <v>None</v>
      </c>
      <c r="K25" s="6">
        <v>33</v>
      </c>
      <c r="L25" s="6">
        <v>44</v>
      </c>
      <c r="M25" s="6">
        <v>87</v>
      </c>
    </row>
    <row r="26" spans="1:16" x14ac:dyDescent="0.25">
      <c r="A26" s="6">
        <v>525</v>
      </c>
      <c r="B26" s="6">
        <v>72</v>
      </c>
      <c r="C26" s="6">
        <v>8</v>
      </c>
      <c r="D26" s="7">
        <v>0.79</v>
      </c>
      <c r="E26" s="8">
        <v>101486</v>
      </c>
      <c r="F26" s="6" t="s">
        <v>6</v>
      </c>
      <c r="G26" s="6" t="str">
        <f>IF(OR(EDAData[[#This Row],[Score]]&lt;$R$44, EDAData[[#This Row],[Score]]&gt;$R$45), "OUTLIER", "Normal")</f>
        <v>Normal</v>
      </c>
      <c r="H26" s="6" t="str">
        <f>IF(OR(EDAData[[#This Row],[Income]]&lt;$Q$44, EDAData[[#This Row],[Income]]&gt;$Q$45), "OUTLIER", "Normal")</f>
        <v>Normal</v>
      </c>
      <c r="I26" s="4" t="str">
        <f>IF(AND(EDAData[[#This Row],[Outlier_Score]]="Outlier",EDAData[[#This Row],[Outlier_Income]]="Outlier"),"Both",IF(AND(EDAData[[#This Row],[Outlier_Score]]="Normal",EDAData[[#This Row],[Outlier_Income]]="Normal"),"None","Single"))</f>
        <v>None</v>
      </c>
      <c r="K26" s="6">
        <v>86</v>
      </c>
      <c r="M26" s="6">
        <v>65</v>
      </c>
    </row>
    <row r="27" spans="1:16" x14ac:dyDescent="0.25">
      <c r="A27" s="6">
        <v>526</v>
      </c>
      <c r="B27" s="6">
        <v>96</v>
      </c>
      <c r="C27" s="6">
        <v>2</v>
      </c>
      <c r="D27" s="7">
        <v>0.57999999999999996</v>
      </c>
      <c r="E27" s="8">
        <v>130176</v>
      </c>
      <c r="F27" s="6" t="s">
        <v>6</v>
      </c>
      <c r="G27" s="6" t="str">
        <f>IF(OR(EDAData[[#This Row],[Score]]&lt;$R$44, EDAData[[#This Row],[Score]]&gt;$R$45), "OUTLIER", "Normal")</f>
        <v>Normal</v>
      </c>
      <c r="H27" s="6" t="str">
        <f>IF(OR(EDAData[[#This Row],[Income]]&lt;$Q$44, EDAData[[#This Row],[Income]]&gt;$Q$45), "OUTLIER", "Normal")</f>
        <v>Normal</v>
      </c>
      <c r="I27" s="4" t="str">
        <f>IF(AND(EDAData[[#This Row],[Outlier_Score]]="Outlier",EDAData[[#This Row],[Outlier_Income]]="Outlier"),"Both",IF(AND(EDAData[[#This Row],[Outlier_Score]]="Normal",EDAData[[#This Row],[Outlier_Income]]="Normal"),"None","Single"))</f>
        <v>None</v>
      </c>
      <c r="K27" s="6">
        <v>87</v>
      </c>
      <c r="M27" s="6">
        <v>77</v>
      </c>
    </row>
    <row r="28" spans="1:16" x14ac:dyDescent="0.25">
      <c r="A28" s="6">
        <v>527</v>
      </c>
      <c r="B28" s="6">
        <v>67</v>
      </c>
      <c r="C28" s="6">
        <v>3</v>
      </c>
      <c r="D28" s="7">
        <v>0.99</v>
      </c>
      <c r="E28" s="8">
        <v>142353</v>
      </c>
      <c r="F28" s="6" t="s">
        <v>7</v>
      </c>
      <c r="G28" s="6" t="str">
        <f>IF(OR(EDAData[[#This Row],[Score]]&lt;$R$44, EDAData[[#This Row],[Score]]&gt;$R$45), "OUTLIER", "Normal")</f>
        <v>Normal</v>
      </c>
      <c r="H28" s="6" t="str">
        <f>IF(OR(EDAData[[#This Row],[Income]]&lt;$Q$44, EDAData[[#This Row],[Income]]&gt;$Q$45), "OUTLIER", "Normal")</f>
        <v>Normal</v>
      </c>
      <c r="I28" s="4" t="str">
        <f>IF(AND(EDAData[[#This Row],[Outlier_Score]]="Outlier",EDAData[[#This Row],[Outlier_Income]]="Outlier"),"Both",IF(AND(EDAData[[#This Row],[Outlier_Score]]="Normal",EDAData[[#This Row],[Outlier_Income]]="Normal"),"None","Single"))</f>
        <v>None</v>
      </c>
      <c r="K28" s="6">
        <v>88</v>
      </c>
      <c r="M28" s="6">
        <v>94</v>
      </c>
    </row>
    <row r="29" spans="1:16" x14ac:dyDescent="0.25">
      <c r="A29" s="6">
        <v>528</v>
      </c>
      <c r="B29" s="6">
        <v>80</v>
      </c>
      <c r="C29" s="6">
        <v>10</v>
      </c>
      <c r="D29" s="7">
        <v>0.54</v>
      </c>
      <c r="E29" s="8">
        <v>88089</v>
      </c>
      <c r="F29" s="6" t="s">
        <v>5</v>
      </c>
      <c r="G29" s="6" t="str">
        <f>IF(OR(EDAData[[#This Row],[Score]]&lt;$R$44, EDAData[[#This Row],[Score]]&gt;$R$45), "OUTLIER", "Normal")</f>
        <v>Normal</v>
      </c>
      <c r="H29" s="6" t="str">
        <f>IF(OR(EDAData[[#This Row],[Income]]&lt;$Q$44, EDAData[[#This Row],[Income]]&gt;$Q$45), "OUTLIER", "Normal")</f>
        <v>Normal</v>
      </c>
      <c r="I29" s="4" t="str">
        <f>IF(AND(EDAData[[#This Row],[Outlier_Score]]="Outlier",EDAData[[#This Row],[Outlier_Income]]="Outlier"),"Both",IF(AND(EDAData[[#This Row],[Outlier_Score]]="Normal",EDAData[[#This Row],[Outlier_Income]]="Normal"),"None","Single"))</f>
        <v>None</v>
      </c>
      <c r="K29" s="6">
        <v>58</v>
      </c>
      <c r="M29" s="6">
        <v>44</v>
      </c>
    </row>
    <row r="30" spans="1:16" x14ac:dyDescent="0.25">
      <c r="A30" s="6">
        <v>529</v>
      </c>
      <c r="B30" s="6">
        <v>93</v>
      </c>
      <c r="C30" s="6">
        <v>5</v>
      </c>
      <c r="D30" s="7">
        <v>0.74</v>
      </c>
      <c r="E30" s="8">
        <v>125214</v>
      </c>
      <c r="F30" s="6" t="s">
        <v>5</v>
      </c>
      <c r="G30" s="6" t="str">
        <f>IF(OR(EDAData[[#This Row],[Score]]&lt;$R$44, EDAData[[#This Row],[Score]]&gt;$R$45), "OUTLIER", "Normal")</f>
        <v>Normal</v>
      </c>
      <c r="H30" s="6" t="str">
        <f>IF(OR(EDAData[[#This Row],[Income]]&lt;$Q$44, EDAData[[#This Row],[Income]]&gt;$Q$45), "OUTLIER", "Normal")</f>
        <v>Normal</v>
      </c>
      <c r="I30" s="4" t="str">
        <f>IF(AND(EDAData[[#This Row],[Outlier_Score]]="Outlier",EDAData[[#This Row],[Outlier_Income]]="Outlier"),"Both",IF(AND(EDAData[[#This Row],[Outlier_Score]]="Normal",EDAData[[#This Row],[Outlier_Income]]="Normal"),"None","Single"))</f>
        <v>None</v>
      </c>
    </row>
    <row r="31" spans="1:16" x14ac:dyDescent="0.25">
      <c r="A31" s="6">
        <v>530</v>
      </c>
      <c r="B31" s="6">
        <v>57</v>
      </c>
      <c r="C31" s="6">
        <v>6</v>
      </c>
      <c r="D31" s="7">
        <v>0.94</v>
      </c>
      <c r="E31" s="8">
        <v>134650</v>
      </c>
      <c r="F31" s="6" t="s">
        <v>5</v>
      </c>
      <c r="G31" s="6" t="str">
        <f>IF(OR(EDAData[[#This Row],[Score]]&lt;$R$44, EDAData[[#This Row],[Score]]&gt;$R$45), "OUTLIER", "Normal")</f>
        <v>Normal</v>
      </c>
      <c r="H31" s="6" t="str">
        <f>IF(OR(EDAData[[#This Row],[Income]]&lt;$Q$44, EDAData[[#This Row],[Income]]&gt;$Q$45), "OUTLIER", "Normal")</f>
        <v>Normal</v>
      </c>
      <c r="I31" s="4" t="str">
        <f>IF(AND(EDAData[[#This Row],[Outlier_Score]]="Outlier",EDAData[[#This Row],[Outlier_Income]]="Outlier"),"Both",IF(AND(EDAData[[#This Row],[Outlier_Score]]="Normal",EDAData[[#This Row],[Outlier_Income]]="Normal"),"None","Single"))</f>
        <v>None</v>
      </c>
    </row>
    <row r="32" spans="1:16" x14ac:dyDescent="0.25">
      <c r="A32" s="6">
        <v>531</v>
      </c>
      <c r="B32" s="6">
        <v>35</v>
      </c>
      <c r="C32" s="6">
        <v>5</v>
      </c>
      <c r="D32" s="7">
        <v>0.7</v>
      </c>
      <c r="E32" s="8">
        <v>105697</v>
      </c>
      <c r="F32" s="6" t="s">
        <v>6</v>
      </c>
      <c r="G32" s="6" t="str">
        <f>IF(OR(EDAData[[#This Row],[Score]]&lt;$R$44, EDAData[[#This Row],[Score]]&gt;$R$45), "OUTLIER", "Normal")</f>
        <v>Normal</v>
      </c>
      <c r="H32" s="6" t="str">
        <f>IF(OR(EDAData[[#This Row],[Income]]&lt;$Q$44, EDAData[[#This Row],[Income]]&gt;$Q$45), "OUTLIER", "Normal")</f>
        <v>Normal</v>
      </c>
      <c r="I32" s="4" t="str">
        <f>IF(AND(EDAData[[#This Row],[Outlier_Score]]="Outlier",EDAData[[#This Row],[Outlier_Income]]="Outlier"),"Both",IF(AND(EDAData[[#This Row],[Outlier_Score]]="Normal",EDAData[[#This Row],[Outlier_Income]]="Normal"),"None","Single"))</f>
        <v>None</v>
      </c>
      <c r="K32" s="9" t="s">
        <v>10</v>
      </c>
      <c r="L32" s="9" t="s">
        <v>8</v>
      </c>
      <c r="M32" s="9" t="s">
        <v>2</v>
      </c>
      <c r="N32" s="9" t="s">
        <v>3</v>
      </c>
      <c r="O32" s="9" t="s">
        <v>4</v>
      </c>
      <c r="P32" s="10"/>
    </row>
    <row r="33" spans="1:18" x14ac:dyDescent="0.25">
      <c r="A33" s="6">
        <v>532</v>
      </c>
      <c r="B33" s="6">
        <v>63</v>
      </c>
      <c r="C33" s="6">
        <v>1</v>
      </c>
      <c r="D33" s="7">
        <v>0.72</v>
      </c>
      <c r="E33" s="8">
        <v>87643</v>
      </c>
      <c r="F33" s="6" t="s">
        <v>7</v>
      </c>
      <c r="G33" s="6" t="str">
        <f>IF(OR(EDAData[[#This Row],[Score]]&lt;$R$44, EDAData[[#This Row],[Score]]&gt;$R$45), "OUTLIER", "Normal")</f>
        <v>Normal</v>
      </c>
      <c r="H33" s="6" t="str">
        <f>IF(OR(EDAData[[#This Row],[Income]]&lt;$Q$44, EDAData[[#This Row],[Income]]&gt;$Q$45), "OUTLIER", "Normal")</f>
        <v>Normal</v>
      </c>
      <c r="I33" s="4" t="str">
        <f>IF(AND(EDAData[[#This Row],[Outlier_Score]]="Outlier",EDAData[[#This Row],[Outlier_Income]]="Outlier"),"Both",IF(AND(EDAData[[#This Row],[Outlier_Score]]="Normal",EDAData[[#This Row],[Outlier_Income]]="Normal"),"None","Single"))</f>
        <v>None</v>
      </c>
      <c r="K33" s="11" t="s">
        <v>8</v>
      </c>
      <c r="L33" s="12">
        <f>CORREL(EDAData[Score],EDAData[Score])</f>
        <v>1</v>
      </c>
      <c r="M33" s="12">
        <f>CORREL(EDAData[StudyHours],EDAData[Score])</f>
        <v>-0.23509748845009468</v>
      </c>
      <c r="N33" s="12">
        <f>CORREL(EDAData[Attendance],EDAData[Score])</f>
        <v>-0.17182416291188957</v>
      </c>
      <c r="O33" s="12">
        <f>CORREL(EDAData[Income],EDAData[Score])</f>
        <v>-0.14333134231231062</v>
      </c>
      <c r="P33" s="13"/>
    </row>
    <row r="34" spans="1:18" x14ac:dyDescent="0.25">
      <c r="A34" s="6">
        <v>533</v>
      </c>
      <c r="B34" s="6">
        <v>31</v>
      </c>
      <c r="C34" s="6">
        <v>9</v>
      </c>
      <c r="D34" s="7">
        <v>0.97</v>
      </c>
      <c r="E34" s="8">
        <v>139335</v>
      </c>
      <c r="F34" s="6" t="s">
        <v>5</v>
      </c>
      <c r="G34" s="6" t="str">
        <f>IF(OR(EDAData[[#This Row],[Score]]&lt;$R$44, EDAData[[#This Row],[Score]]&gt;$R$45), "OUTLIER", "Normal")</f>
        <v>Normal</v>
      </c>
      <c r="H34" s="6" t="str">
        <f>IF(OR(EDAData[[#This Row],[Income]]&lt;$Q$44, EDAData[[#This Row],[Income]]&gt;$Q$45), "OUTLIER", "Normal")</f>
        <v>Normal</v>
      </c>
      <c r="I34" s="4" t="str">
        <f>IF(AND(EDAData[[#This Row],[Outlier_Score]]="Outlier",EDAData[[#This Row],[Outlier_Income]]="Outlier"),"Both",IF(AND(EDAData[[#This Row],[Outlier_Score]]="Normal",EDAData[[#This Row],[Outlier_Income]]="Normal"),"None","Single"))</f>
        <v>None</v>
      </c>
      <c r="K34" s="9" t="s">
        <v>2</v>
      </c>
      <c r="L34" s="14">
        <f>CORREL(EDAData[Score],EDAData[Score])</f>
        <v>1</v>
      </c>
      <c r="M34" s="14">
        <f>CORREL(EDAData[StudyHours],EDAData[StudyHours])</f>
        <v>0.99999999999999978</v>
      </c>
      <c r="N34" s="14">
        <f>CORREL(EDAData[Attendance],EDAData[StudyHours])</f>
        <v>-6.6111581200375594E-2</v>
      </c>
      <c r="O34" s="14">
        <f>CORREL(EDAData[Score],EDAData[Score])</f>
        <v>1</v>
      </c>
      <c r="P34" s="15"/>
    </row>
    <row r="35" spans="1:18" x14ac:dyDescent="0.25">
      <c r="A35" s="6">
        <v>534</v>
      </c>
      <c r="B35" s="6">
        <v>85</v>
      </c>
      <c r="C35" s="6">
        <v>8</v>
      </c>
      <c r="D35" s="7">
        <v>0.71</v>
      </c>
      <c r="E35" s="8">
        <v>103456</v>
      </c>
      <c r="F35" s="6" t="s">
        <v>7</v>
      </c>
      <c r="G35" s="6" t="str">
        <f>IF(OR(EDAData[[#This Row],[Score]]&lt;$R$44, EDAData[[#This Row],[Score]]&gt;$R$45), "OUTLIER", "Normal")</f>
        <v>Normal</v>
      </c>
      <c r="H35" s="6" t="str">
        <f>IF(OR(EDAData[[#This Row],[Income]]&lt;$Q$44, EDAData[[#This Row],[Income]]&gt;$Q$45), "OUTLIER", "Normal")</f>
        <v>Normal</v>
      </c>
      <c r="I35" s="4" t="str">
        <f>IF(AND(EDAData[[#This Row],[Outlier_Score]]="Outlier",EDAData[[#This Row],[Outlier_Income]]="Outlier"),"Both",IF(AND(EDAData[[#This Row],[Outlier_Score]]="Normal",EDAData[[#This Row],[Outlier_Income]]="Normal"),"None","Single"))</f>
        <v>None</v>
      </c>
      <c r="K35" s="11" t="s">
        <v>9</v>
      </c>
      <c r="L35" s="12">
        <f>CORREL(EDAData[Score],EDAData[Attendance])</f>
        <v>-0.17182416291188957</v>
      </c>
      <c r="M35" s="12">
        <f>CORREL(EDAData[StudyHours],EDAData[Attendance])</f>
        <v>-6.6111581200375594E-2</v>
      </c>
      <c r="N35" s="12">
        <f>CORREL(EDAData[Attendance],EDAData[Attendance])</f>
        <v>1.0000000000000002</v>
      </c>
      <c r="O35" s="12">
        <f>CORREL(EDAData[Income],EDAData[Attendance])</f>
        <v>0.13121358979787132</v>
      </c>
      <c r="P35" s="13"/>
    </row>
    <row r="36" spans="1:18" x14ac:dyDescent="0.25">
      <c r="A36" s="6">
        <v>535</v>
      </c>
      <c r="B36" s="6">
        <v>96</v>
      </c>
      <c r="C36" s="6">
        <v>6</v>
      </c>
      <c r="D36" s="7">
        <v>0.68</v>
      </c>
      <c r="E36" s="8">
        <v>108618</v>
      </c>
      <c r="F36" s="6" t="s">
        <v>5</v>
      </c>
      <c r="G36" s="6" t="str">
        <f>IF(OR(EDAData[[#This Row],[Score]]&lt;$R$44, EDAData[[#This Row],[Score]]&gt;$R$45), "OUTLIER", "Normal")</f>
        <v>Normal</v>
      </c>
      <c r="H36" s="6" t="str">
        <f>IF(OR(EDAData[[#This Row],[Income]]&lt;$Q$44, EDAData[[#This Row],[Income]]&gt;$Q$45), "OUTLIER", "Normal")</f>
        <v>Normal</v>
      </c>
      <c r="I36" s="4" t="str">
        <f>IF(AND(EDAData[[#This Row],[Outlier_Score]]="Outlier",EDAData[[#This Row],[Outlier_Income]]="Outlier"),"Both",IF(AND(EDAData[[#This Row],[Outlier_Score]]="Normal",EDAData[[#This Row],[Outlier_Income]]="Normal"),"None","Single"))</f>
        <v>None</v>
      </c>
      <c r="K36" s="9" t="s">
        <v>4</v>
      </c>
      <c r="L36" s="14">
        <f>CORREL(EDAData[Score],EDAData[Income])</f>
        <v>-0.14333134231231062</v>
      </c>
      <c r="M36" s="14">
        <f>CORREL(EDAData[StudyHours],EDAData[Income])</f>
        <v>9.1362706024124191E-2</v>
      </c>
      <c r="N36" s="14">
        <f>CORREL(EDAData[Score],EDAData[Score])</f>
        <v>1</v>
      </c>
      <c r="O36" s="14">
        <f>CORREL(EDAData[Income],EDAData[Income])</f>
        <v>1.0000000000000002</v>
      </c>
      <c r="P36" s="15"/>
    </row>
    <row r="37" spans="1:18" x14ac:dyDescent="0.25">
      <c r="A37" s="6">
        <v>536</v>
      </c>
      <c r="B37" s="6">
        <v>35</v>
      </c>
      <c r="C37" s="6">
        <v>10</v>
      </c>
      <c r="D37" s="7">
        <v>0.73</v>
      </c>
      <c r="E37" s="8">
        <v>148595</v>
      </c>
      <c r="F37" s="6" t="s">
        <v>7</v>
      </c>
      <c r="G37" s="6" t="str">
        <f>IF(OR(EDAData[[#This Row],[Score]]&lt;$R$44, EDAData[[#This Row],[Score]]&gt;$R$45), "OUTLIER", "Normal")</f>
        <v>Normal</v>
      </c>
      <c r="H37" s="6" t="str">
        <f>IF(OR(EDAData[[#This Row],[Income]]&lt;$Q$44, EDAData[[#This Row],[Income]]&gt;$Q$45), "OUTLIER", "Normal")</f>
        <v>Normal</v>
      </c>
      <c r="I37" s="4" t="str">
        <f>IF(AND(EDAData[[#This Row],[Outlier_Score]]="Outlier",EDAData[[#This Row],[Outlier_Income]]="Outlier"),"Both",IF(AND(EDAData[[#This Row],[Outlier_Score]]="Normal",EDAData[[#This Row],[Outlier_Income]]="Normal"),"None","Single"))</f>
        <v>None</v>
      </c>
      <c r="Q37" s="6" t="s">
        <v>18</v>
      </c>
      <c r="R37" s="6" t="s">
        <v>17</v>
      </c>
    </row>
    <row r="38" spans="1:18" x14ac:dyDescent="0.25">
      <c r="A38" s="6">
        <v>537</v>
      </c>
      <c r="B38" s="6">
        <v>97</v>
      </c>
      <c r="C38" s="6">
        <v>2</v>
      </c>
      <c r="D38" s="7">
        <v>0.7</v>
      </c>
      <c r="E38" s="8">
        <v>94680</v>
      </c>
      <c r="F38" s="6" t="s">
        <v>5</v>
      </c>
      <c r="G38" s="6" t="str">
        <f>IF(OR(EDAData[[#This Row],[Score]]&lt;$R$44, EDAData[[#This Row],[Score]]&gt;$R$45), "OUTLIER", "Normal")</f>
        <v>Normal</v>
      </c>
      <c r="H38" s="6" t="str">
        <f>IF(OR(EDAData[[#This Row],[Income]]&lt;$Q$44, EDAData[[#This Row],[Income]]&gt;$Q$45), "OUTLIER", "Normal")</f>
        <v>Normal</v>
      </c>
      <c r="I38" s="4" t="str">
        <f>IF(AND(EDAData[[#This Row],[Outlier_Score]]="Outlier",EDAData[[#This Row],[Outlier_Income]]="Outlier"),"Both",IF(AND(EDAData[[#This Row],[Outlier_Score]]="Normal",EDAData[[#This Row],[Outlier_Income]]="Normal"),"None","Single"))</f>
        <v>None</v>
      </c>
      <c r="Q38" s="6">
        <f>MIN(EDAData[Income])</f>
        <v>80619</v>
      </c>
      <c r="R38" s="6">
        <f>MIN(EDAData[Score])</f>
        <v>31</v>
      </c>
    </row>
    <row r="39" spans="1:18" x14ac:dyDescent="0.25">
      <c r="A39" s="6">
        <v>538</v>
      </c>
      <c r="B39" s="6">
        <v>48</v>
      </c>
      <c r="C39" s="6">
        <v>6</v>
      </c>
      <c r="D39" s="7">
        <v>0.78</v>
      </c>
      <c r="E39" s="8">
        <v>144478</v>
      </c>
      <c r="F39" s="6" t="s">
        <v>7</v>
      </c>
      <c r="G39" s="6" t="str">
        <f>IF(OR(EDAData[[#This Row],[Score]]&lt;$R$44, EDAData[[#This Row],[Score]]&gt;$R$45), "OUTLIER", "Normal")</f>
        <v>Normal</v>
      </c>
      <c r="H39" s="6" t="str">
        <f>IF(OR(EDAData[[#This Row],[Income]]&lt;$Q$44, EDAData[[#This Row],[Income]]&gt;$Q$45), "OUTLIER", "Normal")</f>
        <v>Normal</v>
      </c>
      <c r="I39" s="4" t="str">
        <f>IF(AND(EDAData[[#This Row],[Outlier_Score]]="Outlier",EDAData[[#This Row],[Outlier_Income]]="Outlier"),"Both",IF(AND(EDAData[[#This Row],[Outlier_Score]]="Normal",EDAData[[#This Row],[Outlier_Income]]="Normal"),"None","Single"))</f>
        <v>None</v>
      </c>
      <c r="K39" s="16" t="s">
        <v>20</v>
      </c>
      <c r="L39" s="17" t="s">
        <v>21</v>
      </c>
      <c r="Q39" s="6">
        <f>_xlfn.QUARTILE.INC(EDAData[Income],1)</f>
        <v>101542.25</v>
      </c>
      <c r="R39" s="6">
        <f>_xlfn.QUARTILE.INC(EDAData[Score],1)</f>
        <v>44</v>
      </c>
    </row>
    <row r="40" spans="1:18" x14ac:dyDescent="0.25">
      <c r="A40" s="6">
        <v>539</v>
      </c>
      <c r="B40" s="6">
        <v>33</v>
      </c>
      <c r="C40" s="6">
        <v>3</v>
      </c>
      <c r="D40" s="7">
        <v>0.96</v>
      </c>
      <c r="E40" s="8">
        <v>127671</v>
      </c>
      <c r="F40" s="6" t="s">
        <v>6</v>
      </c>
      <c r="G40" s="6" t="str">
        <f>IF(OR(EDAData[[#This Row],[Score]]&lt;$R$44, EDAData[[#This Row],[Score]]&gt;$R$45), "OUTLIER", "Normal")</f>
        <v>Normal</v>
      </c>
      <c r="H40" s="6" t="str">
        <f>IF(OR(EDAData[[#This Row],[Income]]&lt;$Q$44, EDAData[[#This Row],[Income]]&gt;$Q$45), "OUTLIER", "Normal")</f>
        <v>Normal</v>
      </c>
      <c r="I40" s="4" t="str">
        <f>IF(AND(EDAData[[#This Row],[Outlier_Score]]="Outlier",EDAData[[#This Row],[Outlier_Income]]="Outlier"),"Both",IF(AND(EDAData[[#This Row],[Outlier_Score]]="Normal",EDAData[[#This Row],[Outlier_Income]]="Normal"),"None","Single"))</f>
        <v>None</v>
      </c>
      <c r="K40" s="18" t="s">
        <v>4</v>
      </c>
      <c r="L40" s="19">
        <f>CORREL(EDAData[Score],EDAData[Income])</f>
        <v>-0.14333134231231062</v>
      </c>
      <c r="Q40" s="6">
        <f>_xlfn.QUARTILE.INC(EDAData[Income],2)</f>
        <v>115631.5</v>
      </c>
      <c r="R40" s="6">
        <f>_xlfn.QUARTILE.INC(EDAData[Score],2)</f>
        <v>65</v>
      </c>
    </row>
    <row r="41" spans="1:18" x14ac:dyDescent="0.25">
      <c r="A41" s="6">
        <v>540</v>
      </c>
      <c r="B41" s="6">
        <v>39</v>
      </c>
      <c r="C41" s="6">
        <v>7</v>
      </c>
      <c r="D41" s="7">
        <v>0.82</v>
      </c>
      <c r="E41" s="8">
        <v>92509</v>
      </c>
      <c r="F41" s="6" t="s">
        <v>6</v>
      </c>
      <c r="G41" s="6" t="str">
        <f>IF(OR(EDAData[[#This Row],[Score]]&lt;$R$44, EDAData[[#This Row],[Score]]&gt;$R$45), "OUTLIER", "Normal")</f>
        <v>Normal</v>
      </c>
      <c r="H41" s="6" t="str">
        <f>IF(OR(EDAData[[#This Row],[Income]]&lt;$Q$44, EDAData[[#This Row],[Income]]&gt;$Q$45), "OUTLIER", "Normal")</f>
        <v>Normal</v>
      </c>
      <c r="I41" s="4" t="str">
        <f>IF(AND(EDAData[[#This Row],[Outlier_Score]]="Outlier",EDAData[[#This Row],[Outlier_Income]]="Outlier"),"Both",IF(AND(EDAData[[#This Row],[Outlier_Score]]="Normal",EDAData[[#This Row],[Outlier_Income]]="Normal"),"None","Single"))</f>
        <v>None</v>
      </c>
      <c r="K41" s="18" t="s">
        <v>9</v>
      </c>
      <c r="L41" s="19">
        <f>CORREL(EDAData[Score],EDAData[Attendance])</f>
        <v>-0.17182416291188957</v>
      </c>
      <c r="Q41" s="6">
        <f>_xlfn.QUARTILE.INC(EDAData[Income],3)</f>
        <v>134323</v>
      </c>
      <c r="R41" s="6">
        <f>_xlfn.QUARTILE.INC(EDAData[Score],3)</f>
        <v>84.25</v>
      </c>
    </row>
    <row r="42" spans="1:18" x14ac:dyDescent="0.25">
      <c r="A42" s="6">
        <v>541</v>
      </c>
      <c r="B42" s="6">
        <v>65</v>
      </c>
      <c r="C42" s="6">
        <v>2</v>
      </c>
      <c r="D42" s="7">
        <v>0.8</v>
      </c>
      <c r="E42" s="8">
        <v>109035</v>
      </c>
      <c r="F42" s="6" t="s">
        <v>5</v>
      </c>
      <c r="G42" s="6" t="str">
        <f>IF(OR(EDAData[[#This Row],[Score]]&lt;$R$44, EDAData[[#This Row],[Score]]&gt;$R$45), "OUTLIER", "Normal")</f>
        <v>Normal</v>
      </c>
      <c r="H42" s="6" t="str">
        <f>IF(OR(EDAData[[#This Row],[Income]]&lt;$Q$44, EDAData[[#This Row],[Income]]&gt;$Q$45), "OUTLIER", "Normal")</f>
        <v>Normal</v>
      </c>
      <c r="I42" s="4" t="str">
        <f>IF(AND(EDAData[[#This Row],[Outlier_Score]]="Outlier",EDAData[[#This Row],[Outlier_Income]]="Outlier"),"Both",IF(AND(EDAData[[#This Row],[Outlier_Score]]="Normal",EDAData[[#This Row],[Outlier_Income]]="Normal"),"None","Single"))</f>
        <v>None</v>
      </c>
      <c r="K42" s="20" t="s">
        <v>22</v>
      </c>
      <c r="L42" s="21">
        <f>CORREL(EDAData[Score],EDAData[StudyHours])</f>
        <v>-0.23509748845009468</v>
      </c>
      <c r="Q42" s="6">
        <f>MAX(EDAData[Income])</f>
        <v>149652</v>
      </c>
      <c r="R42" s="6">
        <f>MAX(EDAData[Score])</f>
        <v>100</v>
      </c>
    </row>
    <row r="43" spans="1:18" x14ac:dyDescent="0.25">
      <c r="A43" s="6">
        <v>542</v>
      </c>
      <c r="B43" s="6">
        <v>97</v>
      </c>
      <c r="C43" s="6">
        <v>5</v>
      </c>
      <c r="D43" s="7">
        <v>0.54</v>
      </c>
      <c r="E43" s="8">
        <v>96349</v>
      </c>
      <c r="F43" s="6" t="s">
        <v>7</v>
      </c>
      <c r="G43" s="6" t="str">
        <f>IF(OR(EDAData[[#This Row],[Score]]&lt;$R$44, EDAData[[#This Row],[Score]]&gt;$R$45), "OUTLIER", "Normal")</f>
        <v>Normal</v>
      </c>
      <c r="H43" s="6" t="str">
        <f>IF(OR(EDAData[[#This Row],[Income]]&lt;$Q$44, EDAData[[#This Row],[Income]]&gt;$Q$45), "OUTLIER", "Normal")</f>
        <v>Normal</v>
      </c>
      <c r="I43" s="4" t="str">
        <f>IF(AND(EDAData[[#This Row],[Outlier_Score]]="Outlier",EDAData[[#This Row],[Outlier_Income]]="Outlier"),"Both",IF(AND(EDAData[[#This Row],[Outlier_Score]]="Normal",EDAData[[#This Row],[Outlier_Income]]="Normal"),"None","Single"))</f>
        <v>None</v>
      </c>
      <c r="Q43" s="6">
        <f>$Q$41-$Q$39</f>
        <v>32780.75</v>
      </c>
      <c r="R43" s="6">
        <f>$R$41-$R$39</f>
        <v>40.25</v>
      </c>
    </row>
    <row r="44" spans="1:18" x14ac:dyDescent="0.25">
      <c r="A44" s="6">
        <v>543</v>
      </c>
      <c r="B44" s="6">
        <v>38</v>
      </c>
      <c r="C44" s="6">
        <v>2</v>
      </c>
      <c r="D44" s="7">
        <v>0.61</v>
      </c>
      <c r="E44" s="8">
        <v>98632</v>
      </c>
      <c r="F44" s="6" t="s">
        <v>6</v>
      </c>
      <c r="G44" s="6" t="str">
        <f>IF(OR(EDAData[[#This Row],[Score]]&lt;$R$44, EDAData[[#This Row],[Score]]&gt;$R$45), "OUTLIER", "Normal")</f>
        <v>Normal</v>
      </c>
      <c r="H44" s="6" t="str">
        <f>IF(OR(EDAData[[#This Row],[Income]]&lt;$Q$44, EDAData[[#This Row],[Income]]&gt;$Q$45), "OUTLIER", "Normal")</f>
        <v>Normal</v>
      </c>
      <c r="I44" s="4" t="str">
        <f>IF(AND(EDAData[[#This Row],[Outlier_Score]]="Outlier",EDAData[[#This Row],[Outlier_Income]]="Outlier"),"Both",IF(AND(EDAData[[#This Row],[Outlier_Score]]="Normal",EDAData[[#This Row],[Outlier_Income]]="Normal"),"None","Single"))</f>
        <v>None</v>
      </c>
      <c r="Q44" s="6">
        <f>$Q$39-1.5*$Q$43</f>
        <v>52371.125</v>
      </c>
      <c r="R44" s="6">
        <f>$R$39-1.5*$R$43</f>
        <v>-16.375</v>
      </c>
    </row>
    <row r="45" spans="1:18" x14ac:dyDescent="0.25">
      <c r="A45" s="6">
        <v>544</v>
      </c>
      <c r="B45" s="6">
        <v>76</v>
      </c>
      <c r="C45" s="6">
        <v>5</v>
      </c>
      <c r="D45" s="7">
        <v>0.98</v>
      </c>
      <c r="E45" s="8">
        <v>95850</v>
      </c>
      <c r="F45" s="6" t="s">
        <v>6</v>
      </c>
      <c r="G45" s="6" t="str">
        <f>IF(OR(EDAData[[#This Row],[Score]]&lt;$R$44, EDAData[[#This Row],[Score]]&gt;$R$45), "OUTLIER", "Normal")</f>
        <v>Normal</v>
      </c>
      <c r="H45" s="6" t="str">
        <f>IF(OR(EDAData[[#This Row],[Income]]&lt;$Q$44, EDAData[[#This Row],[Income]]&gt;$Q$45), "OUTLIER", "Normal")</f>
        <v>Normal</v>
      </c>
      <c r="I45" s="4" t="str">
        <f>IF(AND(EDAData[[#This Row],[Outlier_Score]]="Outlier",EDAData[[#This Row],[Outlier_Income]]="Outlier"),"Both",IF(AND(EDAData[[#This Row],[Outlier_Score]]="Normal",EDAData[[#This Row],[Outlier_Income]]="Normal"),"None","Single"))</f>
        <v>None</v>
      </c>
      <c r="Q45" s="6">
        <f>Q41+1.5*$Q$43</f>
        <v>183494.125</v>
      </c>
      <c r="R45" s="6">
        <f>R41+1.5*$R$43</f>
        <v>144.625</v>
      </c>
    </row>
    <row r="46" spans="1:18" x14ac:dyDescent="0.25">
      <c r="A46" s="6">
        <v>545</v>
      </c>
      <c r="B46" s="6">
        <v>56</v>
      </c>
      <c r="C46" s="6">
        <v>8</v>
      </c>
      <c r="D46" s="7">
        <v>0.62</v>
      </c>
      <c r="E46" s="8">
        <v>110862</v>
      </c>
      <c r="F46" s="6" t="s">
        <v>6</v>
      </c>
      <c r="G46" s="6" t="str">
        <f>IF(OR(EDAData[[#This Row],[Score]]&lt;$R$44, EDAData[[#This Row],[Score]]&gt;$R$45), "OUTLIER", "Normal")</f>
        <v>Normal</v>
      </c>
      <c r="H46" s="6" t="str">
        <f>IF(OR(EDAData[[#This Row],[Income]]&lt;$Q$44, EDAData[[#This Row],[Income]]&gt;$Q$45), "OUTLIER", "Normal")</f>
        <v>Normal</v>
      </c>
      <c r="I46" s="4" t="str">
        <f>IF(AND(EDAData[[#This Row],[Outlier_Score]]="Outlier",EDAData[[#This Row],[Outlier_Income]]="Outlier"),"Both",IF(AND(EDAData[[#This Row],[Outlier_Score]]="Normal",EDAData[[#This Row],[Outlier_Income]]="Normal"),"None","Single"))</f>
        <v>None</v>
      </c>
    </row>
    <row r="47" spans="1:18" x14ac:dyDescent="0.25">
      <c r="A47" s="6">
        <v>546</v>
      </c>
      <c r="B47" s="6">
        <v>100</v>
      </c>
      <c r="C47" s="6">
        <v>2</v>
      </c>
      <c r="D47" s="7">
        <v>0.9</v>
      </c>
      <c r="E47" s="8">
        <v>83817</v>
      </c>
      <c r="F47" s="6" t="s">
        <v>5</v>
      </c>
      <c r="G47" s="6" t="str">
        <f>IF(OR(EDAData[[#This Row],[Score]]&lt;$R$44, EDAData[[#This Row],[Score]]&gt;$R$45), "OUTLIER", "Normal")</f>
        <v>Normal</v>
      </c>
      <c r="H47" s="6" t="str">
        <f>IF(OR(EDAData[[#This Row],[Income]]&lt;$Q$44, EDAData[[#This Row],[Income]]&gt;$Q$45), "OUTLIER", "Normal")</f>
        <v>Normal</v>
      </c>
      <c r="I47" s="4" t="str">
        <f>IF(AND(EDAData[[#This Row],[Outlier_Score]]="Outlier",EDAData[[#This Row],[Outlier_Income]]="Outlier"),"Both",IF(AND(EDAData[[#This Row],[Outlier_Score]]="Normal",EDAData[[#This Row],[Outlier_Income]]="Normal"),"None","Single"))</f>
        <v>None</v>
      </c>
    </row>
    <row r="48" spans="1:18" x14ac:dyDescent="0.25">
      <c r="A48" s="6">
        <v>547</v>
      </c>
      <c r="B48" s="6">
        <v>71</v>
      </c>
      <c r="C48" s="6">
        <v>5</v>
      </c>
      <c r="D48" s="7">
        <v>0.66</v>
      </c>
      <c r="E48" s="8">
        <v>99977</v>
      </c>
      <c r="F48" s="6" t="s">
        <v>5</v>
      </c>
      <c r="G48" s="6" t="str">
        <f>IF(OR(EDAData[[#This Row],[Score]]&lt;$R$44, EDAData[[#This Row],[Score]]&gt;$R$45), "OUTLIER", "Normal")</f>
        <v>Normal</v>
      </c>
      <c r="H48" s="6" t="str">
        <f>IF(OR(EDAData[[#This Row],[Income]]&lt;$Q$44, EDAData[[#This Row],[Income]]&gt;$Q$45), "OUTLIER", "Normal")</f>
        <v>Normal</v>
      </c>
      <c r="I48" s="4" t="str">
        <f>IF(AND(EDAData[[#This Row],[Outlier_Score]]="Outlier",EDAData[[#This Row],[Outlier_Income]]="Outlier"),"Both",IF(AND(EDAData[[#This Row],[Outlier_Score]]="Normal",EDAData[[#This Row],[Outlier_Income]]="Normal"),"None","Single"))</f>
        <v>None</v>
      </c>
    </row>
    <row r="49" spans="1:9" x14ac:dyDescent="0.25">
      <c r="A49" s="6">
        <v>548</v>
      </c>
      <c r="B49" s="6">
        <v>67</v>
      </c>
      <c r="C49" s="6">
        <v>4</v>
      </c>
      <c r="D49" s="7">
        <v>0.76</v>
      </c>
      <c r="E49" s="8">
        <v>99591</v>
      </c>
      <c r="F49" s="6" t="s">
        <v>5</v>
      </c>
      <c r="G49" s="6" t="str">
        <f>IF(OR(EDAData[[#This Row],[Score]]&lt;$R$44, EDAData[[#This Row],[Score]]&gt;$R$45), "OUTLIER", "Normal")</f>
        <v>Normal</v>
      </c>
      <c r="H49" s="6" t="str">
        <f>IF(OR(EDAData[[#This Row],[Income]]&lt;$Q$44, EDAData[[#This Row],[Income]]&gt;$Q$45), "OUTLIER", "Normal")</f>
        <v>Normal</v>
      </c>
      <c r="I49" s="4" t="str">
        <f>IF(AND(EDAData[[#This Row],[Outlier_Score]]="Outlier",EDAData[[#This Row],[Outlier_Income]]="Outlier"),"Both",IF(AND(EDAData[[#This Row],[Outlier_Score]]="Normal",EDAData[[#This Row],[Outlier_Income]]="Normal"),"None","Single"))</f>
        <v>None</v>
      </c>
    </row>
    <row r="50" spans="1:9" x14ac:dyDescent="0.25">
      <c r="A50" s="6">
        <v>549</v>
      </c>
      <c r="B50" s="6">
        <v>68</v>
      </c>
      <c r="C50" s="6">
        <v>9</v>
      </c>
      <c r="D50" s="7">
        <v>0.55000000000000004</v>
      </c>
      <c r="E50" s="8">
        <v>147721</v>
      </c>
      <c r="F50" s="6" t="s">
        <v>6</v>
      </c>
      <c r="G50" s="6" t="str">
        <f>IF(OR(EDAData[[#This Row],[Score]]&lt;$R$44, EDAData[[#This Row],[Score]]&gt;$R$45), "OUTLIER", "Normal")</f>
        <v>Normal</v>
      </c>
      <c r="H50" s="6" t="str">
        <f>IF(OR(EDAData[[#This Row],[Income]]&lt;$Q$44, EDAData[[#This Row],[Income]]&gt;$Q$45), "OUTLIER", "Normal")</f>
        <v>Normal</v>
      </c>
      <c r="I50" s="4" t="str">
        <f>IF(AND(EDAData[[#This Row],[Outlier_Score]]="Outlier",EDAData[[#This Row],[Outlier_Income]]="Outlier"),"Both",IF(AND(EDAData[[#This Row],[Outlier_Score]]="Normal",EDAData[[#This Row],[Outlier_Income]]="Normal"),"None","Single"))</f>
        <v>None</v>
      </c>
    </row>
    <row r="51" spans="1:9" x14ac:dyDescent="0.25">
      <c r="A51" s="6">
        <v>550</v>
      </c>
      <c r="B51" s="6">
        <v>84</v>
      </c>
      <c r="C51" s="6">
        <v>4</v>
      </c>
      <c r="D51" s="7">
        <v>0.57999999999999996</v>
      </c>
      <c r="E51" s="8">
        <v>127366</v>
      </c>
      <c r="F51" s="6" t="s">
        <v>7</v>
      </c>
      <c r="G51" s="6" t="str">
        <f>IF(OR(EDAData[[#This Row],[Score]]&lt;$R$44, EDAData[[#This Row],[Score]]&gt;$R$45), "OUTLIER", "Normal")</f>
        <v>Normal</v>
      </c>
      <c r="H51" s="6" t="str">
        <f>IF(OR(EDAData[[#This Row],[Income]]&lt;$Q$44, EDAData[[#This Row],[Income]]&gt;$Q$45), "OUTLIER", "Normal")</f>
        <v>Normal</v>
      </c>
      <c r="I51" s="4" t="str">
        <f>IF(AND(EDAData[[#This Row],[Outlier_Score]]="Outlier",EDAData[[#This Row],[Outlier_Income]]="Outlier"),"Both",IF(AND(EDAData[[#This Row],[Outlier_Score]]="Normal",EDAData[[#This Row],[Outlier_Income]]="Normal"),"None","Single"))</f>
        <v>None</v>
      </c>
    </row>
    <row r="52" spans="1:9" x14ac:dyDescent="0.25">
      <c r="A52" s="6">
        <v>551</v>
      </c>
      <c r="B52" s="6">
        <v>47</v>
      </c>
      <c r="C52" s="6">
        <v>1</v>
      </c>
      <c r="D52" s="7">
        <v>0.61</v>
      </c>
      <c r="E52" s="8">
        <v>149652</v>
      </c>
      <c r="F52" s="6" t="s">
        <v>6</v>
      </c>
      <c r="G52" s="6" t="str">
        <f>IF(OR(EDAData[[#This Row],[Score]]&lt;$R$44, EDAData[[#This Row],[Score]]&gt;$R$45), "OUTLIER", "Normal")</f>
        <v>Normal</v>
      </c>
      <c r="H52" s="6" t="str">
        <f>IF(OR(EDAData[[#This Row],[Income]]&lt;$Q$44, EDAData[[#This Row],[Income]]&gt;$Q$45), "OUTLIER", "Normal")</f>
        <v>Normal</v>
      </c>
      <c r="I52" s="4" t="str">
        <f>IF(AND(EDAData[[#This Row],[Outlier_Score]]="Outlier",EDAData[[#This Row],[Outlier_Income]]="Outlier"),"Both",IF(AND(EDAData[[#This Row],[Outlier_Score]]="Normal",EDAData[[#This Row],[Outlier_Income]]="Normal"),"None","Single"))</f>
        <v>None</v>
      </c>
    </row>
    <row r="53" spans="1:9" x14ac:dyDescent="0.25">
      <c r="A53" s="6">
        <v>552</v>
      </c>
      <c r="B53" s="6">
        <v>43</v>
      </c>
      <c r="C53" s="6">
        <v>5</v>
      </c>
      <c r="D53" s="7">
        <v>0.93</v>
      </c>
      <c r="E53" s="8">
        <v>144781</v>
      </c>
      <c r="F53" s="6" t="s">
        <v>6</v>
      </c>
      <c r="G53" s="6" t="str">
        <f>IF(OR(EDAData[[#This Row],[Score]]&lt;$R$44, EDAData[[#This Row],[Score]]&gt;$R$45), "OUTLIER", "Normal")</f>
        <v>Normal</v>
      </c>
      <c r="H53" s="6" t="str">
        <f>IF(OR(EDAData[[#This Row],[Income]]&lt;$Q$44, EDAData[[#This Row],[Income]]&gt;$Q$45), "OUTLIER", "Normal")</f>
        <v>Normal</v>
      </c>
      <c r="I53" s="4" t="str">
        <f>IF(AND(EDAData[[#This Row],[Outlier_Score]]="Outlier",EDAData[[#This Row],[Outlier_Income]]="Outlier"),"Both",IF(AND(EDAData[[#This Row],[Outlier_Score]]="Normal",EDAData[[#This Row],[Outlier_Income]]="Normal"),"None","Single"))</f>
        <v>None</v>
      </c>
    </row>
    <row r="54" spans="1:9" x14ac:dyDescent="0.25">
      <c r="A54" s="6">
        <v>553</v>
      </c>
      <c r="B54" s="6">
        <v>79</v>
      </c>
      <c r="C54" s="6">
        <v>10</v>
      </c>
      <c r="D54" s="7">
        <v>0.7</v>
      </c>
      <c r="E54" s="8">
        <v>131590</v>
      </c>
      <c r="F54" s="6" t="s">
        <v>5</v>
      </c>
      <c r="G54" s="6" t="str">
        <f>IF(OR(EDAData[[#This Row],[Score]]&lt;$R$44, EDAData[[#This Row],[Score]]&gt;$R$45), "OUTLIER", "Normal")</f>
        <v>Normal</v>
      </c>
      <c r="H54" s="6" t="str">
        <f>IF(OR(EDAData[[#This Row],[Income]]&lt;$Q$44, EDAData[[#This Row],[Income]]&gt;$Q$45), "OUTLIER", "Normal")</f>
        <v>Normal</v>
      </c>
      <c r="I54" s="4" t="str">
        <f>IF(AND(EDAData[[#This Row],[Outlier_Score]]="Outlier",EDAData[[#This Row],[Outlier_Income]]="Outlier"),"Both",IF(AND(EDAData[[#This Row],[Outlier_Score]]="Normal",EDAData[[#This Row],[Outlier_Income]]="Normal"),"None","Single"))</f>
        <v>None</v>
      </c>
    </row>
    <row r="55" spans="1:9" x14ac:dyDescent="0.25">
      <c r="A55" s="6">
        <v>554</v>
      </c>
      <c r="B55" s="6">
        <v>77</v>
      </c>
      <c r="C55" s="6">
        <v>9</v>
      </c>
      <c r="D55" s="7">
        <v>0.6</v>
      </c>
      <c r="E55" s="8">
        <v>134214</v>
      </c>
      <c r="F55" s="6" t="s">
        <v>6</v>
      </c>
      <c r="G55" s="6" t="str">
        <f>IF(OR(EDAData[[#This Row],[Score]]&lt;$R$44, EDAData[[#This Row],[Score]]&gt;$R$45), "OUTLIER", "Normal")</f>
        <v>Normal</v>
      </c>
      <c r="H55" s="6" t="str">
        <f>IF(OR(EDAData[[#This Row],[Income]]&lt;$Q$44, EDAData[[#This Row],[Income]]&gt;$Q$45), "OUTLIER", "Normal")</f>
        <v>Normal</v>
      </c>
      <c r="I55" s="4" t="str">
        <f>IF(AND(EDAData[[#This Row],[Outlier_Score]]="Outlier",EDAData[[#This Row],[Outlier_Income]]="Outlier"),"Both",IF(AND(EDAData[[#This Row],[Outlier_Score]]="Normal",EDAData[[#This Row],[Outlier_Income]]="Normal"),"None","Single"))</f>
        <v>None</v>
      </c>
    </row>
    <row r="56" spans="1:9" x14ac:dyDescent="0.25">
      <c r="A56" s="6">
        <v>555</v>
      </c>
      <c r="B56" s="6">
        <v>78</v>
      </c>
      <c r="C56" s="6">
        <v>9</v>
      </c>
      <c r="D56" s="7">
        <v>0.51</v>
      </c>
      <c r="E56" s="8">
        <v>102743</v>
      </c>
      <c r="F56" s="6" t="s">
        <v>5</v>
      </c>
      <c r="G56" s="6" t="str">
        <f>IF(OR(EDAData[[#This Row],[Score]]&lt;$R$44, EDAData[[#This Row],[Score]]&gt;$R$45), "OUTLIER", "Normal")</f>
        <v>Normal</v>
      </c>
      <c r="H56" s="6" t="str">
        <f>IF(OR(EDAData[[#This Row],[Income]]&lt;$Q$44, EDAData[[#This Row],[Income]]&gt;$Q$45), "OUTLIER", "Normal")</f>
        <v>Normal</v>
      </c>
      <c r="I56" s="4" t="str">
        <f>IF(AND(EDAData[[#This Row],[Outlier_Score]]="Outlier",EDAData[[#This Row],[Outlier_Income]]="Outlier"),"Both",IF(AND(EDAData[[#This Row],[Outlier_Score]]="Normal",EDAData[[#This Row],[Outlier_Income]]="Normal"),"None","Single"))</f>
        <v>None</v>
      </c>
    </row>
    <row r="57" spans="1:9" x14ac:dyDescent="0.25">
      <c r="A57" s="6">
        <v>556</v>
      </c>
      <c r="B57" s="6">
        <v>68</v>
      </c>
      <c r="C57" s="6">
        <v>10</v>
      </c>
      <c r="D57" s="7">
        <v>0.55000000000000004</v>
      </c>
      <c r="E57" s="8">
        <v>104782</v>
      </c>
      <c r="F57" s="6" t="s">
        <v>7</v>
      </c>
      <c r="G57" s="6" t="str">
        <f>IF(OR(EDAData[[#This Row],[Score]]&lt;$R$44, EDAData[[#This Row],[Score]]&gt;$R$45), "OUTLIER", "Normal")</f>
        <v>Normal</v>
      </c>
      <c r="H57" s="6" t="str">
        <f>IF(OR(EDAData[[#This Row],[Income]]&lt;$Q$44, EDAData[[#This Row],[Income]]&gt;$Q$45), "OUTLIER", "Normal")</f>
        <v>Normal</v>
      </c>
      <c r="I57" s="4" t="str">
        <f>IF(AND(EDAData[[#This Row],[Outlier_Score]]="Outlier",EDAData[[#This Row],[Outlier_Income]]="Outlier"),"Both",IF(AND(EDAData[[#This Row],[Outlier_Score]]="Normal",EDAData[[#This Row],[Outlier_Income]]="Normal"),"None","Single"))</f>
        <v>None</v>
      </c>
    </row>
    <row r="58" spans="1:9" x14ac:dyDescent="0.25">
      <c r="A58" s="6">
        <v>557</v>
      </c>
      <c r="B58" s="6">
        <v>63</v>
      </c>
      <c r="C58" s="6">
        <v>2</v>
      </c>
      <c r="D58" s="7">
        <v>0.79</v>
      </c>
      <c r="E58" s="8">
        <v>106460</v>
      </c>
      <c r="F58" s="6" t="s">
        <v>7</v>
      </c>
      <c r="G58" s="6" t="str">
        <f>IF(OR(EDAData[[#This Row],[Score]]&lt;$R$44, EDAData[[#This Row],[Score]]&gt;$R$45), "OUTLIER", "Normal")</f>
        <v>Normal</v>
      </c>
      <c r="H58" s="6" t="str">
        <f>IF(OR(EDAData[[#This Row],[Income]]&lt;$Q$44, EDAData[[#This Row],[Income]]&gt;$Q$45), "OUTLIER", "Normal")</f>
        <v>Normal</v>
      </c>
      <c r="I58" s="4" t="str">
        <f>IF(AND(EDAData[[#This Row],[Outlier_Score]]="Outlier",EDAData[[#This Row],[Outlier_Income]]="Outlier"),"Both",IF(AND(EDAData[[#This Row],[Outlier_Score]]="Normal",EDAData[[#This Row],[Outlier_Income]]="Normal"),"None","Single"))</f>
        <v>None</v>
      </c>
    </row>
    <row r="59" spans="1:9" x14ac:dyDescent="0.25">
      <c r="A59" s="6">
        <v>558</v>
      </c>
      <c r="B59" s="6">
        <v>88</v>
      </c>
      <c r="C59" s="6">
        <v>2</v>
      </c>
      <c r="D59" s="7">
        <v>0.62</v>
      </c>
      <c r="E59" s="8">
        <v>99619</v>
      </c>
      <c r="F59" s="6" t="s">
        <v>5</v>
      </c>
      <c r="G59" s="6" t="str">
        <f>IF(OR(EDAData[[#This Row],[Score]]&lt;$R$44, EDAData[[#This Row],[Score]]&gt;$R$45), "OUTLIER", "Normal")</f>
        <v>Normal</v>
      </c>
      <c r="H59" s="6" t="str">
        <f>IF(OR(EDAData[[#This Row],[Income]]&lt;$Q$44, EDAData[[#This Row],[Income]]&gt;$Q$45), "OUTLIER", "Normal")</f>
        <v>Normal</v>
      </c>
      <c r="I59" s="4" t="str">
        <f>IF(AND(EDAData[[#This Row],[Outlier_Score]]="Outlier",EDAData[[#This Row],[Outlier_Income]]="Outlier"),"Both",IF(AND(EDAData[[#This Row],[Outlier_Score]]="Normal",EDAData[[#This Row],[Outlier_Income]]="Normal"),"None","Single"))</f>
        <v>None</v>
      </c>
    </row>
    <row r="60" spans="1:9" x14ac:dyDescent="0.25">
      <c r="A60" s="6">
        <v>559</v>
      </c>
      <c r="B60" s="6">
        <v>100</v>
      </c>
      <c r="C60" s="6">
        <v>4</v>
      </c>
      <c r="D60" s="7">
        <v>0.68</v>
      </c>
      <c r="E60" s="8">
        <v>80619</v>
      </c>
      <c r="F60" s="6" t="s">
        <v>7</v>
      </c>
      <c r="G60" s="6" t="str">
        <f>IF(OR(EDAData[[#This Row],[Score]]&lt;$R$44, EDAData[[#This Row],[Score]]&gt;$R$45), "OUTLIER", "Normal")</f>
        <v>Normal</v>
      </c>
      <c r="H60" s="6" t="str">
        <f>IF(OR(EDAData[[#This Row],[Income]]&lt;$Q$44, EDAData[[#This Row],[Income]]&gt;$Q$45), "OUTLIER", "Normal")</f>
        <v>Normal</v>
      </c>
      <c r="I60" s="4" t="str">
        <f>IF(AND(EDAData[[#This Row],[Outlier_Score]]="Outlier",EDAData[[#This Row],[Outlier_Income]]="Outlier"),"Both",IF(AND(EDAData[[#This Row],[Outlier_Score]]="Normal",EDAData[[#This Row],[Outlier_Income]]="Normal"),"None","Single"))</f>
        <v>None</v>
      </c>
    </row>
    <row r="61" spans="1:9" x14ac:dyDescent="0.25">
      <c r="A61" s="6">
        <v>560</v>
      </c>
      <c r="B61" s="6">
        <v>87</v>
      </c>
      <c r="C61" s="6">
        <v>2</v>
      </c>
      <c r="D61" s="7">
        <v>0.84</v>
      </c>
      <c r="E61" s="8">
        <v>105392</v>
      </c>
      <c r="F61" s="6" t="s">
        <v>5</v>
      </c>
      <c r="G61" s="6" t="str">
        <f>IF(OR(EDAData[[#This Row],[Score]]&lt;$R$44, EDAData[[#This Row],[Score]]&gt;$R$45), "OUTLIER", "Normal")</f>
        <v>Normal</v>
      </c>
      <c r="H61" s="6" t="str">
        <f>IF(OR(EDAData[[#This Row],[Income]]&lt;$Q$44, EDAData[[#This Row],[Income]]&gt;$Q$45), "OUTLIER", "Normal")</f>
        <v>Normal</v>
      </c>
      <c r="I61" s="4" t="str">
        <f>IF(AND(EDAData[[#This Row],[Outlier_Score]]="Outlier",EDAData[[#This Row],[Outlier_Income]]="Outlier"),"Both",IF(AND(EDAData[[#This Row],[Outlier_Score]]="Normal",EDAData[[#This Row],[Outlier_Income]]="Normal"),"None","Single"))</f>
        <v>None</v>
      </c>
    </row>
    <row r="62" spans="1:9" x14ac:dyDescent="0.25">
      <c r="A62" s="6">
        <v>561</v>
      </c>
      <c r="B62" s="6">
        <v>60</v>
      </c>
      <c r="C62" s="6">
        <v>5</v>
      </c>
      <c r="D62" s="7">
        <v>0.93</v>
      </c>
      <c r="E62" s="8">
        <v>132573</v>
      </c>
      <c r="F62" s="6" t="s">
        <v>7</v>
      </c>
      <c r="G62" s="6" t="str">
        <f>IF(OR(EDAData[[#This Row],[Score]]&lt;$R$44, EDAData[[#This Row],[Score]]&gt;$R$45), "OUTLIER", "Normal")</f>
        <v>Normal</v>
      </c>
      <c r="H62" s="6" t="str">
        <f>IF(OR(EDAData[[#This Row],[Income]]&lt;$Q$44, EDAData[[#This Row],[Income]]&gt;$Q$45), "OUTLIER", "Normal")</f>
        <v>Normal</v>
      </c>
      <c r="I62" s="4" t="str">
        <f>IF(AND(EDAData[[#This Row],[Outlier_Score]]="Outlier",EDAData[[#This Row],[Outlier_Income]]="Outlier"),"Both",IF(AND(EDAData[[#This Row],[Outlier_Score]]="Normal",EDAData[[#This Row],[Outlier_Income]]="Normal"),"None","Single"))</f>
        <v>None</v>
      </c>
    </row>
    <row r="63" spans="1:9" x14ac:dyDescent="0.25">
      <c r="A63" s="6">
        <v>562</v>
      </c>
      <c r="B63" s="6">
        <v>35</v>
      </c>
      <c r="C63" s="6">
        <v>9</v>
      </c>
      <c r="D63" s="7">
        <v>0.91</v>
      </c>
      <c r="E63" s="8">
        <v>116089</v>
      </c>
      <c r="F63" s="6" t="s">
        <v>6</v>
      </c>
      <c r="G63" s="6" t="str">
        <f>IF(OR(EDAData[[#This Row],[Score]]&lt;$R$44, EDAData[[#This Row],[Score]]&gt;$R$45), "OUTLIER", "Normal")</f>
        <v>Normal</v>
      </c>
      <c r="H63" s="6" t="str">
        <f>IF(OR(EDAData[[#This Row],[Income]]&lt;$Q$44, EDAData[[#This Row],[Income]]&gt;$Q$45), "OUTLIER", "Normal")</f>
        <v>Normal</v>
      </c>
      <c r="I63" s="4" t="str">
        <f>IF(AND(EDAData[[#This Row],[Outlier_Score]]="Outlier",EDAData[[#This Row],[Outlier_Income]]="Outlier"),"Both",IF(AND(EDAData[[#This Row],[Outlier_Score]]="Normal",EDAData[[#This Row],[Outlier_Income]]="Normal"),"None","Single"))</f>
        <v>None</v>
      </c>
    </row>
    <row r="64" spans="1:9" x14ac:dyDescent="0.25">
      <c r="A64" s="6">
        <v>563</v>
      </c>
      <c r="B64" s="6">
        <v>60</v>
      </c>
      <c r="C64" s="6">
        <v>2</v>
      </c>
      <c r="D64" s="7">
        <v>0.5</v>
      </c>
      <c r="E64" s="8">
        <v>91467</v>
      </c>
      <c r="F64" s="6" t="s">
        <v>7</v>
      </c>
      <c r="G64" s="6" t="str">
        <f>IF(OR(EDAData[[#This Row],[Score]]&lt;$R$44, EDAData[[#This Row],[Score]]&gt;$R$45), "OUTLIER", "Normal")</f>
        <v>Normal</v>
      </c>
      <c r="H64" s="6" t="str">
        <f>IF(OR(EDAData[[#This Row],[Income]]&lt;$Q$44, EDAData[[#This Row],[Income]]&gt;$Q$45), "OUTLIER", "Normal")</f>
        <v>Normal</v>
      </c>
      <c r="I64" s="4" t="str">
        <f>IF(AND(EDAData[[#This Row],[Outlier_Score]]="Outlier",EDAData[[#This Row],[Outlier_Income]]="Outlier"),"Both",IF(AND(EDAData[[#This Row],[Outlier_Score]]="Normal",EDAData[[#This Row],[Outlier_Income]]="Normal"),"None","Single"))</f>
        <v>None</v>
      </c>
    </row>
    <row r="65" spans="1:9" x14ac:dyDescent="0.25">
      <c r="A65" s="6">
        <v>564</v>
      </c>
      <c r="B65" s="6">
        <v>36</v>
      </c>
      <c r="C65" s="6">
        <v>9</v>
      </c>
      <c r="D65" s="7">
        <v>0.77</v>
      </c>
      <c r="E65" s="8">
        <v>137946</v>
      </c>
      <c r="F65" s="6" t="s">
        <v>7</v>
      </c>
      <c r="G65" s="6" t="str">
        <f>IF(OR(EDAData[[#This Row],[Score]]&lt;$R$44, EDAData[[#This Row],[Score]]&gt;$R$45), "OUTLIER", "Normal")</f>
        <v>Normal</v>
      </c>
      <c r="H65" s="6" t="str">
        <f>IF(OR(EDAData[[#This Row],[Income]]&lt;$Q$44, EDAData[[#This Row],[Income]]&gt;$Q$45), "OUTLIER", "Normal")</f>
        <v>Normal</v>
      </c>
      <c r="I65" s="4" t="str">
        <f>IF(AND(EDAData[[#This Row],[Outlier_Score]]="Outlier",EDAData[[#This Row],[Outlier_Income]]="Outlier"),"Both",IF(AND(EDAData[[#This Row],[Outlier_Score]]="Normal",EDAData[[#This Row],[Outlier_Income]]="Normal"),"None","Single"))</f>
        <v>None</v>
      </c>
    </row>
    <row r="66" spans="1:9" x14ac:dyDescent="0.25">
      <c r="A66" s="6">
        <v>565</v>
      </c>
      <c r="B66" s="6">
        <v>42</v>
      </c>
      <c r="C66" s="6">
        <v>5</v>
      </c>
      <c r="D66" s="7">
        <v>0.88</v>
      </c>
      <c r="E66" s="8">
        <v>123716</v>
      </c>
      <c r="F66" s="6" t="s">
        <v>7</v>
      </c>
      <c r="G66" s="6" t="str">
        <f>IF(OR(EDAData[[#This Row],[Score]]&lt;$R$44, EDAData[[#This Row],[Score]]&gt;$R$45), "OUTLIER", "Normal")</f>
        <v>Normal</v>
      </c>
      <c r="H66" s="6" t="str">
        <f>IF(OR(EDAData[[#This Row],[Income]]&lt;$Q$44, EDAData[[#This Row],[Income]]&gt;$Q$45), "OUTLIER", "Normal")</f>
        <v>Normal</v>
      </c>
      <c r="I66" s="4" t="str">
        <f>IF(AND(EDAData[[#This Row],[Outlier_Score]]="Outlier",EDAData[[#This Row],[Outlier_Income]]="Outlier"),"Both",IF(AND(EDAData[[#This Row],[Outlier_Score]]="Normal",EDAData[[#This Row],[Outlier_Income]]="Normal"),"None","Single"))</f>
        <v>None</v>
      </c>
    </row>
    <row r="67" spans="1:9" x14ac:dyDescent="0.25">
      <c r="A67" s="6">
        <v>566</v>
      </c>
      <c r="B67" s="6">
        <v>84</v>
      </c>
      <c r="C67" s="6">
        <v>10</v>
      </c>
      <c r="D67" s="7">
        <v>0.5</v>
      </c>
      <c r="E67" s="8">
        <v>117458</v>
      </c>
      <c r="F67" s="6" t="s">
        <v>6</v>
      </c>
      <c r="G67" s="6" t="str">
        <f>IF(OR(EDAData[[#This Row],[Score]]&lt;$R$44, EDAData[[#This Row],[Score]]&gt;$R$45), "OUTLIER", "Normal")</f>
        <v>Normal</v>
      </c>
      <c r="H67" s="6" t="str">
        <f>IF(OR(EDAData[[#This Row],[Income]]&lt;$Q$44, EDAData[[#This Row],[Income]]&gt;$Q$45), "OUTLIER", "Normal")</f>
        <v>Normal</v>
      </c>
      <c r="I67" s="4" t="str">
        <f>IF(AND(EDAData[[#This Row],[Outlier_Score]]="Outlier",EDAData[[#This Row],[Outlier_Income]]="Outlier"),"Both",IF(AND(EDAData[[#This Row],[Outlier_Score]]="Normal",EDAData[[#This Row],[Outlier_Income]]="Normal"),"None","Single"))</f>
        <v>None</v>
      </c>
    </row>
    <row r="68" spans="1:9" x14ac:dyDescent="0.25">
      <c r="A68" s="6">
        <v>567</v>
      </c>
      <c r="B68" s="6">
        <v>87</v>
      </c>
      <c r="C68" s="6">
        <v>7</v>
      </c>
      <c r="D68" s="7">
        <v>0.73</v>
      </c>
      <c r="E68" s="8">
        <v>109018</v>
      </c>
      <c r="F68" s="6" t="s">
        <v>5</v>
      </c>
      <c r="G68" s="6" t="str">
        <f>IF(OR(EDAData[[#This Row],[Score]]&lt;$R$44, EDAData[[#This Row],[Score]]&gt;$R$45), "OUTLIER", "Normal")</f>
        <v>Normal</v>
      </c>
      <c r="H68" s="6" t="str">
        <f>IF(OR(EDAData[[#This Row],[Income]]&lt;$Q$44, EDAData[[#This Row],[Income]]&gt;$Q$45), "OUTLIER", "Normal")</f>
        <v>Normal</v>
      </c>
      <c r="I68" s="4" t="str">
        <f>IF(AND(EDAData[[#This Row],[Outlier_Score]]="Outlier",EDAData[[#This Row],[Outlier_Income]]="Outlier"),"Both",IF(AND(EDAData[[#This Row],[Outlier_Score]]="Normal",EDAData[[#This Row],[Outlier_Income]]="Normal"),"None","Single"))</f>
        <v>None</v>
      </c>
    </row>
    <row r="69" spans="1:9" x14ac:dyDescent="0.25">
      <c r="A69" s="6">
        <v>568</v>
      </c>
      <c r="B69" s="6">
        <v>98</v>
      </c>
      <c r="C69" s="6">
        <v>10</v>
      </c>
      <c r="D69" s="7">
        <v>0.94</v>
      </c>
      <c r="E69" s="8">
        <v>119895</v>
      </c>
      <c r="F69" s="6" t="s">
        <v>7</v>
      </c>
      <c r="G69" s="6" t="str">
        <f>IF(OR(EDAData[[#This Row],[Score]]&lt;$R$44, EDAData[[#This Row],[Score]]&gt;$R$45), "OUTLIER", "Normal")</f>
        <v>Normal</v>
      </c>
      <c r="H69" s="6" t="str">
        <f>IF(OR(EDAData[[#This Row],[Income]]&lt;$Q$44, EDAData[[#This Row],[Income]]&gt;$Q$45), "OUTLIER", "Normal")</f>
        <v>Normal</v>
      </c>
      <c r="I69" s="4" t="str">
        <f>IF(AND(EDAData[[#This Row],[Outlier_Score]]="Outlier",EDAData[[#This Row],[Outlier_Income]]="Outlier"),"Both",IF(AND(EDAData[[#This Row],[Outlier_Score]]="Normal",EDAData[[#This Row],[Outlier_Income]]="Normal"),"None","Single"))</f>
        <v>None</v>
      </c>
    </row>
    <row r="70" spans="1:9" x14ac:dyDescent="0.25">
      <c r="A70" s="6">
        <v>569</v>
      </c>
      <c r="B70" s="6">
        <v>44</v>
      </c>
      <c r="C70" s="6">
        <v>5</v>
      </c>
      <c r="D70" s="7">
        <v>0.59</v>
      </c>
      <c r="E70" s="8">
        <v>101032</v>
      </c>
      <c r="F70" s="6" t="s">
        <v>6</v>
      </c>
      <c r="G70" s="6" t="str">
        <f>IF(OR(EDAData[[#This Row],[Score]]&lt;$R$44, EDAData[[#This Row],[Score]]&gt;$R$45), "OUTLIER", "Normal")</f>
        <v>Normal</v>
      </c>
      <c r="H70" s="6" t="str">
        <f>IF(OR(EDAData[[#This Row],[Income]]&lt;$Q$44, EDAData[[#This Row],[Income]]&gt;$Q$45), "OUTLIER", "Normal")</f>
        <v>Normal</v>
      </c>
      <c r="I70" s="4" t="str">
        <f>IF(AND(EDAData[[#This Row],[Outlier_Score]]="Outlier",EDAData[[#This Row],[Outlier_Income]]="Outlier"),"Both",IF(AND(EDAData[[#This Row],[Outlier_Score]]="Normal",EDAData[[#This Row],[Outlier_Income]]="Normal"),"None","Single"))</f>
        <v>None</v>
      </c>
    </row>
    <row r="71" spans="1:9" x14ac:dyDescent="0.25">
      <c r="A71" s="6">
        <v>570</v>
      </c>
      <c r="B71" s="6">
        <v>37</v>
      </c>
      <c r="C71" s="6">
        <v>8</v>
      </c>
      <c r="D71" s="7">
        <v>0.79</v>
      </c>
      <c r="E71" s="8">
        <v>112729</v>
      </c>
      <c r="F71" s="6" t="s">
        <v>7</v>
      </c>
      <c r="G71" s="6" t="str">
        <f>IF(OR(EDAData[[#This Row],[Score]]&lt;$R$44, EDAData[[#This Row],[Score]]&gt;$R$45), "OUTLIER", "Normal")</f>
        <v>Normal</v>
      </c>
      <c r="H71" s="6" t="str">
        <f>IF(OR(EDAData[[#This Row],[Income]]&lt;$Q$44, EDAData[[#This Row],[Income]]&gt;$Q$45), "OUTLIER", "Normal")</f>
        <v>Normal</v>
      </c>
      <c r="I71" s="4" t="str">
        <f>IF(AND(EDAData[[#This Row],[Outlier_Score]]="Outlier",EDAData[[#This Row],[Outlier_Income]]="Outlier"),"Both",IF(AND(EDAData[[#This Row],[Outlier_Score]]="Normal",EDAData[[#This Row],[Outlier_Income]]="Normal"),"None","Single"))</f>
        <v>None</v>
      </c>
    </row>
    <row r="72" spans="1:9" x14ac:dyDescent="0.25">
      <c r="A72" s="6">
        <v>571</v>
      </c>
      <c r="B72" s="6">
        <v>65</v>
      </c>
      <c r="C72" s="6">
        <v>8</v>
      </c>
      <c r="D72" s="7">
        <v>0.95</v>
      </c>
      <c r="E72" s="8">
        <v>90963</v>
      </c>
      <c r="F72" s="6" t="s">
        <v>5</v>
      </c>
      <c r="G72" s="6" t="str">
        <f>IF(OR(EDAData[[#This Row],[Score]]&lt;$R$44, EDAData[[#This Row],[Score]]&gt;$R$45), "OUTLIER", "Normal")</f>
        <v>Normal</v>
      </c>
      <c r="H72" s="6" t="str">
        <f>IF(OR(EDAData[[#This Row],[Income]]&lt;$Q$44, EDAData[[#This Row],[Income]]&gt;$Q$45), "OUTLIER", "Normal")</f>
        <v>Normal</v>
      </c>
      <c r="I72" s="4" t="str">
        <f>IF(AND(EDAData[[#This Row],[Outlier_Score]]="Outlier",EDAData[[#This Row],[Outlier_Income]]="Outlier"),"Both",IF(AND(EDAData[[#This Row],[Outlier_Score]]="Normal",EDAData[[#This Row],[Outlier_Income]]="Normal"),"None","Single"))</f>
        <v>None</v>
      </c>
    </row>
    <row r="73" spans="1:9" x14ac:dyDescent="0.25">
      <c r="A73" s="6">
        <v>572</v>
      </c>
      <c r="B73" s="6">
        <v>44</v>
      </c>
      <c r="C73" s="6">
        <v>5</v>
      </c>
      <c r="D73" s="7">
        <v>0.68</v>
      </c>
      <c r="E73" s="8">
        <v>113878</v>
      </c>
      <c r="F73" s="6" t="s">
        <v>7</v>
      </c>
      <c r="G73" s="6" t="str">
        <f>IF(OR(EDAData[[#This Row],[Score]]&lt;$R$44, EDAData[[#This Row],[Score]]&gt;$R$45), "OUTLIER", "Normal")</f>
        <v>Normal</v>
      </c>
      <c r="H73" s="6" t="str">
        <f>IF(OR(EDAData[[#This Row],[Income]]&lt;$Q$44, EDAData[[#This Row],[Income]]&gt;$Q$45), "OUTLIER", "Normal")</f>
        <v>Normal</v>
      </c>
      <c r="I73" s="4" t="str">
        <f>IF(AND(EDAData[[#This Row],[Outlier_Score]]="Outlier",EDAData[[#This Row],[Outlier_Income]]="Outlier"),"Both",IF(AND(EDAData[[#This Row],[Outlier_Score]]="Normal",EDAData[[#This Row],[Outlier_Income]]="Normal"),"None","Single"))</f>
        <v>None</v>
      </c>
    </row>
    <row r="74" spans="1:9" x14ac:dyDescent="0.25">
      <c r="A74" s="6">
        <v>573</v>
      </c>
      <c r="B74" s="6">
        <v>33</v>
      </c>
      <c r="C74" s="6">
        <v>10</v>
      </c>
      <c r="D74" s="7">
        <v>0.7</v>
      </c>
      <c r="E74" s="8">
        <v>134944</v>
      </c>
      <c r="F74" s="6" t="s">
        <v>7</v>
      </c>
      <c r="G74" s="6" t="str">
        <f>IF(OR(EDAData[[#This Row],[Score]]&lt;$R$44, EDAData[[#This Row],[Score]]&gt;$R$45), "OUTLIER", "Normal")</f>
        <v>Normal</v>
      </c>
      <c r="H74" s="6" t="str">
        <f>IF(OR(EDAData[[#This Row],[Income]]&lt;$Q$44, EDAData[[#This Row],[Income]]&gt;$Q$45), "OUTLIER", "Normal")</f>
        <v>Normal</v>
      </c>
      <c r="I74" s="4" t="str">
        <f>IF(AND(EDAData[[#This Row],[Outlier_Score]]="Outlier",EDAData[[#This Row],[Outlier_Income]]="Outlier"),"Both",IF(AND(EDAData[[#This Row],[Outlier_Score]]="Normal",EDAData[[#This Row],[Outlier_Income]]="Normal"),"None","Single"))</f>
        <v>None</v>
      </c>
    </row>
    <row r="75" spans="1:9" x14ac:dyDescent="0.25">
      <c r="A75" s="6">
        <v>574</v>
      </c>
      <c r="B75" s="6">
        <v>77</v>
      </c>
      <c r="C75" s="6">
        <v>5</v>
      </c>
      <c r="D75" s="7">
        <v>0.9</v>
      </c>
      <c r="E75" s="8">
        <v>114775</v>
      </c>
      <c r="F75" s="6" t="s">
        <v>5</v>
      </c>
      <c r="G75" s="6" t="str">
        <f>IF(OR(EDAData[[#This Row],[Score]]&lt;$R$44, EDAData[[#This Row],[Score]]&gt;$R$45), "OUTLIER", "Normal")</f>
        <v>Normal</v>
      </c>
      <c r="H75" s="6" t="str">
        <f>IF(OR(EDAData[[#This Row],[Income]]&lt;$Q$44, EDAData[[#This Row],[Income]]&gt;$Q$45), "OUTLIER", "Normal")</f>
        <v>Normal</v>
      </c>
      <c r="I75" s="4" t="str">
        <f>IF(AND(EDAData[[#This Row],[Outlier_Score]]="Outlier",EDAData[[#This Row],[Outlier_Income]]="Outlier"),"Both",IF(AND(EDAData[[#This Row],[Outlier_Score]]="Normal",EDAData[[#This Row],[Outlier_Income]]="Normal"),"None","Single"))</f>
        <v>None</v>
      </c>
    </row>
    <row r="76" spans="1:9" x14ac:dyDescent="0.25">
      <c r="A76" s="6">
        <v>575</v>
      </c>
      <c r="B76" s="6">
        <v>94</v>
      </c>
      <c r="C76" s="6">
        <v>4</v>
      </c>
      <c r="D76" s="7">
        <v>0.63</v>
      </c>
      <c r="E76" s="8">
        <v>142853</v>
      </c>
      <c r="F76" s="6" t="s">
        <v>5</v>
      </c>
      <c r="G76" s="6" t="str">
        <f>IF(OR(EDAData[[#This Row],[Score]]&lt;$R$44, EDAData[[#This Row],[Score]]&gt;$R$45), "OUTLIER", "Normal")</f>
        <v>Normal</v>
      </c>
      <c r="H76" s="6" t="str">
        <f>IF(OR(EDAData[[#This Row],[Income]]&lt;$Q$44, EDAData[[#This Row],[Income]]&gt;$Q$45), "OUTLIER", "Normal")</f>
        <v>Normal</v>
      </c>
      <c r="I76" s="4" t="str">
        <f>IF(AND(EDAData[[#This Row],[Outlier_Score]]="Outlier",EDAData[[#This Row],[Outlier_Income]]="Outlier"),"Both",IF(AND(EDAData[[#This Row],[Outlier_Score]]="Normal",EDAData[[#This Row],[Outlier_Income]]="Normal"),"None","Single"))</f>
        <v>None</v>
      </c>
    </row>
    <row r="77" spans="1:9" x14ac:dyDescent="0.25">
      <c r="A77" s="6">
        <v>576</v>
      </c>
      <c r="B77" s="6">
        <v>86</v>
      </c>
      <c r="C77" s="6">
        <v>3</v>
      </c>
      <c r="D77" s="7">
        <v>0.52</v>
      </c>
      <c r="E77" s="8">
        <v>125759</v>
      </c>
      <c r="F77" s="6" t="s">
        <v>7</v>
      </c>
      <c r="G77" s="6" t="str">
        <f>IF(OR(EDAData[[#This Row],[Score]]&lt;$R$44, EDAData[[#This Row],[Score]]&gt;$R$45), "OUTLIER", "Normal")</f>
        <v>Normal</v>
      </c>
      <c r="H77" s="6" t="str">
        <f>IF(OR(EDAData[[#This Row],[Income]]&lt;$Q$44, EDAData[[#This Row],[Income]]&gt;$Q$45), "OUTLIER", "Normal")</f>
        <v>Normal</v>
      </c>
      <c r="I77" s="4" t="str">
        <f>IF(AND(EDAData[[#This Row],[Outlier_Score]]="Outlier",EDAData[[#This Row],[Outlier_Income]]="Outlier"),"Both",IF(AND(EDAData[[#This Row],[Outlier_Score]]="Normal",EDAData[[#This Row],[Outlier_Income]]="Normal"),"None","Single"))</f>
        <v>None</v>
      </c>
    </row>
    <row r="78" spans="1:9" x14ac:dyDescent="0.25">
      <c r="A78" s="6">
        <v>577</v>
      </c>
      <c r="B78" s="6">
        <v>87</v>
      </c>
      <c r="C78" s="6">
        <v>9</v>
      </c>
      <c r="D78" s="7">
        <v>0.54</v>
      </c>
      <c r="E78" s="8">
        <v>118137</v>
      </c>
      <c r="F78" s="6" t="s">
        <v>7</v>
      </c>
      <c r="G78" s="6" t="str">
        <f>IF(OR(EDAData[[#This Row],[Score]]&lt;$R$44, EDAData[[#This Row],[Score]]&gt;$R$45), "OUTLIER", "Normal")</f>
        <v>Normal</v>
      </c>
      <c r="H78" s="6" t="str">
        <f>IF(OR(EDAData[[#This Row],[Income]]&lt;$Q$44, EDAData[[#This Row],[Income]]&gt;$Q$45), "OUTLIER", "Normal")</f>
        <v>Normal</v>
      </c>
      <c r="I78" s="4" t="str">
        <f>IF(AND(EDAData[[#This Row],[Outlier_Score]]="Outlier",EDAData[[#This Row],[Outlier_Income]]="Outlier"),"Both",IF(AND(EDAData[[#This Row],[Outlier_Score]]="Normal",EDAData[[#This Row],[Outlier_Income]]="Normal"),"None","Single"))</f>
        <v>None</v>
      </c>
    </row>
    <row r="79" spans="1:9" x14ac:dyDescent="0.25">
      <c r="A79" s="6">
        <v>578</v>
      </c>
      <c r="B79" s="6">
        <v>88</v>
      </c>
      <c r="C79" s="6">
        <v>2</v>
      </c>
      <c r="D79" s="7">
        <v>0.76</v>
      </c>
      <c r="E79" s="8">
        <v>140576</v>
      </c>
      <c r="F79" s="6" t="s">
        <v>7</v>
      </c>
      <c r="G79" s="6" t="str">
        <f>IF(OR(EDAData[[#This Row],[Score]]&lt;$R$44, EDAData[[#This Row],[Score]]&gt;$R$45), "OUTLIER", "Normal")</f>
        <v>Normal</v>
      </c>
      <c r="H79" s="6" t="str">
        <f>IF(OR(EDAData[[#This Row],[Income]]&lt;$Q$44, EDAData[[#This Row],[Income]]&gt;$Q$45), "OUTLIER", "Normal")</f>
        <v>Normal</v>
      </c>
      <c r="I79" s="4" t="str">
        <f>IF(AND(EDAData[[#This Row],[Outlier_Score]]="Outlier",EDAData[[#This Row],[Outlier_Income]]="Outlier"),"Both",IF(AND(EDAData[[#This Row],[Outlier_Score]]="Normal",EDAData[[#This Row],[Outlier_Income]]="Normal"),"None","Single"))</f>
        <v>None</v>
      </c>
    </row>
    <row r="80" spans="1:9" x14ac:dyDescent="0.25">
      <c r="A80" s="6">
        <v>579</v>
      </c>
      <c r="B80" s="6">
        <v>58</v>
      </c>
      <c r="C80" s="6">
        <v>3</v>
      </c>
      <c r="D80" s="7">
        <v>0.56999999999999995</v>
      </c>
      <c r="E80" s="8">
        <v>84373</v>
      </c>
      <c r="F80" s="6" t="s">
        <v>7</v>
      </c>
      <c r="G80" s="6" t="str">
        <f>IF(OR(EDAData[[#This Row],[Score]]&lt;$R$44, EDAData[[#This Row],[Score]]&gt;$R$45), "OUTLIER", "Normal")</f>
        <v>Normal</v>
      </c>
      <c r="H80" s="6" t="str">
        <f>IF(OR(EDAData[[#This Row],[Income]]&lt;$Q$44, EDAData[[#This Row],[Income]]&gt;$Q$45), "OUTLIER", "Normal")</f>
        <v>Normal</v>
      </c>
      <c r="I80" s="4" t="str">
        <f>IF(AND(EDAData[[#This Row],[Outlier_Score]]="Outlier",EDAData[[#This Row],[Outlier_Income]]="Outlier"),"Both",IF(AND(EDAData[[#This Row],[Outlier_Score]]="Normal",EDAData[[#This Row],[Outlier_Income]]="Normal"),"None","Single"))</f>
        <v>None</v>
      </c>
    </row>
    <row r="81" spans="1:9" x14ac:dyDescent="0.25">
      <c r="A81" s="6">
        <v>580</v>
      </c>
      <c r="B81" s="6">
        <v>44</v>
      </c>
      <c r="C81" s="6">
        <v>5</v>
      </c>
      <c r="D81" s="7">
        <v>0.91</v>
      </c>
      <c r="E81" s="8">
        <v>115686</v>
      </c>
      <c r="F81" s="6" t="s">
        <v>5</v>
      </c>
      <c r="G81" s="6" t="str">
        <f>IF(OR(EDAData[[#This Row],[Score]]&lt;$R$44, EDAData[[#This Row],[Score]]&gt;$R$45), "OUTLIER", "Normal")</f>
        <v>Normal</v>
      </c>
      <c r="H81" s="6" t="str">
        <f>IF(OR(EDAData[[#This Row],[Income]]&lt;$Q$44, EDAData[[#This Row],[Income]]&gt;$Q$45), "OUTLIER", "Normal")</f>
        <v>Normal</v>
      </c>
      <c r="I81" s="4" t="str">
        <f>IF(AND(EDAData[[#This Row],[Outlier_Score]]="Outlier",EDAData[[#This Row],[Outlier_Income]]="Outlier"),"Both",IF(AND(EDAData[[#This Row],[Outlier_Score]]="Normal",EDAData[[#This Row],[Outlier_Income]]="Normal"),"None","Single"))</f>
        <v>None</v>
      </c>
    </row>
    <row r="83" spans="1:9" x14ac:dyDescent="0.25">
      <c r="A83" s="22" t="s">
        <v>5</v>
      </c>
      <c r="B83" s="23">
        <f>AVERAGEIF(EDAData[Department],"Scientist",EDAData[Score])</f>
        <v>72.785714285714292</v>
      </c>
    </row>
    <row r="84" spans="1:9" x14ac:dyDescent="0.25">
      <c r="A84" s="22" t="s">
        <v>7</v>
      </c>
      <c r="B84" s="23">
        <f>AVERAGEIF(EDAData[Department],"Engineer",EDAData[Score])</f>
        <v>62.785714285714285</v>
      </c>
    </row>
    <row r="85" spans="1:9" x14ac:dyDescent="0.25">
      <c r="A85" s="22" t="s">
        <v>6</v>
      </c>
      <c r="B85" s="23">
        <f>AVERAGEIF(EDAData[Department],"Finance",EDAData[Score])</f>
        <v>58.375</v>
      </c>
    </row>
  </sheetData>
  <conditionalFormatting sqref="L33:P36">
    <cfRule type="cellIs" dxfId="4" priority="1" operator="equal">
      <formula>0</formula>
    </cfRule>
    <cfRule type="cellIs" dxfId="3" priority="2" operator="between">
      <formula>-0.1</formula>
      <formula>0.1</formula>
    </cfRule>
    <cfRule type="cellIs" dxfId="2" priority="3" operator="equal">
      <formula>0</formula>
    </cfRule>
    <cfRule type="cellIs" dxfId="1" priority="4" operator="lessThan">
      <formula>0</formula>
    </cfRule>
    <cfRule type="cellIs" dxfId="0" priority="5" operator="greaterThan">
      <formula>0</formula>
    </cfRule>
  </conditionalFormatting>
  <pageMargins left="0.7" right="0.7" top="0.75" bottom="0.75" header="0.3" footer="0.3"/>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525E1-AFBF-4C31-9CEB-6D6B0A9646E7}">
  <dimension ref="A1:L8"/>
  <sheetViews>
    <sheetView showGridLines="0" tabSelected="1" zoomScaleNormal="100" workbookViewId="0">
      <selection activeCell="C9" sqref="C9"/>
    </sheetView>
  </sheetViews>
  <sheetFormatPr defaultRowHeight="15" x14ac:dyDescent="0.25"/>
  <cols>
    <col min="1" max="1" width="27.28515625" bestFit="1" customWidth="1"/>
    <col min="2" max="2" width="13.140625" bestFit="1" customWidth="1"/>
    <col min="3" max="3" width="24.28515625" bestFit="1" customWidth="1"/>
    <col min="13" max="13" width="60.7109375" bestFit="1" customWidth="1"/>
  </cols>
  <sheetData>
    <row r="1" spans="1:12" ht="27" thickBot="1" x14ac:dyDescent="0.45">
      <c r="A1" s="24" t="s">
        <v>19</v>
      </c>
      <c r="B1" s="25"/>
      <c r="C1" s="25"/>
      <c r="D1" s="25"/>
      <c r="E1" s="25"/>
      <c r="F1" s="25"/>
      <c r="G1" s="25"/>
      <c r="H1" s="25"/>
      <c r="I1" s="25"/>
      <c r="J1" s="25"/>
      <c r="K1" s="25"/>
      <c r="L1" s="25"/>
    </row>
    <row r="2" spans="1:12" ht="21" x14ac:dyDescent="0.35">
      <c r="A2" s="30" t="s">
        <v>23</v>
      </c>
      <c r="B2" s="26" t="s">
        <v>24</v>
      </c>
      <c r="C2" s="27" t="s">
        <v>29</v>
      </c>
      <c r="D2" s="33"/>
      <c r="E2" s="33"/>
      <c r="F2" s="33"/>
      <c r="G2" s="33"/>
      <c r="H2" s="33"/>
      <c r="I2" s="33"/>
      <c r="J2" s="33"/>
      <c r="K2" s="33"/>
      <c r="L2" s="33"/>
    </row>
    <row r="3" spans="1:12" ht="15.75" thickBot="1" x14ac:dyDescent="0.3">
      <c r="A3" s="28"/>
      <c r="B3" s="28"/>
      <c r="C3" s="29"/>
      <c r="D3" s="3"/>
      <c r="E3" s="3"/>
      <c r="F3" s="3"/>
      <c r="G3" s="3"/>
      <c r="H3" s="3"/>
      <c r="I3" s="3"/>
      <c r="J3" s="3"/>
      <c r="K3" s="3"/>
      <c r="L3" s="3"/>
    </row>
    <row r="4" spans="1:12" x14ac:dyDescent="0.25">
      <c r="A4" s="32" t="s">
        <v>25</v>
      </c>
      <c r="B4" s="32">
        <f>AVERAGE(EDAData[Score])</f>
        <v>64.962500000000006</v>
      </c>
    </row>
    <row r="5" spans="1:12" x14ac:dyDescent="0.25">
      <c r="A5" s="31" t="s">
        <v>26</v>
      </c>
      <c r="B5" s="31">
        <f>COUNTIF(EDAData[Score],"&gt;=70")/ROWS(EDAData[Score])</f>
        <v>0.42499999999999999</v>
      </c>
    </row>
    <row r="6" spans="1:12" x14ac:dyDescent="0.25">
      <c r="A6" s="31" t="s">
        <v>27</v>
      </c>
      <c r="B6" s="31">
        <f>MAX(EDAData[Score])</f>
        <v>100</v>
      </c>
    </row>
    <row r="7" spans="1:12" x14ac:dyDescent="0.25">
      <c r="A7" s="31" t="s">
        <v>28</v>
      </c>
      <c r="B7" s="31">
        <f>COUNTIF(EDAData[Outlier_Score],"Outlier")</f>
        <v>0</v>
      </c>
    </row>
    <row r="8" spans="1:12" x14ac:dyDescent="0.25">
      <c r="A8" s="6"/>
    </row>
  </sheetData>
  <mergeCells count="4">
    <mergeCell ref="A1:L1"/>
    <mergeCell ref="A2:A3"/>
    <mergeCell ref="B2:B3"/>
    <mergeCell ref="C2:C3"/>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2583E5A3-31E7-4AFB-B1E1-7F43E74440F2}">
          <x14:colorSeries rgb="FF376092"/>
          <x14:colorNegative rgb="FFD00000"/>
          <x14:colorAxis rgb="FF000000"/>
          <x14:colorMarkers rgb="FFD00000"/>
          <x14:colorFirst rgb="FFD00000"/>
          <x14:colorLast rgb="FFD00000"/>
          <x14:colorHigh rgb="FFD00000"/>
          <x14:colorLow rgb="FFD00000"/>
          <x14:sparklines>
            <x14:sparkline>
              <xm:f>Main!B2:B81</xm:f>
              <xm:sqref>C4</xm:sqref>
            </x14:sparkline>
            <x14:sparkline>
              <xm:f>Main!B3:B82</xm:f>
              <xm:sqref>C5</xm:sqref>
            </x14:sparkline>
            <x14:sparkline>
              <xm:f>Main!B4:B83</xm:f>
              <xm:sqref>C6</xm:sqref>
            </x14:sparkline>
            <x14:sparkline>
              <xm:f>Main!B5:B84</xm:f>
              <xm:sqref>C7</xm:sqref>
            </x14:sparkline>
          </x14:sparklines>
        </x14:sparklineGroup>
      </x14:sparklineGroups>
    </ex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EDA_Dashboard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Batch3</dc:creator>
  <cp:lastModifiedBy>Batch3</cp:lastModifiedBy>
  <dcterms:created xsi:type="dcterms:W3CDTF">2026-05-16T10:39:59Z</dcterms:created>
  <dcterms:modified xsi:type="dcterms:W3CDTF">2026-05-20T09:51:37Z</dcterms:modified>
</cp:coreProperties>
</file>