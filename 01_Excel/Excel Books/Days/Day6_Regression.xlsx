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Krish\01_Excel\Excel Books\"/>
    </mc:Choice>
  </mc:AlternateContent>
  <xr:revisionPtr revIDLastSave="0" documentId="13_ncr:1_{6F0554D0-0C44-4DC9-BFB6-D9BA75468EF1}" xr6:coauthVersionLast="47" xr6:coauthVersionMax="47" xr10:uidLastSave="{00000000-0000-0000-0000-000000000000}"/>
  <bookViews>
    <workbookView xWindow="-120" yWindow="-120" windowWidth="24240" windowHeight="13140" activeTab="3" xr2:uid="{257D0638-623D-4B1C-B16D-EC579B5A31DC}"/>
  </bookViews>
  <sheets>
    <sheet name="📊 RawData" sheetId="1" r:id="rId1"/>
    <sheet name="SimpleReg" sheetId="2" r:id="rId2"/>
    <sheet name="ToolPakReg" sheetId="3" r:id="rId3"/>
    <sheet name="MultiRe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8" i="4" l="1"/>
  <c r="AE9" i="4"/>
  <c r="AE10" i="4"/>
  <c r="AE11" i="4"/>
  <c r="AE7" i="4"/>
  <c r="M4" i="2" l="1"/>
  <c r="I5" i="2"/>
  <c r="I4" i="2"/>
  <c r="I3" i="2"/>
  <c r="I2" i="2"/>
  <c r="L6" i="1" l="1"/>
  <c r="M6" i="1" s="1"/>
  <c r="N4" i="2"/>
  <c r="L3" i="1"/>
  <c r="M3" i="1" s="1"/>
  <c r="L82" i="1"/>
  <c r="M82" i="1" s="1"/>
  <c r="L78" i="1"/>
  <c r="M78" i="1" s="1"/>
  <c r="L74" i="1"/>
  <c r="M74" i="1" s="1"/>
  <c r="L70" i="1"/>
  <c r="M70" i="1" s="1"/>
  <c r="L66" i="1"/>
  <c r="M66" i="1" s="1"/>
  <c r="L62" i="1"/>
  <c r="M62" i="1" s="1"/>
  <c r="L58" i="1"/>
  <c r="M58" i="1" s="1"/>
  <c r="L54" i="1"/>
  <c r="M54" i="1" s="1"/>
  <c r="L50" i="1"/>
  <c r="M50" i="1" s="1"/>
  <c r="L46" i="1"/>
  <c r="M46" i="1" s="1"/>
  <c r="L42" i="1"/>
  <c r="M42" i="1" s="1"/>
  <c r="L38" i="1"/>
  <c r="M38" i="1" s="1"/>
  <c r="L34" i="1"/>
  <c r="M34" i="1" s="1"/>
  <c r="L30" i="1"/>
  <c r="M30" i="1" s="1"/>
  <c r="L26" i="1"/>
  <c r="M26" i="1" s="1"/>
  <c r="L22" i="1"/>
  <c r="M22" i="1" s="1"/>
  <c r="L18" i="1"/>
  <c r="M18" i="1" s="1"/>
  <c r="L14" i="1"/>
  <c r="M14" i="1" s="1"/>
  <c r="L10" i="1"/>
  <c r="M10" i="1" s="1"/>
  <c r="L81" i="1"/>
  <c r="M81" i="1" s="1"/>
  <c r="L77" i="1"/>
  <c r="M77" i="1" s="1"/>
  <c r="L73" i="1"/>
  <c r="M73" i="1" s="1"/>
  <c r="L69" i="1"/>
  <c r="M69" i="1" s="1"/>
  <c r="L65" i="1"/>
  <c r="M65" i="1" s="1"/>
  <c r="L61" i="1"/>
  <c r="M61" i="1" s="1"/>
  <c r="L57" i="1"/>
  <c r="M57" i="1" s="1"/>
  <c r="L53" i="1"/>
  <c r="M53" i="1" s="1"/>
  <c r="L49" i="1"/>
  <c r="M49" i="1" s="1"/>
  <c r="L45" i="1"/>
  <c r="M45" i="1" s="1"/>
  <c r="L41" i="1"/>
  <c r="M41" i="1" s="1"/>
  <c r="L37" i="1"/>
  <c r="M37" i="1" s="1"/>
  <c r="L33" i="1"/>
  <c r="M33" i="1" s="1"/>
  <c r="L29" i="1"/>
  <c r="M29" i="1" s="1"/>
  <c r="L25" i="1"/>
  <c r="M25" i="1" s="1"/>
  <c r="L21" i="1"/>
  <c r="M21" i="1" s="1"/>
  <c r="L17" i="1"/>
  <c r="M17" i="1" s="1"/>
  <c r="L13" i="1"/>
  <c r="M13" i="1" s="1"/>
  <c r="L9" i="1"/>
  <c r="M9" i="1" s="1"/>
  <c r="L5" i="1"/>
  <c r="M5" i="1" s="1"/>
  <c r="L80" i="1"/>
  <c r="M80" i="1" s="1"/>
  <c r="L76" i="1"/>
  <c r="M76" i="1" s="1"/>
  <c r="L72" i="1"/>
  <c r="M72" i="1" s="1"/>
  <c r="L68" i="1"/>
  <c r="M68" i="1" s="1"/>
  <c r="L64" i="1"/>
  <c r="M64" i="1" s="1"/>
  <c r="L60" i="1"/>
  <c r="M60" i="1" s="1"/>
  <c r="L56" i="1"/>
  <c r="M56" i="1" s="1"/>
  <c r="L52" i="1"/>
  <c r="M52" i="1" s="1"/>
  <c r="L48" i="1"/>
  <c r="M48" i="1" s="1"/>
  <c r="L44" i="1"/>
  <c r="M44" i="1" s="1"/>
  <c r="L40" i="1"/>
  <c r="M40" i="1" s="1"/>
  <c r="L36" i="1"/>
  <c r="M36" i="1" s="1"/>
  <c r="L32" i="1"/>
  <c r="M32" i="1" s="1"/>
  <c r="L28" i="1"/>
  <c r="M28" i="1" s="1"/>
  <c r="L24" i="1"/>
  <c r="M24" i="1" s="1"/>
  <c r="L20" i="1"/>
  <c r="M20" i="1" s="1"/>
  <c r="L16" i="1"/>
  <c r="M16" i="1" s="1"/>
  <c r="L12" i="1"/>
  <c r="M12" i="1" s="1"/>
  <c r="L8" i="1"/>
  <c r="M8" i="1" s="1"/>
  <c r="L4" i="1"/>
  <c r="M4" i="1" s="1"/>
  <c r="L79" i="1"/>
  <c r="M79" i="1" s="1"/>
  <c r="L75" i="1"/>
  <c r="M75" i="1" s="1"/>
  <c r="L71" i="1"/>
  <c r="M71" i="1" s="1"/>
  <c r="L67" i="1"/>
  <c r="M67" i="1" s="1"/>
  <c r="L63" i="1"/>
  <c r="M63" i="1" s="1"/>
  <c r="L59" i="1"/>
  <c r="M59" i="1" s="1"/>
  <c r="L55" i="1"/>
  <c r="M55" i="1" s="1"/>
  <c r="L51" i="1"/>
  <c r="M51" i="1" s="1"/>
  <c r="L47" i="1"/>
  <c r="M47" i="1" s="1"/>
  <c r="L43" i="1"/>
  <c r="M43" i="1" s="1"/>
  <c r="L39" i="1"/>
  <c r="M39" i="1" s="1"/>
  <c r="L35" i="1"/>
  <c r="M35" i="1" s="1"/>
  <c r="L31" i="1"/>
  <c r="M31" i="1" s="1"/>
  <c r="L27" i="1"/>
  <c r="M27" i="1" s="1"/>
  <c r="L23" i="1"/>
  <c r="M23" i="1" s="1"/>
  <c r="L19" i="1"/>
  <c r="M19" i="1" s="1"/>
  <c r="L15" i="1"/>
  <c r="M15" i="1" s="1"/>
  <c r="L11" i="1"/>
  <c r="M11" i="1" s="1"/>
  <c r="L7" i="1"/>
  <c r="M7" i="1" s="1"/>
</calcChain>
</file>

<file path=xl/sharedStrings.xml><?xml version="1.0" encoding="utf-8"?>
<sst xmlns="http://schemas.openxmlformats.org/spreadsheetml/2006/main" count="256" uniqueCount="139">
  <si>
    <t>ID</t>
  </si>
  <si>
    <t>Name</t>
  </si>
  <si>
    <t>Department</t>
  </si>
  <si>
    <t>StudyHours</t>
  </si>
  <si>
    <t>Attendance%</t>
  </si>
  <si>
    <t>Income(£)</t>
  </si>
  <si>
    <t>Score</t>
  </si>
  <si>
    <t>Pass(0/1)</t>
  </si>
  <si>
    <t>Is_Eng</t>
  </si>
  <si>
    <t>Is_Mkt</t>
  </si>
  <si>
    <t>Is_Sci</t>
  </si>
  <si>
    <t>Student_001</t>
  </si>
  <si>
    <t>Science</t>
  </si>
  <si>
    <t>Student_002</t>
  </si>
  <si>
    <t>Student_003</t>
  </si>
  <si>
    <t>Engineering</t>
  </si>
  <si>
    <t>Student_004</t>
  </si>
  <si>
    <t>Marketing</t>
  </si>
  <si>
    <t>Student_005</t>
  </si>
  <si>
    <t>Student_006</t>
  </si>
  <si>
    <t>Student_007</t>
  </si>
  <si>
    <t>Student_008</t>
  </si>
  <si>
    <t>Student_009</t>
  </si>
  <si>
    <t>Student_010</t>
  </si>
  <si>
    <t>Student_011</t>
  </si>
  <si>
    <t>Student_012</t>
  </si>
  <si>
    <t>Student_013</t>
  </si>
  <si>
    <t>Finance</t>
  </si>
  <si>
    <t>Student_014</t>
  </si>
  <si>
    <t>Student_015</t>
  </si>
  <si>
    <t>Student_016</t>
  </si>
  <si>
    <t>Student_017</t>
  </si>
  <si>
    <t>Student_018</t>
  </si>
  <si>
    <t>Student_019</t>
  </si>
  <si>
    <t>Student_020</t>
  </si>
  <si>
    <t>Student_021</t>
  </si>
  <si>
    <t>Student_022</t>
  </si>
  <si>
    <t>Student_023</t>
  </si>
  <si>
    <t>Student_024</t>
  </si>
  <si>
    <t>Student_025</t>
  </si>
  <si>
    <t>Student_026</t>
  </si>
  <si>
    <t>Student_027</t>
  </si>
  <si>
    <t>Student_028</t>
  </si>
  <si>
    <t>Student_029</t>
  </si>
  <si>
    <t>Student_030</t>
  </si>
  <si>
    <t>Student_031</t>
  </si>
  <si>
    <t>Student_032</t>
  </si>
  <si>
    <t>Student_033</t>
  </si>
  <si>
    <t>Student_034</t>
  </si>
  <si>
    <t>Student_035</t>
  </si>
  <si>
    <t>Student_036</t>
  </si>
  <si>
    <t>Student_037</t>
  </si>
  <si>
    <t>Student_038</t>
  </si>
  <si>
    <t>Student_039</t>
  </si>
  <si>
    <t>Student_040</t>
  </si>
  <si>
    <t>Student_041</t>
  </si>
  <si>
    <t>Student_042</t>
  </si>
  <si>
    <t>Student_043</t>
  </si>
  <si>
    <t>Student_044</t>
  </si>
  <si>
    <t>Student_045</t>
  </si>
  <si>
    <t>Student_046</t>
  </si>
  <si>
    <t>Student_047</t>
  </si>
  <si>
    <t>Student_048</t>
  </si>
  <si>
    <t>Student_049</t>
  </si>
  <si>
    <t>Student_050</t>
  </si>
  <si>
    <t>Student_051</t>
  </si>
  <si>
    <t>Student_052</t>
  </si>
  <si>
    <t>Student_053</t>
  </si>
  <si>
    <t>Student_054</t>
  </si>
  <si>
    <t>Student_055</t>
  </si>
  <si>
    <t>Student_056</t>
  </si>
  <si>
    <t>Student_057</t>
  </si>
  <si>
    <t>Student_058</t>
  </si>
  <si>
    <t>Student_059</t>
  </si>
  <si>
    <t>Student_060</t>
  </si>
  <si>
    <t>Student_061</t>
  </si>
  <si>
    <t>Student_062</t>
  </si>
  <si>
    <t>Student_063</t>
  </si>
  <si>
    <t>Student_064</t>
  </si>
  <si>
    <t>Student_065</t>
  </si>
  <si>
    <t>Student_066</t>
  </si>
  <si>
    <t>Student_067</t>
  </si>
  <si>
    <t>Student_068</t>
  </si>
  <si>
    <t>Student_069</t>
  </si>
  <si>
    <t>Student_070</t>
  </si>
  <si>
    <t>Student_071</t>
  </si>
  <si>
    <t>Student_072</t>
  </si>
  <si>
    <t>Student_073</t>
  </si>
  <si>
    <t>Student_074</t>
  </si>
  <si>
    <t>Student_075</t>
  </si>
  <si>
    <t>Student_076</t>
  </si>
  <si>
    <t>Student_077</t>
  </si>
  <si>
    <t>Student_078</t>
  </si>
  <si>
    <t>Student_079</t>
  </si>
  <si>
    <t>Student_080</t>
  </si>
  <si>
    <t>Regression parameter panel</t>
  </si>
  <si>
    <t>Slope (β₁)</t>
  </si>
  <si>
    <t>Intercept (β₀)</t>
  </si>
  <si>
    <t>R²</t>
  </si>
  <si>
    <t>Correlation r</t>
  </si>
  <si>
    <t>Predicted_Score</t>
  </si>
  <si>
    <t>Residual</t>
  </si>
  <si>
    <t>Day 6 — Regression  |  Student Performance Dataset  |  80 Rows</t>
  </si>
  <si>
    <t> FORECAST</t>
  </si>
  <si>
    <t>Forecast</t>
  </si>
  <si>
    <t>Manual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</si>
  <si>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</si>
  <si>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</si>
  <si>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</si>
  <si>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</si>
  <si>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</si>
  <si>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</si>
  <si>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</si>
  <si>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</si>
  <si>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</si>
  <si>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</si>
  <si>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</si>
  <si>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</si>
  <si>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</si>
  <si>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</si>
  <si>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</si>
  <si>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</si>
  <si>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</si>
  <si>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</si>
  <si>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</si>
  <si>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</si>
  <si>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</si>
  <si>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</si>
  <si>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</si>
  <si>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</si>
  <si>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</si>
  <si>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Score</t>
  </si>
  <si>
    <t>Residuals</t>
  </si>
  <si>
    <t>Feature</t>
  </si>
  <si>
    <t>Coefficient</t>
  </si>
  <si>
    <t>p-Value</t>
  </si>
  <si>
    <t>Significant</t>
  </si>
  <si>
    <t>Keep/Drop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</si>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</sst>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0"/>
      <color rgb="FF18243A"/>
      <name val="Arial"/>
      <family val="2"/>
    </font>
    <font>
      <sz val="16"/>
      <color theme="1"/>
      <name val="Aptos Narrow"/>
      <family val="2"/>
      <scheme val="minor"/>
    </font>
    <font>
      <sz val="10"/>
      <color rgb="FF18243A"/>
      <name val="Courier New"/>
      <family val="3"/>
    </font>
    <font>
      <sz val="11"/>
      <color rgb="FF18243A"/>
      <name val="Aptos Narrow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3" applyNumberFormat="0" applyFont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2" fillId="0" borderId="1" xfId="1" applyAlignment="1">
      <alignment horizontal="center" vertical="center"/>
    </xf>
    <xf numFmtId="0" fontId="3" fillId="2" borderId="2" xfId="2" applyAlignment="1">
      <alignment horizontal="center" vertical="center"/>
    </xf>
    <xf numFmtId="2" fontId="0" fillId="3" borderId="3" xfId="3" applyNumberFormat="1" applyFont="1" applyAlignment="1">
      <alignment horizontal="center" vertical="center"/>
    </xf>
    <xf numFmtId="0" fontId="0" fillId="0" borderId="0" xfId="0" applyFill="1" applyBorder="1" applyAlignment="1"/>
    <xf numFmtId="0" fontId="0" fillId="0" borderId="14" xfId="0" applyFill="1" applyBorder="1" applyAlignment="1"/>
    <xf numFmtId="0" fontId="8" fillId="0" borderId="15" xfId="0" applyFont="1" applyFill="1" applyBorder="1" applyAlignment="1">
      <alignment horizontal="center"/>
    </xf>
    <xf numFmtId="0" fontId="8" fillId="0" borderId="15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4" xfId="0" applyNumberFormat="1" applyFill="1" applyBorder="1" applyAlignment="1"/>
  </cellXfs>
  <cellStyles count="4">
    <cellStyle name="Heading 3" xfId="1" builtinId="18"/>
    <cellStyle name="Input" xfId="2" builtinId="20"/>
    <cellStyle name="Normal" xfId="0" builtinId="0"/>
    <cellStyle name="Note" xfId="3" builtinId="10"/>
  </cellStyles>
  <dxfs count="1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599321959755031"/>
                  <c:y val="-7.10177894429862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'📊 RawData'!$D$57:$D$82</c:f>
              <c:numCache>
                <c:formatCode>General</c:formatCode>
                <c:ptCount val="26"/>
                <c:pt idx="0">
                  <c:v>4.0999999999999996</c:v>
                </c:pt>
                <c:pt idx="1">
                  <c:v>7</c:v>
                </c:pt>
                <c:pt idx="2">
                  <c:v>5.8</c:v>
                </c:pt>
                <c:pt idx="3">
                  <c:v>5.5</c:v>
                </c:pt>
                <c:pt idx="4">
                  <c:v>5.4</c:v>
                </c:pt>
                <c:pt idx="5">
                  <c:v>4.7</c:v>
                </c:pt>
                <c:pt idx="6">
                  <c:v>1.4</c:v>
                </c:pt>
                <c:pt idx="7">
                  <c:v>3.5</c:v>
                </c:pt>
                <c:pt idx="8">
                  <c:v>5.4</c:v>
                </c:pt>
                <c:pt idx="9">
                  <c:v>2.7</c:v>
                </c:pt>
                <c:pt idx="10">
                  <c:v>8.6</c:v>
                </c:pt>
                <c:pt idx="11">
                  <c:v>2.7</c:v>
                </c:pt>
                <c:pt idx="12">
                  <c:v>4.5999999999999996</c:v>
                </c:pt>
                <c:pt idx="13">
                  <c:v>5.6</c:v>
                </c:pt>
                <c:pt idx="14">
                  <c:v>5.0999999999999996</c:v>
                </c:pt>
                <c:pt idx="15">
                  <c:v>6.6</c:v>
                </c:pt>
                <c:pt idx="16">
                  <c:v>0.5</c:v>
                </c:pt>
                <c:pt idx="17">
                  <c:v>6.5</c:v>
                </c:pt>
                <c:pt idx="18">
                  <c:v>3.9</c:v>
                </c:pt>
                <c:pt idx="19">
                  <c:v>4.9000000000000004</c:v>
                </c:pt>
                <c:pt idx="20">
                  <c:v>4.4000000000000004</c:v>
                </c:pt>
                <c:pt idx="21">
                  <c:v>4.0999999999999996</c:v>
                </c:pt>
                <c:pt idx="22">
                  <c:v>4.5</c:v>
                </c:pt>
                <c:pt idx="23">
                  <c:v>6.5</c:v>
                </c:pt>
                <c:pt idx="24">
                  <c:v>3.7</c:v>
                </c:pt>
                <c:pt idx="25">
                  <c:v>2.6</c:v>
                </c:pt>
              </c:numCache>
            </c:numRef>
          </c:xVal>
          <c:yVal>
            <c:numRef>
              <c:f>'📊 RawData'!$I$57:$I$82</c:f>
              <c:numCache>
                <c:formatCode>General</c:formatCode>
                <c:ptCount val="26"/>
                <c:pt idx="0">
                  <c:v>78.400000000000006</c:v>
                </c:pt>
                <c:pt idx="1">
                  <c:v>99.6</c:v>
                </c:pt>
                <c:pt idx="2">
                  <c:v>93.5</c:v>
                </c:pt>
                <c:pt idx="3">
                  <c:v>79.2</c:v>
                </c:pt>
                <c:pt idx="4">
                  <c:v>86.5</c:v>
                </c:pt>
                <c:pt idx="5">
                  <c:v>79.8</c:v>
                </c:pt>
                <c:pt idx="6">
                  <c:v>57.4</c:v>
                </c:pt>
                <c:pt idx="7">
                  <c:v>69.3</c:v>
                </c:pt>
                <c:pt idx="8">
                  <c:v>86.9</c:v>
                </c:pt>
                <c:pt idx="9">
                  <c:v>80.8</c:v>
                </c:pt>
                <c:pt idx="10">
                  <c:v>89.4</c:v>
                </c:pt>
                <c:pt idx="11">
                  <c:v>64</c:v>
                </c:pt>
                <c:pt idx="12">
                  <c:v>90.7</c:v>
                </c:pt>
                <c:pt idx="13">
                  <c:v>86.7</c:v>
                </c:pt>
                <c:pt idx="14">
                  <c:v>84.4</c:v>
                </c:pt>
                <c:pt idx="15">
                  <c:v>77.599999999999994</c:v>
                </c:pt>
                <c:pt idx="16">
                  <c:v>65.8</c:v>
                </c:pt>
                <c:pt idx="17">
                  <c:v>89.8</c:v>
                </c:pt>
                <c:pt idx="18">
                  <c:v>77.8</c:v>
                </c:pt>
                <c:pt idx="19">
                  <c:v>80.7</c:v>
                </c:pt>
                <c:pt idx="20">
                  <c:v>61.6</c:v>
                </c:pt>
                <c:pt idx="21">
                  <c:v>84.3</c:v>
                </c:pt>
                <c:pt idx="22">
                  <c:v>82.4</c:v>
                </c:pt>
                <c:pt idx="23">
                  <c:v>86</c:v>
                </c:pt>
                <c:pt idx="24">
                  <c:v>68.599999999999994</c:v>
                </c:pt>
                <c:pt idx="25">
                  <c:v>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5-4DB9-B335-867649661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906591"/>
        <c:axId val="1462908031"/>
      </c:scatterChart>
      <c:valAx>
        <c:axId val="146290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908031"/>
        <c:crosses val="autoZero"/>
        <c:crossBetween val="midCat"/>
      </c:valAx>
      <c:valAx>
        <c:axId val="146290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90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StudyHours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11758639545056868"/>
                  <c:y val="-0.23946627361235018"/>
                </c:manualLayout>
              </c:layout>
              <c:numFmt formatCode="General" sourceLinked="0"/>
            </c:trendlineLbl>
          </c:trendline>
          <c:xVal>
            <c:numRef>
              <c:f>'📊 RawData'!$D$3:$D$115</c:f>
              <c:numCache>
                <c:formatCode>General</c:formatCode>
                <c:ptCount val="113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ToolPakReg!$C$25:$C$104</c:f>
              <c:numCache>
                <c:formatCode>0.00</c:formatCode>
                <c:ptCount val="80"/>
                <c:pt idx="0">
                  <c:v>7.7608984044387199</c:v>
                </c:pt>
                <c:pt idx="1">
                  <c:v>-2.1863277013259932</c:v>
                </c:pt>
                <c:pt idx="2">
                  <c:v>8.9840374909877312</c:v>
                </c:pt>
                <c:pt idx="3">
                  <c:v>-0.54126683594037672</c:v>
                </c:pt>
                <c:pt idx="4">
                  <c:v>8.0565679236805465</c:v>
                </c:pt>
                <c:pt idx="5">
                  <c:v>-5.6588581340188</c:v>
                </c:pt>
                <c:pt idx="6">
                  <c:v>-6.9610233743978966</c:v>
                </c:pt>
                <c:pt idx="7">
                  <c:v>-15.721510297482851</c:v>
                </c:pt>
                <c:pt idx="8">
                  <c:v>0.9059592698243506</c:v>
                </c:pt>
                <c:pt idx="9">
                  <c:v>-2.7215102974828511</c:v>
                </c:pt>
                <c:pt idx="10">
                  <c:v>-5.16873640324755</c:v>
                </c:pt>
                <c:pt idx="11">
                  <c:v>8.0334288371315239</c:v>
                </c:pt>
                <c:pt idx="12">
                  <c:v>-16.91812774939136</c:v>
                </c:pt>
                <c:pt idx="13">
                  <c:v>3.7488548948308846</c:v>
                </c:pt>
                <c:pt idx="14">
                  <c:v>2.365228885196899</c:v>
                </c:pt>
                <c:pt idx="15">
                  <c:v>-3.1566928936397005</c:v>
                </c:pt>
                <c:pt idx="16">
                  <c:v>-3.1335538070907063</c:v>
                </c:pt>
                <c:pt idx="17">
                  <c:v>0.18065494289623985</c:v>
                </c:pt>
                <c:pt idx="18">
                  <c:v>-1.8653538551560729</c:v>
                </c:pt>
                <c:pt idx="19">
                  <c:v>-8.0918754897965641</c:v>
                </c:pt>
                <c:pt idx="20">
                  <c:v>-5.8434320763194592</c:v>
                </c:pt>
                <c:pt idx="21">
                  <c:v>4.4608984044387228</c:v>
                </c:pt>
                <c:pt idx="22">
                  <c:v>12.866446192909294</c:v>
                </c:pt>
                <c:pt idx="23">
                  <c:v>-0.12584077824102735</c:v>
                </c:pt>
                <c:pt idx="24">
                  <c:v>-1.3125799609207789</c:v>
                </c:pt>
                <c:pt idx="25">
                  <c:v>-8.7150145763455811</c:v>
                </c:pt>
                <c:pt idx="26">
                  <c:v>0.365228885196899</c:v>
                </c:pt>
                <c:pt idx="27">
                  <c:v>-6.6270580859534221</c:v>
                </c:pt>
                <c:pt idx="28">
                  <c:v>-9.0906581820841694</c:v>
                </c:pt>
                <c:pt idx="29">
                  <c:v>5.5698287410007907</c:v>
                </c:pt>
                <c:pt idx="30">
                  <c:v>-6.3357190474697944</c:v>
                </c:pt>
                <c:pt idx="31">
                  <c:v>9.6368113852230266</c:v>
                </c:pt>
                <c:pt idx="32">
                  <c:v>-7.553310345548212</c:v>
                </c:pt>
                <c:pt idx="33">
                  <c:v>9.0763244621380608</c:v>
                </c:pt>
                <c:pt idx="34">
                  <c:v>-14.928006018620124</c:v>
                </c:pt>
                <c:pt idx="35">
                  <c:v>4.988367971745916</c:v>
                </c:pt>
                <c:pt idx="36">
                  <c:v>-6.0202929897704465</c:v>
                </c:pt>
                <c:pt idx="37">
                  <c:v>3.8960810005955722</c:v>
                </c:pt>
                <c:pt idx="38">
                  <c:v>-4.561023374397891</c:v>
                </c:pt>
                <c:pt idx="39">
                  <c:v>-3.6434320763194563</c:v>
                </c:pt>
                <c:pt idx="40">
                  <c:v>-2.617179816724672</c:v>
                </c:pt>
                <c:pt idx="41">
                  <c:v>13.556567923680547</c:v>
                </c:pt>
                <c:pt idx="42">
                  <c:v>3.2587331640596204</c:v>
                </c:pt>
                <c:pt idx="43">
                  <c:v>0.19729830830799244</c:v>
                </c:pt>
                <c:pt idx="44">
                  <c:v>-6.6829451532344919</c:v>
                </c:pt>
                <c:pt idx="45">
                  <c:v>10.150072202543278</c:v>
                </c:pt>
                <c:pt idx="46">
                  <c:v>0.6235505679027824</c:v>
                </c:pt>
                <c:pt idx="47">
                  <c:v>-6.5489798647900415</c:v>
                </c:pt>
                <c:pt idx="48">
                  <c:v>-7.2554755859273143</c:v>
                </c:pt>
                <c:pt idx="49">
                  <c:v>-2.2511451051691154</c:v>
                </c:pt>
                <c:pt idx="50">
                  <c:v>4.6213853275236829</c:v>
                </c:pt>
                <c:pt idx="51">
                  <c:v>10.951020135209959</c:v>
                </c:pt>
                <c:pt idx="52">
                  <c:v>2.8059592698243421</c:v>
                </c:pt>
                <c:pt idx="53">
                  <c:v>-6.8147452012998642</c:v>
                </c:pt>
                <c:pt idx="54">
                  <c:v>2.9741592217589812</c:v>
                </c:pt>
                <c:pt idx="55">
                  <c:v>10.470776673667473</c:v>
                </c:pt>
                <c:pt idx="56">
                  <c:v>10.041141865981203</c:v>
                </c:pt>
                <c:pt idx="57">
                  <c:v>-2.8412668359403739</c:v>
                </c:pt>
                <c:pt idx="58">
                  <c:v>4.9312635967524443</c:v>
                </c:pt>
                <c:pt idx="59">
                  <c:v>1.5389766256021034</c:v>
                </c:pt>
                <c:pt idx="60">
                  <c:v>-5.2675190955351567</c:v>
                </c:pt>
                <c:pt idx="61">
                  <c:v>-3.2906581820841723</c:v>
                </c:pt>
                <c:pt idx="62">
                  <c:v>5.33126359675245</c:v>
                </c:pt>
                <c:pt idx="63">
                  <c:v>11.989585279458311</c:v>
                </c:pt>
                <c:pt idx="64">
                  <c:v>-7.2897102494174675</c:v>
                </c:pt>
                <c:pt idx="65">
                  <c:v>-4.8104147205416865</c:v>
                </c:pt>
                <c:pt idx="66">
                  <c:v>12.91150705829493</c:v>
                </c:pt>
                <c:pt idx="67">
                  <c:v>4.1862027313668335</c:v>
                </c:pt>
                <c:pt idx="68">
                  <c:v>4.2488548948308846</c:v>
                </c:pt>
                <c:pt idx="69">
                  <c:v>-9.6391015955612858</c:v>
                </c:pt>
                <c:pt idx="70">
                  <c:v>7.3852547987001316</c:v>
                </c:pt>
                <c:pt idx="71">
                  <c:v>3.0334288371315239</c:v>
                </c:pt>
                <c:pt idx="72">
                  <c:v>3.3192200871445863</c:v>
                </c:pt>
                <c:pt idx="73">
                  <c:v>1.4939157602164954</c:v>
                </c:pt>
                <c:pt idx="74">
                  <c:v>-15.243432076319458</c:v>
                </c:pt>
                <c:pt idx="75">
                  <c:v>8.8741592217589726</c:v>
                </c:pt>
                <c:pt idx="76">
                  <c:v>5.0840374909877397</c:v>
                </c:pt>
                <c:pt idx="77">
                  <c:v>-0.76657116286847327</c:v>
                </c:pt>
                <c:pt idx="78">
                  <c:v>-4.9357190474698029</c:v>
                </c:pt>
                <c:pt idx="79">
                  <c:v>-1.7378842878488854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1-472C-80C4-3A70CE71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91279"/>
        <c:axId val="1545491759"/>
      </c:scatterChart>
      <c:valAx>
        <c:axId val="1545491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StudyHours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5491759"/>
        <c:crosses val="autoZero"/>
        <c:crossBetween val="midCat"/>
      </c:valAx>
      <c:valAx>
        <c:axId val="1545491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45491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StudyHours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30977963692038496"/>
                  <c:y val="-0.12497960032223694"/>
                </c:manualLayout>
              </c:layout>
              <c:numFmt formatCode="General" sourceLinked="0"/>
            </c:trendlineLbl>
          </c:trendline>
          <c:xVal>
            <c:numRef>
              <c:f>'📊 RawData'!$D$3:$D$115</c:f>
              <c:numCache>
                <c:formatCode>General</c:formatCode>
                <c:ptCount val="113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'📊 RawData'!$I$3:$I$115</c:f>
              <c:numCache>
                <c:formatCode>General</c:formatCode>
                <c:ptCount val="113"/>
                <c:pt idx="0">
                  <c:v>95</c:v>
                </c:pt>
                <c:pt idx="1">
                  <c:v>80.8</c:v>
                </c:pt>
                <c:pt idx="2">
                  <c:v>86.3</c:v>
                </c:pt>
                <c:pt idx="3">
                  <c:v>81.5</c:v>
                </c:pt>
                <c:pt idx="4">
                  <c:v>84.9</c:v>
                </c:pt>
                <c:pt idx="5">
                  <c:v>77.8</c:v>
                </c:pt>
                <c:pt idx="6">
                  <c:v>71.3</c:v>
                </c:pt>
                <c:pt idx="7">
                  <c:v>70.099999999999994</c:v>
                </c:pt>
                <c:pt idx="8">
                  <c:v>87.2</c:v>
                </c:pt>
                <c:pt idx="9">
                  <c:v>83.1</c:v>
                </c:pt>
                <c:pt idx="10">
                  <c:v>76.400000000000006</c:v>
                </c:pt>
                <c:pt idx="11">
                  <c:v>94.8</c:v>
                </c:pt>
                <c:pt idx="12">
                  <c:v>55.2</c:v>
                </c:pt>
                <c:pt idx="13">
                  <c:v>83.9</c:v>
                </c:pt>
                <c:pt idx="14">
                  <c:v>100</c:v>
                </c:pt>
                <c:pt idx="15">
                  <c:v>85.5</c:v>
                </c:pt>
                <c:pt idx="16">
                  <c:v>75.599999999999994</c:v>
                </c:pt>
                <c:pt idx="17">
                  <c:v>91.2</c:v>
                </c:pt>
                <c:pt idx="18">
                  <c:v>66</c:v>
                </c:pt>
                <c:pt idx="19">
                  <c:v>83.4</c:v>
                </c:pt>
                <c:pt idx="20">
                  <c:v>71</c:v>
                </c:pt>
                <c:pt idx="21">
                  <c:v>91.7</c:v>
                </c:pt>
                <c:pt idx="22">
                  <c:v>91.6</c:v>
                </c:pt>
                <c:pt idx="23">
                  <c:v>75.3</c:v>
                </c:pt>
                <c:pt idx="24">
                  <c:v>62.3</c:v>
                </c:pt>
                <c:pt idx="25">
                  <c:v>92.7</c:v>
                </c:pt>
                <c:pt idx="26">
                  <c:v>98</c:v>
                </c:pt>
                <c:pt idx="27">
                  <c:v>87.7</c:v>
                </c:pt>
                <c:pt idx="28">
                  <c:v>63.5</c:v>
                </c:pt>
                <c:pt idx="29">
                  <c:v>70.599999999999994</c:v>
                </c:pt>
                <c:pt idx="30">
                  <c:v>67.2</c:v>
                </c:pt>
                <c:pt idx="31">
                  <c:v>82.7</c:v>
                </c:pt>
                <c:pt idx="32">
                  <c:v>67.400000000000006</c:v>
                </c:pt>
                <c:pt idx="33">
                  <c:v>89.7</c:v>
                </c:pt>
                <c:pt idx="34">
                  <c:v>55.3</c:v>
                </c:pt>
                <c:pt idx="35">
                  <c:v>92.7</c:v>
                </c:pt>
                <c:pt idx="36">
                  <c:v>60.9</c:v>
                </c:pt>
                <c:pt idx="37">
                  <c:v>88.3</c:v>
                </c:pt>
                <c:pt idx="38">
                  <c:v>73.7</c:v>
                </c:pt>
                <c:pt idx="39">
                  <c:v>73.2</c:v>
                </c:pt>
                <c:pt idx="40">
                  <c:v>93.6</c:v>
                </c:pt>
                <c:pt idx="41">
                  <c:v>90.4</c:v>
                </c:pt>
                <c:pt idx="42">
                  <c:v>85.3</c:v>
                </c:pt>
                <c:pt idx="43">
                  <c:v>65.7</c:v>
                </c:pt>
                <c:pt idx="44">
                  <c:v>62.6</c:v>
                </c:pt>
                <c:pt idx="45">
                  <c:v>71.400000000000006</c:v>
                </c:pt>
                <c:pt idx="46">
                  <c:v>85.5</c:v>
                </c:pt>
                <c:pt idx="47">
                  <c:v>78.8</c:v>
                </c:pt>
                <c:pt idx="48">
                  <c:v>62.5</c:v>
                </c:pt>
                <c:pt idx="49">
                  <c:v>77.900000000000006</c:v>
                </c:pt>
                <c:pt idx="50">
                  <c:v>84.3</c:v>
                </c:pt>
                <c:pt idx="51">
                  <c:v>96.3</c:v>
                </c:pt>
                <c:pt idx="52">
                  <c:v>89.1</c:v>
                </c:pt>
                <c:pt idx="53">
                  <c:v>51.6</c:v>
                </c:pt>
                <c:pt idx="54">
                  <c:v>78.400000000000006</c:v>
                </c:pt>
                <c:pt idx="55">
                  <c:v>99.6</c:v>
                </c:pt>
                <c:pt idx="56">
                  <c:v>93.5</c:v>
                </c:pt>
                <c:pt idx="57">
                  <c:v>79.2</c:v>
                </c:pt>
                <c:pt idx="58">
                  <c:v>86.5</c:v>
                </c:pt>
                <c:pt idx="59">
                  <c:v>79.8</c:v>
                </c:pt>
                <c:pt idx="60">
                  <c:v>57.4</c:v>
                </c:pt>
                <c:pt idx="61">
                  <c:v>69.3</c:v>
                </c:pt>
                <c:pt idx="62">
                  <c:v>86.9</c:v>
                </c:pt>
                <c:pt idx="63">
                  <c:v>80.8</c:v>
                </c:pt>
                <c:pt idx="64">
                  <c:v>89.4</c:v>
                </c:pt>
                <c:pt idx="65">
                  <c:v>64</c:v>
                </c:pt>
                <c:pt idx="66">
                  <c:v>90.7</c:v>
                </c:pt>
                <c:pt idx="67">
                  <c:v>86.7</c:v>
                </c:pt>
                <c:pt idx="68">
                  <c:v>84.4</c:v>
                </c:pt>
                <c:pt idx="69">
                  <c:v>77.599999999999994</c:v>
                </c:pt>
                <c:pt idx="70">
                  <c:v>65.8</c:v>
                </c:pt>
                <c:pt idx="71">
                  <c:v>89.8</c:v>
                </c:pt>
                <c:pt idx="72">
                  <c:v>77.8</c:v>
                </c:pt>
                <c:pt idx="73">
                  <c:v>80.7</c:v>
                </c:pt>
                <c:pt idx="74">
                  <c:v>61.6</c:v>
                </c:pt>
                <c:pt idx="75">
                  <c:v>84.3</c:v>
                </c:pt>
                <c:pt idx="76">
                  <c:v>82.4</c:v>
                </c:pt>
                <c:pt idx="77">
                  <c:v>86</c:v>
                </c:pt>
                <c:pt idx="78">
                  <c:v>68.599999999999994</c:v>
                </c:pt>
                <c:pt idx="79">
                  <c:v>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67-4080-8D67-6227DBDC756B}"/>
            </c:ext>
          </c:extLst>
        </c:ser>
        <c:ser>
          <c:idx val="1"/>
          <c:order val="1"/>
          <c:tx>
            <c:v>Predicted Score</c:v>
          </c:tx>
          <c:spPr>
            <a:ln w="38100">
              <a:noFill/>
            </a:ln>
          </c:spPr>
          <c:xVal>
            <c:numRef>
              <c:f>'📊 RawData'!$D$3:$D$115</c:f>
              <c:numCache>
                <c:formatCode>General</c:formatCode>
                <c:ptCount val="113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ToolPakReg!$B$25:$B$104</c:f>
              <c:numCache>
                <c:formatCode>0.00</c:formatCode>
                <c:ptCount val="80"/>
                <c:pt idx="0">
                  <c:v>87.23910159556128</c:v>
                </c:pt>
                <c:pt idx="1">
                  <c:v>82.98632770132599</c:v>
                </c:pt>
                <c:pt idx="2">
                  <c:v>77.315962509012266</c:v>
                </c:pt>
                <c:pt idx="3">
                  <c:v>82.041266835940377</c:v>
                </c:pt>
                <c:pt idx="4">
                  <c:v>76.843432076319459</c:v>
                </c:pt>
                <c:pt idx="5">
                  <c:v>83.458858134018797</c:v>
                </c:pt>
                <c:pt idx="6">
                  <c:v>78.261023374397894</c:v>
                </c:pt>
                <c:pt idx="7">
                  <c:v>85.821510297482845</c:v>
                </c:pt>
                <c:pt idx="8">
                  <c:v>86.294040730175652</c:v>
                </c:pt>
                <c:pt idx="9">
                  <c:v>85.821510297482845</c:v>
                </c:pt>
                <c:pt idx="10">
                  <c:v>81.568736403247556</c:v>
                </c:pt>
                <c:pt idx="11">
                  <c:v>86.766571162868473</c:v>
                </c:pt>
                <c:pt idx="12">
                  <c:v>72.118127749391363</c:v>
                </c:pt>
                <c:pt idx="13">
                  <c:v>80.151145105169121</c:v>
                </c:pt>
                <c:pt idx="14">
                  <c:v>97.634771114803101</c:v>
                </c:pt>
                <c:pt idx="15">
                  <c:v>88.656692893639701</c:v>
                </c:pt>
                <c:pt idx="16">
                  <c:v>78.733553807090701</c:v>
                </c:pt>
                <c:pt idx="17">
                  <c:v>91.019345057103763</c:v>
                </c:pt>
                <c:pt idx="18">
                  <c:v>67.865353855156073</c:v>
                </c:pt>
                <c:pt idx="19">
                  <c:v>91.49187548979657</c:v>
                </c:pt>
                <c:pt idx="20">
                  <c:v>76.843432076319459</c:v>
                </c:pt>
                <c:pt idx="21">
                  <c:v>87.23910159556128</c:v>
                </c:pt>
                <c:pt idx="22">
                  <c:v>78.733553807090701</c:v>
                </c:pt>
                <c:pt idx="23">
                  <c:v>75.425840778241025</c:v>
                </c:pt>
                <c:pt idx="24">
                  <c:v>63.612579960920776</c:v>
                </c:pt>
                <c:pt idx="25">
                  <c:v>101.41501457634558</c:v>
                </c:pt>
                <c:pt idx="26">
                  <c:v>97.634771114803101</c:v>
                </c:pt>
                <c:pt idx="27">
                  <c:v>94.327058085953425</c:v>
                </c:pt>
                <c:pt idx="28">
                  <c:v>72.590658182084169</c:v>
                </c:pt>
                <c:pt idx="29">
                  <c:v>65.030171258999204</c:v>
                </c:pt>
                <c:pt idx="30">
                  <c:v>73.535719047469797</c:v>
                </c:pt>
                <c:pt idx="31">
                  <c:v>73.063188614776976</c:v>
                </c:pt>
                <c:pt idx="32">
                  <c:v>74.953310345548218</c:v>
                </c:pt>
                <c:pt idx="33">
                  <c:v>80.623675537861942</c:v>
                </c:pt>
                <c:pt idx="34">
                  <c:v>70.228006018620121</c:v>
                </c:pt>
                <c:pt idx="35">
                  <c:v>87.711632028254087</c:v>
                </c:pt>
                <c:pt idx="36">
                  <c:v>66.920292989770445</c:v>
                </c:pt>
                <c:pt idx="37">
                  <c:v>84.403918999404425</c:v>
                </c:pt>
                <c:pt idx="38">
                  <c:v>78.261023374397894</c:v>
                </c:pt>
                <c:pt idx="39">
                  <c:v>76.843432076319459</c:v>
                </c:pt>
                <c:pt idx="40">
                  <c:v>96.217179816724666</c:v>
                </c:pt>
                <c:pt idx="41">
                  <c:v>76.843432076319459</c:v>
                </c:pt>
                <c:pt idx="42">
                  <c:v>82.041266835940377</c:v>
                </c:pt>
                <c:pt idx="43">
                  <c:v>65.50270169169201</c:v>
                </c:pt>
                <c:pt idx="44">
                  <c:v>69.282945153234493</c:v>
                </c:pt>
                <c:pt idx="45">
                  <c:v>61.249927797456728</c:v>
                </c:pt>
                <c:pt idx="46">
                  <c:v>84.876449432097218</c:v>
                </c:pt>
                <c:pt idx="47">
                  <c:v>85.348979864790039</c:v>
                </c:pt>
                <c:pt idx="48">
                  <c:v>69.755475585927314</c:v>
                </c:pt>
                <c:pt idx="49">
                  <c:v>80.151145105169121</c:v>
                </c:pt>
                <c:pt idx="50">
                  <c:v>79.678614672476314</c:v>
                </c:pt>
                <c:pt idx="51">
                  <c:v>85.348979864790039</c:v>
                </c:pt>
                <c:pt idx="52">
                  <c:v>86.294040730175652</c:v>
                </c:pt>
                <c:pt idx="53">
                  <c:v>58.414745201299866</c:v>
                </c:pt>
                <c:pt idx="54">
                  <c:v>75.425840778241025</c:v>
                </c:pt>
                <c:pt idx="55">
                  <c:v>89.129223326332522</c:v>
                </c:pt>
                <c:pt idx="56">
                  <c:v>83.458858134018797</c:v>
                </c:pt>
                <c:pt idx="57">
                  <c:v>82.041266835940377</c:v>
                </c:pt>
                <c:pt idx="58">
                  <c:v>81.568736403247556</c:v>
                </c:pt>
                <c:pt idx="59">
                  <c:v>78.261023374397894</c:v>
                </c:pt>
                <c:pt idx="60">
                  <c:v>62.667519095535155</c:v>
                </c:pt>
                <c:pt idx="61">
                  <c:v>72.590658182084169</c:v>
                </c:pt>
                <c:pt idx="62">
                  <c:v>81.568736403247556</c:v>
                </c:pt>
                <c:pt idx="63">
                  <c:v>68.810414720541687</c:v>
                </c:pt>
                <c:pt idx="64">
                  <c:v>96.689710249417473</c:v>
                </c:pt>
                <c:pt idx="65">
                  <c:v>68.810414720541687</c:v>
                </c:pt>
                <c:pt idx="66">
                  <c:v>77.788492941705073</c:v>
                </c:pt>
                <c:pt idx="67">
                  <c:v>82.513797268633169</c:v>
                </c:pt>
                <c:pt idx="68">
                  <c:v>80.151145105169121</c:v>
                </c:pt>
                <c:pt idx="69">
                  <c:v>87.23910159556128</c:v>
                </c:pt>
                <c:pt idx="70">
                  <c:v>58.414745201299866</c:v>
                </c:pt>
                <c:pt idx="71">
                  <c:v>86.766571162868473</c:v>
                </c:pt>
                <c:pt idx="72">
                  <c:v>74.480779912855411</c:v>
                </c:pt>
                <c:pt idx="73">
                  <c:v>79.206084239783507</c:v>
                </c:pt>
                <c:pt idx="74">
                  <c:v>76.843432076319459</c:v>
                </c:pt>
                <c:pt idx="75">
                  <c:v>75.425840778241025</c:v>
                </c:pt>
                <c:pt idx="76">
                  <c:v>77.315962509012266</c:v>
                </c:pt>
                <c:pt idx="77">
                  <c:v>86.766571162868473</c:v>
                </c:pt>
                <c:pt idx="78">
                  <c:v>73.535719047469797</c:v>
                </c:pt>
                <c:pt idx="79">
                  <c:v>68.33788428784888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7-4080-8D67-6227DBDC7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497887"/>
        <c:axId val="1664498367"/>
      </c:scatterChart>
      <c:valAx>
        <c:axId val="1664497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StudyHours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4498367"/>
        <c:crosses val="autoZero"/>
        <c:crossBetween val="midCat"/>
      </c:valAx>
      <c:valAx>
        <c:axId val="1664498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44978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StudyHours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11758639545056868"/>
                  <c:y val="-0.298579574104961"/>
                </c:manualLayout>
              </c:layout>
              <c:numFmt formatCode="General" sourceLinked="0"/>
            </c:trendlineLbl>
          </c:trendline>
          <c:xVal>
            <c:numRef>
              <c:f>'📊 RawData'!$D$3:$D$82</c:f>
              <c:numCache>
                <c:formatCode>General</c:formatCode>
                <c:ptCount val="80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MultiReg!$C$28:$C$107</c:f>
              <c:numCache>
                <c:formatCode>0.00</c:formatCode>
                <c:ptCount val="80"/>
                <c:pt idx="0">
                  <c:v>8.0620371162306554</c:v>
                </c:pt>
                <c:pt idx="1">
                  <c:v>-0.95071028752187203</c:v>
                </c:pt>
                <c:pt idx="2">
                  <c:v>6.9160206175839392</c:v>
                </c:pt>
                <c:pt idx="3">
                  <c:v>0.54007478296188083</c:v>
                </c:pt>
                <c:pt idx="4">
                  <c:v>10.753716574967342</c:v>
                </c:pt>
                <c:pt idx="5">
                  <c:v>-8.0741392595374037</c:v>
                </c:pt>
                <c:pt idx="6">
                  <c:v>-2.9537920922302447</c:v>
                </c:pt>
                <c:pt idx="7">
                  <c:v>-6.1007067779398767</c:v>
                </c:pt>
                <c:pt idx="8">
                  <c:v>0.85913626957648148</c:v>
                </c:pt>
                <c:pt idx="9">
                  <c:v>-5.6801038072709389</c:v>
                </c:pt>
                <c:pt idx="10">
                  <c:v>-2.3589685921762111</c:v>
                </c:pt>
                <c:pt idx="11">
                  <c:v>4.0568229175244426</c:v>
                </c:pt>
                <c:pt idx="12">
                  <c:v>-14.221444071387879</c:v>
                </c:pt>
                <c:pt idx="13">
                  <c:v>3.0709153790577943</c:v>
                </c:pt>
                <c:pt idx="14">
                  <c:v>4.2453471597262649</c:v>
                </c:pt>
                <c:pt idx="15">
                  <c:v>4.5728534591024612</c:v>
                </c:pt>
                <c:pt idx="16">
                  <c:v>-2.3732291433243518</c:v>
                </c:pt>
                <c:pt idx="17">
                  <c:v>-0.75544017649075101</c:v>
                </c:pt>
                <c:pt idx="18">
                  <c:v>-0.56432247547738257</c:v>
                </c:pt>
                <c:pt idx="19">
                  <c:v>-1.8731048942173629</c:v>
                </c:pt>
                <c:pt idx="20">
                  <c:v>-3.1119942369061704</c:v>
                </c:pt>
                <c:pt idx="21">
                  <c:v>2.913984555132771</c:v>
                </c:pt>
                <c:pt idx="22">
                  <c:v>9.0575487287030256</c:v>
                </c:pt>
                <c:pt idx="23">
                  <c:v>-4.7993000684943468</c:v>
                </c:pt>
                <c:pt idx="24">
                  <c:v>-1.1224750897276365</c:v>
                </c:pt>
                <c:pt idx="25">
                  <c:v>-9.7914084209461834</c:v>
                </c:pt>
                <c:pt idx="26">
                  <c:v>-2.4834932172006887</c:v>
                </c:pt>
                <c:pt idx="27">
                  <c:v>-2.5984943361761594</c:v>
                </c:pt>
                <c:pt idx="28">
                  <c:v>-3.7162420295505143</c:v>
                </c:pt>
                <c:pt idx="29">
                  <c:v>3.7615044750977376</c:v>
                </c:pt>
                <c:pt idx="30">
                  <c:v>-3.9052328642277701</c:v>
                </c:pt>
                <c:pt idx="31">
                  <c:v>3.5026604014489067</c:v>
                </c:pt>
                <c:pt idx="32">
                  <c:v>-8.1268113105880104</c:v>
                </c:pt>
                <c:pt idx="33">
                  <c:v>2.4102434621243276</c:v>
                </c:pt>
                <c:pt idx="34">
                  <c:v>-13.987158262972955</c:v>
                </c:pt>
                <c:pt idx="35">
                  <c:v>1.7473171183973477</c:v>
                </c:pt>
                <c:pt idx="36">
                  <c:v>1.3666714535845585</c:v>
                </c:pt>
                <c:pt idx="37">
                  <c:v>4.2475362626713604</c:v>
                </c:pt>
                <c:pt idx="38">
                  <c:v>-1.9635635442802055</c:v>
                </c:pt>
                <c:pt idx="39">
                  <c:v>-3.4465898312239318</c:v>
                </c:pt>
                <c:pt idx="40">
                  <c:v>1.6418490045386989</c:v>
                </c:pt>
                <c:pt idx="41">
                  <c:v>10.771025323345711</c:v>
                </c:pt>
                <c:pt idx="42">
                  <c:v>5.0503498474082846</c:v>
                </c:pt>
                <c:pt idx="43">
                  <c:v>0.94744038585292856</c:v>
                </c:pt>
                <c:pt idx="44">
                  <c:v>-5.4649825080793093</c:v>
                </c:pt>
                <c:pt idx="45">
                  <c:v>13.930785947427331</c:v>
                </c:pt>
                <c:pt idx="46">
                  <c:v>-4.8843613811152551</c:v>
                </c:pt>
                <c:pt idx="47">
                  <c:v>-6.4474622486767288</c:v>
                </c:pt>
                <c:pt idx="48">
                  <c:v>-0.91382854714180439</c:v>
                </c:pt>
                <c:pt idx="49">
                  <c:v>-5.375036540042359</c:v>
                </c:pt>
                <c:pt idx="50">
                  <c:v>3.9939948486760812</c:v>
                </c:pt>
                <c:pt idx="51">
                  <c:v>10.501880935831181</c:v>
                </c:pt>
                <c:pt idx="52">
                  <c:v>5.5855695983144358</c:v>
                </c:pt>
                <c:pt idx="53">
                  <c:v>-2.2061320002107649</c:v>
                </c:pt>
                <c:pt idx="54">
                  <c:v>-1.8623635297676771</c:v>
                </c:pt>
                <c:pt idx="55">
                  <c:v>6.7461103771929771</c:v>
                </c:pt>
                <c:pt idx="56">
                  <c:v>6.0152914266937927</c:v>
                </c:pt>
                <c:pt idx="57">
                  <c:v>-1.3828890197193431</c:v>
                </c:pt>
                <c:pt idx="58">
                  <c:v>7.7718753836312686</c:v>
                </c:pt>
                <c:pt idx="59">
                  <c:v>6.3921476700010373</c:v>
                </c:pt>
                <c:pt idx="60">
                  <c:v>-4.8002993348339942</c:v>
                </c:pt>
                <c:pt idx="61">
                  <c:v>-11.745792261977215</c:v>
                </c:pt>
                <c:pt idx="62">
                  <c:v>3.1913278702133709</c:v>
                </c:pt>
                <c:pt idx="63">
                  <c:v>8.6852081013044398</c:v>
                </c:pt>
                <c:pt idx="64">
                  <c:v>-4.9221710815965594</c:v>
                </c:pt>
                <c:pt idx="65">
                  <c:v>-11.566301828981324</c:v>
                </c:pt>
                <c:pt idx="66">
                  <c:v>7.1511905128609925</c:v>
                </c:pt>
                <c:pt idx="67">
                  <c:v>-1.410585379510465</c:v>
                </c:pt>
                <c:pt idx="68">
                  <c:v>3.6796243532400297</c:v>
                </c:pt>
                <c:pt idx="69">
                  <c:v>-8.3867593596748407</c:v>
                </c:pt>
                <c:pt idx="70">
                  <c:v>7.5096228147722925</c:v>
                </c:pt>
                <c:pt idx="71">
                  <c:v>2.2980268440266798</c:v>
                </c:pt>
                <c:pt idx="72">
                  <c:v>-1.1043015571462576</c:v>
                </c:pt>
                <c:pt idx="73">
                  <c:v>1.5041949994537873</c:v>
                </c:pt>
                <c:pt idx="74">
                  <c:v>-5.0419189941398699</c:v>
                </c:pt>
                <c:pt idx="75">
                  <c:v>9.1268929578324389</c:v>
                </c:pt>
                <c:pt idx="76">
                  <c:v>2.3294775843640849</c:v>
                </c:pt>
                <c:pt idx="77">
                  <c:v>-4.5458244330757225</c:v>
                </c:pt>
                <c:pt idx="78">
                  <c:v>-3.5107908754133916</c:v>
                </c:pt>
                <c:pt idx="79">
                  <c:v>-6.377751849900676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1D-4C45-8721-FF85942B3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388943"/>
        <c:axId val="1402387503"/>
      </c:scatterChart>
      <c:valAx>
        <c:axId val="1402388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StudyHours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387503"/>
        <c:crosses val="autoZero"/>
        <c:crossBetween val="midCat"/>
      </c:valAx>
      <c:valAx>
        <c:axId val="1402387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40238894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Attendance%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1305055227471566"/>
                  <c:y val="-0.29758218341519194"/>
                </c:manualLayout>
              </c:layout>
              <c:numFmt formatCode="General" sourceLinked="0"/>
            </c:trendlineLbl>
          </c:trendline>
          <c:xVal>
            <c:numRef>
              <c:f>'📊 RawData'!$E$3:$E$82</c:f>
              <c:numCache>
                <c:formatCode>General</c:formatCode>
                <c:ptCount val="80"/>
                <c:pt idx="0">
                  <c:v>79.5</c:v>
                </c:pt>
                <c:pt idx="1">
                  <c:v>74.8</c:v>
                </c:pt>
                <c:pt idx="2">
                  <c:v>77.900000000000006</c:v>
                </c:pt>
                <c:pt idx="3">
                  <c:v>93.7</c:v>
                </c:pt>
                <c:pt idx="4">
                  <c:v>67.599999999999994</c:v>
                </c:pt>
                <c:pt idx="5">
                  <c:v>81</c:v>
                </c:pt>
                <c:pt idx="6">
                  <c:v>63.2</c:v>
                </c:pt>
                <c:pt idx="7">
                  <c:v>63.4</c:v>
                </c:pt>
                <c:pt idx="8">
                  <c:v>80.5</c:v>
                </c:pt>
                <c:pt idx="9">
                  <c:v>83.7</c:v>
                </c:pt>
                <c:pt idx="10">
                  <c:v>87.2</c:v>
                </c:pt>
                <c:pt idx="11">
                  <c:v>95.1</c:v>
                </c:pt>
                <c:pt idx="12">
                  <c:v>66.2</c:v>
                </c:pt>
                <c:pt idx="13">
                  <c:v>81</c:v>
                </c:pt>
                <c:pt idx="14">
                  <c:v>69.400000000000006</c:v>
                </c:pt>
                <c:pt idx="15">
                  <c:v>71.2</c:v>
                </c:pt>
                <c:pt idx="16">
                  <c:v>93.9</c:v>
                </c:pt>
                <c:pt idx="17">
                  <c:v>77.8</c:v>
                </c:pt>
                <c:pt idx="18">
                  <c:v>62.7</c:v>
                </c:pt>
                <c:pt idx="19">
                  <c:v>77.599999999999994</c:v>
                </c:pt>
                <c:pt idx="20">
                  <c:v>60.1</c:v>
                </c:pt>
                <c:pt idx="21">
                  <c:v>86.3</c:v>
                </c:pt>
                <c:pt idx="22">
                  <c:v>92.1</c:v>
                </c:pt>
                <c:pt idx="23">
                  <c:v>94.3</c:v>
                </c:pt>
                <c:pt idx="24">
                  <c:v>72.900000000000006</c:v>
                </c:pt>
                <c:pt idx="25">
                  <c:v>81.400000000000006</c:v>
                </c:pt>
                <c:pt idx="26">
                  <c:v>86.8</c:v>
                </c:pt>
                <c:pt idx="27">
                  <c:v>86.5</c:v>
                </c:pt>
                <c:pt idx="28">
                  <c:v>75.099999999999994</c:v>
                </c:pt>
                <c:pt idx="29">
                  <c:v>73.3</c:v>
                </c:pt>
                <c:pt idx="30">
                  <c:v>67.599999999999994</c:v>
                </c:pt>
                <c:pt idx="31">
                  <c:v>91.6</c:v>
                </c:pt>
                <c:pt idx="32">
                  <c:v>71.7</c:v>
                </c:pt>
                <c:pt idx="33">
                  <c:v>95.8</c:v>
                </c:pt>
                <c:pt idx="34">
                  <c:v>72.099999999999994</c:v>
                </c:pt>
                <c:pt idx="35">
                  <c:v>85.3</c:v>
                </c:pt>
                <c:pt idx="36">
                  <c:v>47.4</c:v>
                </c:pt>
                <c:pt idx="37">
                  <c:v>71.099999999999994</c:v>
                </c:pt>
                <c:pt idx="38">
                  <c:v>87</c:v>
                </c:pt>
                <c:pt idx="39">
                  <c:v>76.8</c:v>
                </c:pt>
                <c:pt idx="40">
                  <c:v>67.599999999999994</c:v>
                </c:pt>
                <c:pt idx="41">
                  <c:v>80.400000000000006</c:v>
                </c:pt>
                <c:pt idx="42">
                  <c:v>65.099999999999994</c:v>
                </c:pt>
                <c:pt idx="43">
                  <c:v>71.400000000000006</c:v>
                </c:pt>
                <c:pt idx="44">
                  <c:v>70.8</c:v>
                </c:pt>
                <c:pt idx="45">
                  <c:v>77.599999999999994</c:v>
                </c:pt>
                <c:pt idx="46">
                  <c:v>92.8</c:v>
                </c:pt>
                <c:pt idx="47">
                  <c:v>72.3</c:v>
                </c:pt>
                <c:pt idx="48">
                  <c:v>70.7</c:v>
                </c:pt>
                <c:pt idx="49">
                  <c:v>90</c:v>
                </c:pt>
                <c:pt idx="50">
                  <c:v>73.3</c:v>
                </c:pt>
                <c:pt idx="51">
                  <c:v>81.7</c:v>
                </c:pt>
                <c:pt idx="52">
                  <c:v>70.099999999999994</c:v>
                </c:pt>
                <c:pt idx="53">
                  <c:v>55.1</c:v>
                </c:pt>
                <c:pt idx="54">
                  <c:v>94.9</c:v>
                </c:pt>
                <c:pt idx="55">
                  <c:v>87.5</c:v>
                </c:pt>
                <c:pt idx="56">
                  <c:v>94.3</c:v>
                </c:pt>
                <c:pt idx="57">
                  <c:v>73.7</c:v>
                </c:pt>
                <c:pt idx="58">
                  <c:v>61.1</c:v>
                </c:pt>
                <c:pt idx="59">
                  <c:v>78.7</c:v>
                </c:pt>
                <c:pt idx="60">
                  <c:v>71.599999999999994</c:v>
                </c:pt>
                <c:pt idx="61">
                  <c:v>100</c:v>
                </c:pt>
                <c:pt idx="62">
                  <c:v>86.8</c:v>
                </c:pt>
                <c:pt idx="63">
                  <c:v>87.3</c:v>
                </c:pt>
                <c:pt idx="64">
                  <c:v>74.7</c:v>
                </c:pt>
                <c:pt idx="65">
                  <c:v>100</c:v>
                </c:pt>
                <c:pt idx="66">
                  <c:v>99</c:v>
                </c:pt>
                <c:pt idx="67">
                  <c:v>99.8</c:v>
                </c:pt>
                <c:pt idx="68">
                  <c:v>80.599999999999994</c:v>
                </c:pt>
                <c:pt idx="69">
                  <c:v>76</c:v>
                </c:pt>
                <c:pt idx="70">
                  <c:v>71.599999999999994</c:v>
                </c:pt>
                <c:pt idx="71">
                  <c:v>75.8</c:v>
                </c:pt>
                <c:pt idx="72">
                  <c:v>93.1</c:v>
                </c:pt>
                <c:pt idx="73">
                  <c:v>96.8</c:v>
                </c:pt>
                <c:pt idx="74">
                  <c:v>58.6</c:v>
                </c:pt>
                <c:pt idx="75">
                  <c:v>68.8</c:v>
                </c:pt>
                <c:pt idx="76">
                  <c:v>87.8</c:v>
                </c:pt>
                <c:pt idx="77">
                  <c:v>87</c:v>
                </c:pt>
                <c:pt idx="78">
                  <c:v>71.3</c:v>
                </c:pt>
                <c:pt idx="79">
                  <c:v>84.7</c:v>
                </c:pt>
              </c:numCache>
            </c:numRef>
          </c:xVal>
          <c:yVal>
            <c:numRef>
              <c:f>MultiReg!$C$28:$C$107</c:f>
              <c:numCache>
                <c:formatCode>0.00</c:formatCode>
                <c:ptCount val="80"/>
                <c:pt idx="0">
                  <c:v>8.0620371162306554</c:v>
                </c:pt>
                <c:pt idx="1">
                  <c:v>-0.95071028752187203</c:v>
                </c:pt>
                <c:pt idx="2">
                  <c:v>6.9160206175839392</c:v>
                </c:pt>
                <c:pt idx="3">
                  <c:v>0.54007478296188083</c:v>
                </c:pt>
                <c:pt idx="4">
                  <c:v>10.753716574967342</c:v>
                </c:pt>
                <c:pt idx="5">
                  <c:v>-8.0741392595374037</c:v>
                </c:pt>
                <c:pt idx="6">
                  <c:v>-2.9537920922302447</c:v>
                </c:pt>
                <c:pt idx="7">
                  <c:v>-6.1007067779398767</c:v>
                </c:pt>
                <c:pt idx="8">
                  <c:v>0.85913626957648148</c:v>
                </c:pt>
                <c:pt idx="9">
                  <c:v>-5.6801038072709389</c:v>
                </c:pt>
                <c:pt idx="10">
                  <c:v>-2.3589685921762111</c:v>
                </c:pt>
                <c:pt idx="11">
                  <c:v>4.0568229175244426</c:v>
                </c:pt>
                <c:pt idx="12">
                  <c:v>-14.221444071387879</c:v>
                </c:pt>
                <c:pt idx="13">
                  <c:v>3.0709153790577943</c:v>
                </c:pt>
                <c:pt idx="14">
                  <c:v>4.2453471597262649</c:v>
                </c:pt>
                <c:pt idx="15">
                  <c:v>4.5728534591024612</c:v>
                </c:pt>
                <c:pt idx="16">
                  <c:v>-2.3732291433243518</c:v>
                </c:pt>
                <c:pt idx="17">
                  <c:v>-0.75544017649075101</c:v>
                </c:pt>
                <c:pt idx="18">
                  <c:v>-0.56432247547738257</c:v>
                </c:pt>
                <c:pt idx="19">
                  <c:v>-1.8731048942173629</c:v>
                </c:pt>
                <c:pt idx="20">
                  <c:v>-3.1119942369061704</c:v>
                </c:pt>
                <c:pt idx="21">
                  <c:v>2.913984555132771</c:v>
                </c:pt>
                <c:pt idx="22">
                  <c:v>9.0575487287030256</c:v>
                </c:pt>
                <c:pt idx="23">
                  <c:v>-4.7993000684943468</c:v>
                </c:pt>
                <c:pt idx="24">
                  <c:v>-1.1224750897276365</c:v>
                </c:pt>
                <c:pt idx="25">
                  <c:v>-9.7914084209461834</c:v>
                </c:pt>
                <c:pt idx="26">
                  <c:v>-2.4834932172006887</c:v>
                </c:pt>
                <c:pt idx="27">
                  <c:v>-2.5984943361761594</c:v>
                </c:pt>
                <c:pt idx="28">
                  <c:v>-3.7162420295505143</c:v>
                </c:pt>
                <c:pt idx="29">
                  <c:v>3.7615044750977376</c:v>
                </c:pt>
                <c:pt idx="30">
                  <c:v>-3.9052328642277701</c:v>
                </c:pt>
                <c:pt idx="31">
                  <c:v>3.5026604014489067</c:v>
                </c:pt>
                <c:pt idx="32">
                  <c:v>-8.1268113105880104</c:v>
                </c:pt>
                <c:pt idx="33">
                  <c:v>2.4102434621243276</c:v>
                </c:pt>
                <c:pt idx="34">
                  <c:v>-13.987158262972955</c:v>
                </c:pt>
                <c:pt idx="35">
                  <c:v>1.7473171183973477</c:v>
                </c:pt>
                <c:pt idx="36">
                  <c:v>1.3666714535845585</c:v>
                </c:pt>
                <c:pt idx="37">
                  <c:v>4.2475362626713604</c:v>
                </c:pt>
                <c:pt idx="38">
                  <c:v>-1.9635635442802055</c:v>
                </c:pt>
                <c:pt idx="39">
                  <c:v>-3.4465898312239318</c:v>
                </c:pt>
                <c:pt idx="40">
                  <c:v>1.6418490045386989</c:v>
                </c:pt>
                <c:pt idx="41">
                  <c:v>10.771025323345711</c:v>
                </c:pt>
                <c:pt idx="42">
                  <c:v>5.0503498474082846</c:v>
                </c:pt>
                <c:pt idx="43">
                  <c:v>0.94744038585292856</c:v>
                </c:pt>
                <c:pt idx="44">
                  <c:v>-5.4649825080793093</c:v>
                </c:pt>
                <c:pt idx="45">
                  <c:v>13.930785947427331</c:v>
                </c:pt>
                <c:pt idx="46">
                  <c:v>-4.8843613811152551</c:v>
                </c:pt>
                <c:pt idx="47">
                  <c:v>-6.4474622486767288</c:v>
                </c:pt>
                <c:pt idx="48">
                  <c:v>-0.91382854714180439</c:v>
                </c:pt>
                <c:pt idx="49">
                  <c:v>-5.375036540042359</c:v>
                </c:pt>
                <c:pt idx="50">
                  <c:v>3.9939948486760812</c:v>
                </c:pt>
                <c:pt idx="51">
                  <c:v>10.501880935831181</c:v>
                </c:pt>
                <c:pt idx="52">
                  <c:v>5.5855695983144358</c:v>
                </c:pt>
                <c:pt idx="53">
                  <c:v>-2.2061320002107649</c:v>
                </c:pt>
                <c:pt idx="54">
                  <c:v>-1.8623635297676771</c:v>
                </c:pt>
                <c:pt idx="55">
                  <c:v>6.7461103771929771</c:v>
                </c:pt>
                <c:pt idx="56">
                  <c:v>6.0152914266937927</c:v>
                </c:pt>
                <c:pt idx="57">
                  <c:v>-1.3828890197193431</c:v>
                </c:pt>
                <c:pt idx="58">
                  <c:v>7.7718753836312686</c:v>
                </c:pt>
                <c:pt idx="59">
                  <c:v>6.3921476700010373</c:v>
                </c:pt>
                <c:pt idx="60">
                  <c:v>-4.8002993348339942</c:v>
                </c:pt>
                <c:pt idx="61">
                  <c:v>-11.745792261977215</c:v>
                </c:pt>
                <c:pt idx="62">
                  <c:v>3.1913278702133709</c:v>
                </c:pt>
                <c:pt idx="63">
                  <c:v>8.6852081013044398</c:v>
                </c:pt>
                <c:pt idx="64">
                  <c:v>-4.9221710815965594</c:v>
                </c:pt>
                <c:pt idx="65">
                  <c:v>-11.566301828981324</c:v>
                </c:pt>
                <c:pt idx="66">
                  <c:v>7.1511905128609925</c:v>
                </c:pt>
                <c:pt idx="67">
                  <c:v>-1.410585379510465</c:v>
                </c:pt>
                <c:pt idx="68">
                  <c:v>3.6796243532400297</c:v>
                </c:pt>
                <c:pt idx="69">
                  <c:v>-8.3867593596748407</c:v>
                </c:pt>
                <c:pt idx="70">
                  <c:v>7.5096228147722925</c:v>
                </c:pt>
                <c:pt idx="71">
                  <c:v>2.2980268440266798</c:v>
                </c:pt>
                <c:pt idx="72">
                  <c:v>-1.1043015571462576</c:v>
                </c:pt>
                <c:pt idx="73">
                  <c:v>1.5041949994537873</c:v>
                </c:pt>
                <c:pt idx="74">
                  <c:v>-5.0419189941398699</c:v>
                </c:pt>
                <c:pt idx="75">
                  <c:v>9.1268929578324389</c:v>
                </c:pt>
                <c:pt idx="76">
                  <c:v>2.3294775843640849</c:v>
                </c:pt>
                <c:pt idx="77">
                  <c:v>-4.5458244330757225</c:v>
                </c:pt>
                <c:pt idx="78">
                  <c:v>-3.5107908754133916</c:v>
                </c:pt>
                <c:pt idx="79">
                  <c:v>-6.377751849900676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B-46B9-ABF8-38D530DE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91279"/>
        <c:axId val="1545504239"/>
      </c:scatterChart>
      <c:valAx>
        <c:axId val="1545491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Attendance%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5504239"/>
        <c:crosses val="autoZero"/>
        <c:crossBetween val="midCat"/>
      </c:valAx>
      <c:valAx>
        <c:axId val="15455042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454912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Is_Eng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6.0851924759405075E-2"/>
                  <c:y val="-0.30514771860413997"/>
                </c:manualLayout>
              </c:layout>
              <c:numFmt formatCode="General" sourceLinked="0"/>
            </c:trendlineLbl>
          </c:trendline>
          <c:xVal>
            <c:numRef>
              <c:f>'📊 RawData'!$F$3:$F$82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</c:numCache>
            </c:numRef>
          </c:xVal>
          <c:yVal>
            <c:numRef>
              <c:f>MultiReg!$C$28:$C$107</c:f>
              <c:numCache>
                <c:formatCode>0.00</c:formatCode>
                <c:ptCount val="80"/>
                <c:pt idx="0">
                  <c:v>8.0620371162306554</c:v>
                </c:pt>
                <c:pt idx="1">
                  <c:v>-0.95071028752187203</c:v>
                </c:pt>
                <c:pt idx="2">
                  <c:v>6.9160206175839392</c:v>
                </c:pt>
                <c:pt idx="3">
                  <c:v>0.54007478296188083</c:v>
                </c:pt>
                <c:pt idx="4">
                  <c:v>10.753716574967342</c:v>
                </c:pt>
                <c:pt idx="5">
                  <c:v>-8.0741392595374037</c:v>
                </c:pt>
                <c:pt idx="6">
                  <c:v>-2.9537920922302447</c:v>
                </c:pt>
                <c:pt idx="7">
                  <c:v>-6.1007067779398767</c:v>
                </c:pt>
                <c:pt idx="8">
                  <c:v>0.85913626957648148</c:v>
                </c:pt>
                <c:pt idx="9">
                  <c:v>-5.6801038072709389</c:v>
                </c:pt>
                <c:pt idx="10">
                  <c:v>-2.3589685921762111</c:v>
                </c:pt>
                <c:pt idx="11">
                  <c:v>4.0568229175244426</c:v>
                </c:pt>
                <c:pt idx="12">
                  <c:v>-14.221444071387879</c:v>
                </c:pt>
                <c:pt idx="13">
                  <c:v>3.0709153790577943</c:v>
                </c:pt>
                <c:pt idx="14">
                  <c:v>4.2453471597262649</c:v>
                </c:pt>
                <c:pt idx="15">
                  <c:v>4.5728534591024612</c:v>
                </c:pt>
                <c:pt idx="16">
                  <c:v>-2.3732291433243518</c:v>
                </c:pt>
                <c:pt idx="17">
                  <c:v>-0.75544017649075101</c:v>
                </c:pt>
                <c:pt idx="18">
                  <c:v>-0.56432247547738257</c:v>
                </c:pt>
                <c:pt idx="19">
                  <c:v>-1.8731048942173629</c:v>
                </c:pt>
                <c:pt idx="20">
                  <c:v>-3.1119942369061704</c:v>
                </c:pt>
                <c:pt idx="21">
                  <c:v>2.913984555132771</c:v>
                </c:pt>
                <c:pt idx="22">
                  <c:v>9.0575487287030256</c:v>
                </c:pt>
                <c:pt idx="23">
                  <c:v>-4.7993000684943468</c:v>
                </c:pt>
                <c:pt idx="24">
                  <c:v>-1.1224750897276365</c:v>
                </c:pt>
                <c:pt idx="25">
                  <c:v>-9.7914084209461834</c:v>
                </c:pt>
                <c:pt idx="26">
                  <c:v>-2.4834932172006887</c:v>
                </c:pt>
                <c:pt idx="27">
                  <c:v>-2.5984943361761594</c:v>
                </c:pt>
                <c:pt idx="28">
                  <c:v>-3.7162420295505143</c:v>
                </c:pt>
                <c:pt idx="29">
                  <c:v>3.7615044750977376</c:v>
                </c:pt>
                <c:pt idx="30">
                  <c:v>-3.9052328642277701</c:v>
                </c:pt>
                <c:pt idx="31">
                  <c:v>3.5026604014489067</c:v>
                </c:pt>
                <c:pt idx="32">
                  <c:v>-8.1268113105880104</c:v>
                </c:pt>
                <c:pt idx="33">
                  <c:v>2.4102434621243276</c:v>
                </c:pt>
                <c:pt idx="34">
                  <c:v>-13.987158262972955</c:v>
                </c:pt>
                <c:pt idx="35">
                  <c:v>1.7473171183973477</c:v>
                </c:pt>
                <c:pt idx="36">
                  <c:v>1.3666714535845585</c:v>
                </c:pt>
                <c:pt idx="37">
                  <c:v>4.2475362626713604</c:v>
                </c:pt>
                <c:pt idx="38">
                  <c:v>-1.9635635442802055</c:v>
                </c:pt>
                <c:pt idx="39">
                  <c:v>-3.4465898312239318</c:v>
                </c:pt>
                <c:pt idx="40">
                  <c:v>1.6418490045386989</c:v>
                </c:pt>
                <c:pt idx="41">
                  <c:v>10.771025323345711</c:v>
                </c:pt>
                <c:pt idx="42">
                  <c:v>5.0503498474082846</c:v>
                </c:pt>
                <c:pt idx="43">
                  <c:v>0.94744038585292856</c:v>
                </c:pt>
                <c:pt idx="44">
                  <c:v>-5.4649825080793093</c:v>
                </c:pt>
                <c:pt idx="45">
                  <c:v>13.930785947427331</c:v>
                </c:pt>
                <c:pt idx="46">
                  <c:v>-4.8843613811152551</c:v>
                </c:pt>
                <c:pt idx="47">
                  <c:v>-6.4474622486767288</c:v>
                </c:pt>
                <c:pt idx="48">
                  <c:v>-0.91382854714180439</c:v>
                </c:pt>
                <c:pt idx="49">
                  <c:v>-5.375036540042359</c:v>
                </c:pt>
                <c:pt idx="50">
                  <c:v>3.9939948486760812</c:v>
                </c:pt>
                <c:pt idx="51">
                  <c:v>10.501880935831181</c:v>
                </c:pt>
                <c:pt idx="52">
                  <c:v>5.5855695983144358</c:v>
                </c:pt>
                <c:pt idx="53">
                  <c:v>-2.2061320002107649</c:v>
                </c:pt>
                <c:pt idx="54">
                  <c:v>-1.8623635297676771</c:v>
                </c:pt>
                <c:pt idx="55">
                  <c:v>6.7461103771929771</c:v>
                </c:pt>
                <c:pt idx="56">
                  <c:v>6.0152914266937927</c:v>
                </c:pt>
                <c:pt idx="57">
                  <c:v>-1.3828890197193431</c:v>
                </c:pt>
                <c:pt idx="58">
                  <c:v>7.7718753836312686</c:v>
                </c:pt>
                <c:pt idx="59">
                  <c:v>6.3921476700010373</c:v>
                </c:pt>
                <c:pt idx="60">
                  <c:v>-4.8002993348339942</c:v>
                </c:pt>
                <c:pt idx="61">
                  <c:v>-11.745792261977215</c:v>
                </c:pt>
                <c:pt idx="62">
                  <c:v>3.1913278702133709</c:v>
                </c:pt>
                <c:pt idx="63">
                  <c:v>8.6852081013044398</c:v>
                </c:pt>
                <c:pt idx="64">
                  <c:v>-4.9221710815965594</c:v>
                </c:pt>
                <c:pt idx="65">
                  <c:v>-11.566301828981324</c:v>
                </c:pt>
                <c:pt idx="66">
                  <c:v>7.1511905128609925</c:v>
                </c:pt>
                <c:pt idx="67">
                  <c:v>-1.410585379510465</c:v>
                </c:pt>
                <c:pt idx="68">
                  <c:v>3.6796243532400297</c:v>
                </c:pt>
                <c:pt idx="69">
                  <c:v>-8.3867593596748407</c:v>
                </c:pt>
                <c:pt idx="70">
                  <c:v>7.5096228147722925</c:v>
                </c:pt>
                <c:pt idx="71">
                  <c:v>2.2980268440266798</c:v>
                </c:pt>
                <c:pt idx="72">
                  <c:v>-1.1043015571462576</c:v>
                </c:pt>
                <c:pt idx="73">
                  <c:v>1.5041949994537873</c:v>
                </c:pt>
                <c:pt idx="74">
                  <c:v>-5.0419189941398699</c:v>
                </c:pt>
                <c:pt idx="75">
                  <c:v>9.1268929578324389</c:v>
                </c:pt>
                <c:pt idx="76">
                  <c:v>2.3294775843640849</c:v>
                </c:pt>
                <c:pt idx="77">
                  <c:v>-4.5458244330757225</c:v>
                </c:pt>
                <c:pt idx="78">
                  <c:v>-3.5107908754133916</c:v>
                </c:pt>
                <c:pt idx="79">
                  <c:v>-6.377751849900676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53-4A9A-AA6A-E57FEF6BA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512879"/>
        <c:axId val="1545504719"/>
      </c:scatterChart>
      <c:valAx>
        <c:axId val="154551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Is_Eng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5504719"/>
        <c:crosses val="autoZero"/>
        <c:crossBetween val="midCat"/>
      </c:valAx>
      <c:valAx>
        <c:axId val="154550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455128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Is_Mkt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15807414698162731"/>
                  <c:y val="-0.29303072410066389"/>
                </c:manualLayout>
              </c:layout>
              <c:numFmt formatCode="General" sourceLinked="0"/>
            </c:trendlineLbl>
          </c:trendline>
          <c:xVal>
            <c:numRef>
              <c:f>'📊 RawData'!$G$3:$G$82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xVal>
          <c:yVal>
            <c:numRef>
              <c:f>MultiReg!$C$28:$C$107</c:f>
              <c:numCache>
                <c:formatCode>0.00</c:formatCode>
                <c:ptCount val="80"/>
                <c:pt idx="0">
                  <c:v>8.0620371162306554</c:v>
                </c:pt>
                <c:pt idx="1">
                  <c:v>-0.95071028752187203</c:v>
                </c:pt>
                <c:pt idx="2">
                  <c:v>6.9160206175839392</c:v>
                </c:pt>
                <c:pt idx="3">
                  <c:v>0.54007478296188083</c:v>
                </c:pt>
                <c:pt idx="4">
                  <c:v>10.753716574967342</c:v>
                </c:pt>
                <c:pt idx="5">
                  <c:v>-8.0741392595374037</c:v>
                </c:pt>
                <c:pt idx="6">
                  <c:v>-2.9537920922302447</c:v>
                </c:pt>
                <c:pt idx="7">
                  <c:v>-6.1007067779398767</c:v>
                </c:pt>
                <c:pt idx="8">
                  <c:v>0.85913626957648148</c:v>
                </c:pt>
                <c:pt idx="9">
                  <c:v>-5.6801038072709389</c:v>
                </c:pt>
                <c:pt idx="10">
                  <c:v>-2.3589685921762111</c:v>
                </c:pt>
                <c:pt idx="11">
                  <c:v>4.0568229175244426</c:v>
                </c:pt>
                <c:pt idx="12">
                  <c:v>-14.221444071387879</c:v>
                </c:pt>
                <c:pt idx="13">
                  <c:v>3.0709153790577943</c:v>
                </c:pt>
                <c:pt idx="14">
                  <c:v>4.2453471597262649</c:v>
                </c:pt>
                <c:pt idx="15">
                  <c:v>4.5728534591024612</c:v>
                </c:pt>
                <c:pt idx="16">
                  <c:v>-2.3732291433243518</c:v>
                </c:pt>
                <c:pt idx="17">
                  <c:v>-0.75544017649075101</c:v>
                </c:pt>
                <c:pt idx="18">
                  <c:v>-0.56432247547738257</c:v>
                </c:pt>
                <c:pt idx="19">
                  <c:v>-1.8731048942173629</c:v>
                </c:pt>
                <c:pt idx="20">
                  <c:v>-3.1119942369061704</c:v>
                </c:pt>
                <c:pt idx="21">
                  <c:v>2.913984555132771</c:v>
                </c:pt>
                <c:pt idx="22">
                  <c:v>9.0575487287030256</c:v>
                </c:pt>
                <c:pt idx="23">
                  <c:v>-4.7993000684943468</c:v>
                </c:pt>
                <c:pt idx="24">
                  <c:v>-1.1224750897276365</c:v>
                </c:pt>
                <c:pt idx="25">
                  <c:v>-9.7914084209461834</c:v>
                </c:pt>
                <c:pt idx="26">
                  <c:v>-2.4834932172006887</c:v>
                </c:pt>
                <c:pt idx="27">
                  <c:v>-2.5984943361761594</c:v>
                </c:pt>
                <c:pt idx="28">
                  <c:v>-3.7162420295505143</c:v>
                </c:pt>
                <c:pt idx="29">
                  <c:v>3.7615044750977376</c:v>
                </c:pt>
                <c:pt idx="30">
                  <c:v>-3.9052328642277701</c:v>
                </c:pt>
                <c:pt idx="31">
                  <c:v>3.5026604014489067</c:v>
                </c:pt>
                <c:pt idx="32">
                  <c:v>-8.1268113105880104</c:v>
                </c:pt>
                <c:pt idx="33">
                  <c:v>2.4102434621243276</c:v>
                </c:pt>
                <c:pt idx="34">
                  <c:v>-13.987158262972955</c:v>
                </c:pt>
                <c:pt idx="35">
                  <c:v>1.7473171183973477</c:v>
                </c:pt>
                <c:pt idx="36">
                  <c:v>1.3666714535845585</c:v>
                </c:pt>
                <c:pt idx="37">
                  <c:v>4.2475362626713604</c:v>
                </c:pt>
                <c:pt idx="38">
                  <c:v>-1.9635635442802055</c:v>
                </c:pt>
                <c:pt idx="39">
                  <c:v>-3.4465898312239318</c:v>
                </c:pt>
                <c:pt idx="40">
                  <c:v>1.6418490045386989</c:v>
                </c:pt>
                <c:pt idx="41">
                  <c:v>10.771025323345711</c:v>
                </c:pt>
                <c:pt idx="42">
                  <c:v>5.0503498474082846</c:v>
                </c:pt>
                <c:pt idx="43">
                  <c:v>0.94744038585292856</c:v>
                </c:pt>
                <c:pt idx="44">
                  <c:v>-5.4649825080793093</c:v>
                </c:pt>
                <c:pt idx="45">
                  <c:v>13.930785947427331</c:v>
                </c:pt>
                <c:pt idx="46">
                  <c:v>-4.8843613811152551</c:v>
                </c:pt>
                <c:pt idx="47">
                  <c:v>-6.4474622486767288</c:v>
                </c:pt>
                <c:pt idx="48">
                  <c:v>-0.91382854714180439</c:v>
                </c:pt>
                <c:pt idx="49">
                  <c:v>-5.375036540042359</c:v>
                </c:pt>
                <c:pt idx="50">
                  <c:v>3.9939948486760812</c:v>
                </c:pt>
                <c:pt idx="51">
                  <c:v>10.501880935831181</c:v>
                </c:pt>
                <c:pt idx="52">
                  <c:v>5.5855695983144358</c:v>
                </c:pt>
                <c:pt idx="53">
                  <c:v>-2.2061320002107649</c:v>
                </c:pt>
                <c:pt idx="54">
                  <c:v>-1.8623635297676771</c:v>
                </c:pt>
                <c:pt idx="55">
                  <c:v>6.7461103771929771</c:v>
                </c:pt>
                <c:pt idx="56">
                  <c:v>6.0152914266937927</c:v>
                </c:pt>
                <c:pt idx="57">
                  <c:v>-1.3828890197193431</c:v>
                </c:pt>
                <c:pt idx="58">
                  <c:v>7.7718753836312686</c:v>
                </c:pt>
                <c:pt idx="59">
                  <c:v>6.3921476700010373</c:v>
                </c:pt>
                <c:pt idx="60">
                  <c:v>-4.8002993348339942</c:v>
                </c:pt>
                <c:pt idx="61">
                  <c:v>-11.745792261977215</c:v>
                </c:pt>
                <c:pt idx="62">
                  <c:v>3.1913278702133709</c:v>
                </c:pt>
                <c:pt idx="63">
                  <c:v>8.6852081013044398</c:v>
                </c:pt>
                <c:pt idx="64">
                  <c:v>-4.9221710815965594</c:v>
                </c:pt>
                <c:pt idx="65">
                  <c:v>-11.566301828981324</c:v>
                </c:pt>
                <c:pt idx="66">
                  <c:v>7.1511905128609925</c:v>
                </c:pt>
                <c:pt idx="67">
                  <c:v>-1.410585379510465</c:v>
                </c:pt>
                <c:pt idx="68">
                  <c:v>3.6796243532400297</c:v>
                </c:pt>
                <c:pt idx="69">
                  <c:v>-8.3867593596748407</c:v>
                </c:pt>
                <c:pt idx="70">
                  <c:v>7.5096228147722925</c:v>
                </c:pt>
                <c:pt idx="71">
                  <c:v>2.2980268440266798</c:v>
                </c:pt>
                <c:pt idx="72">
                  <c:v>-1.1043015571462576</c:v>
                </c:pt>
                <c:pt idx="73">
                  <c:v>1.5041949994537873</c:v>
                </c:pt>
                <c:pt idx="74">
                  <c:v>-5.0419189941398699</c:v>
                </c:pt>
                <c:pt idx="75">
                  <c:v>9.1268929578324389</c:v>
                </c:pt>
                <c:pt idx="76">
                  <c:v>2.3294775843640849</c:v>
                </c:pt>
                <c:pt idx="77">
                  <c:v>-4.5458244330757225</c:v>
                </c:pt>
                <c:pt idx="78">
                  <c:v>-3.5107908754133916</c:v>
                </c:pt>
                <c:pt idx="79">
                  <c:v>-6.377751849900676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A2-4369-AAB9-79E63528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87439"/>
        <c:axId val="1545508079"/>
      </c:scatterChart>
      <c:valAx>
        <c:axId val="154548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Is_Mkt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5508079"/>
        <c:crosses val="autoZero"/>
        <c:crossBetween val="midCat"/>
      </c:valAx>
      <c:valAx>
        <c:axId val="1545508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4548743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StudyHours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50075185914260723"/>
                  <c:y val="-0.12595942748535743"/>
                </c:manualLayout>
              </c:layout>
              <c:numFmt formatCode="General" sourceLinked="0"/>
            </c:trendlineLbl>
          </c:trendline>
          <c:xVal>
            <c:numRef>
              <c:f>'📊 RawData'!$D$3:$D$82</c:f>
              <c:numCache>
                <c:formatCode>General</c:formatCode>
                <c:ptCount val="80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'📊 RawData'!$I$3:$I$82</c:f>
              <c:numCache>
                <c:formatCode>General</c:formatCode>
                <c:ptCount val="80"/>
                <c:pt idx="0">
                  <c:v>95</c:v>
                </c:pt>
                <c:pt idx="1">
                  <c:v>80.8</c:v>
                </c:pt>
                <c:pt idx="2">
                  <c:v>86.3</c:v>
                </c:pt>
                <c:pt idx="3">
                  <c:v>81.5</c:v>
                </c:pt>
                <c:pt idx="4">
                  <c:v>84.9</c:v>
                </c:pt>
                <c:pt idx="5">
                  <c:v>77.8</c:v>
                </c:pt>
                <c:pt idx="6">
                  <c:v>71.3</c:v>
                </c:pt>
                <c:pt idx="7">
                  <c:v>70.099999999999994</c:v>
                </c:pt>
                <c:pt idx="8">
                  <c:v>87.2</c:v>
                </c:pt>
                <c:pt idx="9">
                  <c:v>83.1</c:v>
                </c:pt>
                <c:pt idx="10">
                  <c:v>76.400000000000006</c:v>
                </c:pt>
                <c:pt idx="11">
                  <c:v>94.8</c:v>
                </c:pt>
                <c:pt idx="12">
                  <c:v>55.2</c:v>
                </c:pt>
                <c:pt idx="13">
                  <c:v>83.9</c:v>
                </c:pt>
                <c:pt idx="14">
                  <c:v>100</c:v>
                </c:pt>
                <c:pt idx="15">
                  <c:v>85.5</c:v>
                </c:pt>
                <c:pt idx="16">
                  <c:v>75.599999999999994</c:v>
                </c:pt>
                <c:pt idx="17">
                  <c:v>91.2</c:v>
                </c:pt>
                <c:pt idx="18">
                  <c:v>66</c:v>
                </c:pt>
                <c:pt idx="19">
                  <c:v>83.4</c:v>
                </c:pt>
                <c:pt idx="20">
                  <c:v>71</c:v>
                </c:pt>
                <c:pt idx="21">
                  <c:v>91.7</c:v>
                </c:pt>
                <c:pt idx="22">
                  <c:v>91.6</c:v>
                </c:pt>
                <c:pt idx="23">
                  <c:v>75.3</c:v>
                </c:pt>
                <c:pt idx="24">
                  <c:v>62.3</c:v>
                </c:pt>
                <c:pt idx="25">
                  <c:v>92.7</c:v>
                </c:pt>
                <c:pt idx="26">
                  <c:v>98</c:v>
                </c:pt>
                <c:pt idx="27">
                  <c:v>87.7</c:v>
                </c:pt>
                <c:pt idx="28">
                  <c:v>63.5</c:v>
                </c:pt>
                <c:pt idx="29">
                  <c:v>70.599999999999994</c:v>
                </c:pt>
                <c:pt idx="30">
                  <c:v>67.2</c:v>
                </c:pt>
                <c:pt idx="31">
                  <c:v>82.7</c:v>
                </c:pt>
                <c:pt idx="32">
                  <c:v>67.400000000000006</c:v>
                </c:pt>
                <c:pt idx="33">
                  <c:v>89.7</c:v>
                </c:pt>
                <c:pt idx="34">
                  <c:v>55.3</c:v>
                </c:pt>
                <c:pt idx="35">
                  <c:v>92.7</c:v>
                </c:pt>
                <c:pt idx="36">
                  <c:v>60.9</c:v>
                </c:pt>
                <c:pt idx="37">
                  <c:v>88.3</c:v>
                </c:pt>
                <c:pt idx="38">
                  <c:v>73.7</c:v>
                </c:pt>
                <c:pt idx="39">
                  <c:v>73.2</c:v>
                </c:pt>
                <c:pt idx="40">
                  <c:v>93.6</c:v>
                </c:pt>
                <c:pt idx="41">
                  <c:v>90.4</c:v>
                </c:pt>
                <c:pt idx="42">
                  <c:v>85.3</c:v>
                </c:pt>
                <c:pt idx="43">
                  <c:v>65.7</c:v>
                </c:pt>
                <c:pt idx="44">
                  <c:v>62.6</c:v>
                </c:pt>
                <c:pt idx="45">
                  <c:v>71.400000000000006</c:v>
                </c:pt>
                <c:pt idx="46">
                  <c:v>85.5</c:v>
                </c:pt>
                <c:pt idx="47">
                  <c:v>78.8</c:v>
                </c:pt>
                <c:pt idx="48">
                  <c:v>62.5</c:v>
                </c:pt>
                <c:pt idx="49">
                  <c:v>77.900000000000006</c:v>
                </c:pt>
                <c:pt idx="50">
                  <c:v>84.3</c:v>
                </c:pt>
                <c:pt idx="51">
                  <c:v>96.3</c:v>
                </c:pt>
                <c:pt idx="52">
                  <c:v>89.1</c:v>
                </c:pt>
                <c:pt idx="53">
                  <c:v>51.6</c:v>
                </c:pt>
                <c:pt idx="54">
                  <c:v>78.400000000000006</c:v>
                </c:pt>
                <c:pt idx="55">
                  <c:v>99.6</c:v>
                </c:pt>
                <c:pt idx="56">
                  <c:v>93.5</c:v>
                </c:pt>
                <c:pt idx="57">
                  <c:v>79.2</c:v>
                </c:pt>
                <c:pt idx="58">
                  <c:v>86.5</c:v>
                </c:pt>
                <c:pt idx="59">
                  <c:v>79.8</c:v>
                </c:pt>
                <c:pt idx="60">
                  <c:v>57.4</c:v>
                </c:pt>
                <c:pt idx="61">
                  <c:v>69.3</c:v>
                </c:pt>
                <c:pt idx="62">
                  <c:v>86.9</c:v>
                </c:pt>
                <c:pt idx="63">
                  <c:v>80.8</c:v>
                </c:pt>
                <c:pt idx="64">
                  <c:v>89.4</c:v>
                </c:pt>
                <c:pt idx="65">
                  <c:v>64</c:v>
                </c:pt>
                <c:pt idx="66">
                  <c:v>90.7</c:v>
                </c:pt>
                <c:pt idx="67">
                  <c:v>86.7</c:v>
                </c:pt>
                <c:pt idx="68">
                  <c:v>84.4</c:v>
                </c:pt>
                <c:pt idx="69">
                  <c:v>77.599999999999994</c:v>
                </c:pt>
                <c:pt idx="70">
                  <c:v>65.8</c:v>
                </c:pt>
                <c:pt idx="71">
                  <c:v>89.8</c:v>
                </c:pt>
                <c:pt idx="72">
                  <c:v>77.8</c:v>
                </c:pt>
                <c:pt idx="73">
                  <c:v>80.7</c:v>
                </c:pt>
                <c:pt idx="74">
                  <c:v>61.6</c:v>
                </c:pt>
                <c:pt idx="75">
                  <c:v>84.3</c:v>
                </c:pt>
                <c:pt idx="76">
                  <c:v>82.4</c:v>
                </c:pt>
                <c:pt idx="77">
                  <c:v>86</c:v>
                </c:pt>
                <c:pt idx="78">
                  <c:v>68.599999999999994</c:v>
                </c:pt>
                <c:pt idx="79">
                  <c:v>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6E-47F1-8F36-D17D798C839A}"/>
            </c:ext>
          </c:extLst>
        </c:ser>
        <c:ser>
          <c:idx val="1"/>
          <c:order val="1"/>
          <c:tx>
            <c:v>Predicted Score</c:v>
          </c:tx>
          <c:spPr>
            <a:ln w="38100">
              <a:noFill/>
            </a:ln>
          </c:spPr>
          <c:xVal>
            <c:numRef>
              <c:f>'📊 RawData'!$D$3:$D$82</c:f>
              <c:numCache>
                <c:formatCode>General</c:formatCode>
                <c:ptCount val="80"/>
                <c:pt idx="0">
                  <c:v>6.6</c:v>
                </c:pt>
                <c:pt idx="1">
                  <c:v>5.7</c:v>
                </c:pt>
                <c:pt idx="2">
                  <c:v>4.5</c:v>
                </c:pt>
                <c:pt idx="3">
                  <c:v>5.5</c:v>
                </c:pt>
                <c:pt idx="4">
                  <c:v>4.4000000000000004</c:v>
                </c:pt>
                <c:pt idx="5">
                  <c:v>5.8</c:v>
                </c:pt>
                <c:pt idx="6">
                  <c:v>4.7</c:v>
                </c:pt>
                <c:pt idx="7">
                  <c:v>6.3</c:v>
                </c:pt>
                <c:pt idx="8">
                  <c:v>6.4</c:v>
                </c:pt>
                <c:pt idx="9">
                  <c:v>6.3</c:v>
                </c:pt>
                <c:pt idx="10">
                  <c:v>5.4</c:v>
                </c:pt>
                <c:pt idx="11">
                  <c:v>6.5</c:v>
                </c:pt>
                <c:pt idx="12">
                  <c:v>3.4</c:v>
                </c:pt>
                <c:pt idx="13">
                  <c:v>5.0999999999999996</c:v>
                </c:pt>
                <c:pt idx="14">
                  <c:v>8.8000000000000007</c:v>
                </c:pt>
                <c:pt idx="15">
                  <c:v>6.9</c:v>
                </c:pt>
                <c:pt idx="16">
                  <c:v>4.8</c:v>
                </c:pt>
                <c:pt idx="17">
                  <c:v>7.4</c:v>
                </c:pt>
                <c:pt idx="18">
                  <c:v>2.5</c:v>
                </c:pt>
                <c:pt idx="19">
                  <c:v>7.5</c:v>
                </c:pt>
                <c:pt idx="20">
                  <c:v>4.4000000000000004</c:v>
                </c:pt>
                <c:pt idx="21">
                  <c:v>6.6</c:v>
                </c:pt>
                <c:pt idx="22">
                  <c:v>4.8</c:v>
                </c:pt>
                <c:pt idx="23">
                  <c:v>4.0999999999999996</c:v>
                </c:pt>
                <c:pt idx="24">
                  <c:v>1.6</c:v>
                </c:pt>
                <c:pt idx="25">
                  <c:v>9.6</c:v>
                </c:pt>
                <c:pt idx="26">
                  <c:v>8.8000000000000007</c:v>
                </c:pt>
                <c:pt idx="27">
                  <c:v>8.1</c:v>
                </c:pt>
                <c:pt idx="28">
                  <c:v>3.5</c:v>
                </c:pt>
                <c:pt idx="29">
                  <c:v>1.9</c:v>
                </c:pt>
                <c:pt idx="30">
                  <c:v>3.7</c:v>
                </c:pt>
                <c:pt idx="31">
                  <c:v>3.6</c:v>
                </c:pt>
                <c:pt idx="32">
                  <c:v>4</c:v>
                </c:pt>
                <c:pt idx="33">
                  <c:v>5.2</c:v>
                </c:pt>
                <c:pt idx="34">
                  <c:v>3</c:v>
                </c:pt>
                <c:pt idx="35">
                  <c:v>6.7</c:v>
                </c:pt>
                <c:pt idx="36">
                  <c:v>2.2999999999999998</c:v>
                </c:pt>
                <c:pt idx="37">
                  <c:v>6</c:v>
                </c:pt>
                <c:pt idx="38">
                  <c:v>4.7</c:v>
                </c:pt>
                <c:pt idx="39">
                  <c:v>4.4000000000000004</c:v>
                </c:pt>
                <c:pt idx="40">
                  <c:v>8.5</c:v>
                </c:pt>
                <c:pt idx="41">
                  <c:v>4.4000000000000004</c:v>
                </c:pt>
                <c:pt idx="42">
                  <c:v>5.5</c:v>
                </c:pt>
                <c:pt idx="43">
                  <c:v>2</c:v>
                </c:pt>
                <c:pt idx="44">
                  <c:v>2.8</c:v>
                </c:pt>
                <c:pt idx="45">
                  <c:v>1.1000000000000001</c:v>
                </c:pt>
                <c:pt idx="46">
                  <c:v>6.1</c:v>
                </c:pt>
                <c:pt idx="47">
                  <c:v>6.2</c:v>
                </c:pt>
                <c:pt idx="48">
                  <c:v>2.9</c:v>
                </c:pt>
                <c:pt idx="49">
                  <c:v>5.0999999999999996</c:v>
                </c:pt>
                <c:pt idx="50">
                  <c:v>5</c:v>
                </c:pt>
                <c:pt idx="51">
                  <c:v>6.2</c:v>
                </c:pt>
                <c:pt idx="52">
                  <c:v>6.4</c:v>
                </c:pt>
                <c:pt idx="53">
                  <c:v>0.5</c:v>
                </c:pt>
                <c:pt idx="54">
                  <c:v>4.0999999999999996</c:v>
                </c:pt>
                <c:pt idx="55">
                  <c:v>7</c:v>
                </c:pt>
                <c:pt idx="56">
                  <c:v>5.8</c:v>
                </c:pt>
                <c:pt idx="57">
                  <c:v>5.5</c:v>
                </c:pt>
                <c:pt idx="58">
                  <c:v>5.4</c:v>
                </c:pt>
                <c:pt idx="59">
                  <c:v>4.7</c:v>
                </c:pt>
                <c:pt idx="60">
                  <c:v>1.4</c:v>
                </c:pt>
                <c:pt idx="61">
                  <c:v>3.5</c:v>
                </c:pt>
                <c:pt idx="62">
                  <c:v>5.4</c:v>
                </c:pt>
                <c:pt idx="63">
                  <c:v>2.7</c:v>
                </c:pt>
                <c:pt idx="64">
                  <c:v>8.6</c:v>
                </c:pt>
                <c:pt idx="65">
                  <c:v>2.7</c:v>
                </c:pt>
                <c:pt idx="66">
                  <c:v>4.5999999999999996</c:v>
                </c:pt>
                <c:pt idx="67">
                  <c:v>5.6</c:v>
                </c:pt>
                <c:pt idx="68">
                  <c:v>5.0999999999999996</c:v>
                </c:pt>
                <c:pt idx="69">
                  <c:v>6.6</c:v>
                </c:pt>
                <c:pt idx="70">
                  <c:v>0.5</c:v>
                </c:pt>
                <c:pt idx="71">
                  <c:v>6.5</c:v>
                </c:pt>
                <c:pt idx="72">
                  <c:v>3.9</c:v>
                </c:pt>
                <c:pt idx="73">
                  <c:v>4.9000000000000004</c:v>
                </c:pt>
                <c:pt idx="74">
                  <c:v>4.4000000000000004</c:v>
                </c:pt>
                <c:pt idx="75">
                  <c:v>4.0999999999999996</c:v>
                </c:pt>
                <c:pt idx="76">
                  <c:v>4.5</c:v>
                </c:pt>
                <c:pt idx="77">
                  <c:v>6.5</c:v>
                </c:pt>
                <c:pt idx="78">
                  <c:v>3.7</c:v>
                </c:pt>
                <c:pt idx="79">
                  <c:v>2.6</c:v>
                </c:pt>
              </c:numCache>
            </c:numRef>
          </c:xVal>
          <c:yVal>
            <c:numRef>
              <c:f>MultiReg!$B$28:$B$107</c:f>
              <c:numCache>
                <c:formatCode>0.00</c:formatCode>
                <c:ptCount val="80"/>
                <c:pt idx="0">
                  <c:v>86.937962883769345</c:v>
                </c:pt>
                <c:pt idx="1">
                  <c:v>81.750710287521869</c:v>
                </c:pt>
                <c:pt idx="2">
                  <c:v>79.383979382416058</c:v>
                </c:pt>
                <c:pt idx="3">
                  <c:v>80.959925217038119</c:v>
                </c:pt>
                <c:pt idx="4">
                  <c:v>74.146283425032664</c:v>
                </c:pt>
                <c:pt idx="5">
                  <c:v>85.874139259537401</c:v>
                </c:pt>
                <c:pt idx="6">
                  <c:v>74.253792092230242</c:v>
                </c:pt>
                <c:pt idx="7">
                  <c:v>76.200706777939871</c:v>
                </c:pt>
                <c:pt idx="8">
                  <c:v>86.340863730423521</c:v>
                </c:pt>
                <c:pt idx="9">
                  <c:v>88.780103807270933</c:v>
                </c:pt>
                <c:pt idx="10">
                  <c:v>78.758968592176217</c:v>
                </c:pt>
                <c:pt idx="11">
                  <c:v>90.743177082475555</c:v>
                </c:pt>
                <c:pt idx="12">
                  <c:v>69.421444071387882</c:v>
                </c:pt>
                <c:pt idx="13">
                  <c:v>80.829084620942211</c:v>
                </c:pt>
                <c:pt idx="14">
                  <c:v>95.754652840273735</c:v>
                </c:pt>
                <c:pt idx="15">
                  <c:v>80.927146540897539</c:v>
                </c:pt>
                <c:pt idx="16">
                  <c:v>77.973229143324346</c:v>
                </c:pt>
                <c:pt idx="17">
                  <c:v>91.955440176490754</c:v>
                </c:pt>
                <c:pt idx="18">
                  <c:v>66.564322475477383</c:v>
                </c:pt>
                <c:pt idx="19">
                  <c:v>85.273104894217369</c:v>
                </c:pt>
                <c:pt idx="20">
                  <c:v>74.11199423690617</c:v>
                </c:pt>
                <c:pt idx="21">
                  <c:v>88.786015444867232</c:v>
                </c:pt>
                <c:pt idx="22">
                  <c:v>82.542451271296969</c:v>
                </c:pt>
                <c:pt idx="23">
                  <c:v>80.099300068494344</c:v>
                </c:pt>
                <c:pt idx="24">
                  <c:v>63.422475089727634</c:v>
                </c:pt>
                <c:pt idx="25">
                  <c:v>102.49140842094619</c:v>
                </c:pt>
                <c:pt idx="26">
                  <c:v>100.48349321720069</c:v>
                </c:pt>
                <c:pt idx="27">
                  <c:v>90.298494336176162</c:v>
                </c:pt>
                <c:pt idx="28">
                  <c:v>67.216242029550514</c:v>
                </c:pt>
                <c:pt idx="29">
                  <c:v>66.838495524902257</c:v>
                </c:pt>
                <c:pt idx="30">
                  <c:v>71.105232864227773</c:v>
                </c:pt>
                <c:pt idx="31">
                  <c:v>79.197339598551096</c:v>
                </c:pt>
                <c:pt idx="32">
                  <c:v>75.526811310588016</c:v>
                </c:pt>
                <c:pt idx="33">
                  <c:v>87.289756537875675</c:v>
                </c:pt>
                <c:pt idx="34">
                  <c:v>69.287158262972952</c:v>
                </c:pt>
                <c:pt idx="35">
                  <c:v>90.952682881602655</c:v>
                </c:pt>
                <c:pt idx="36">
                  <c:v>59.53332854641544</c:v>
                </c:pt>
                <c:pt idx="37">
                  <c:v>84.052463737328637</c:v>
                </c:pt>
                <c:pt idx="38">
                  <c:v>75.663563544280208</c:v>
                </c:pt>
                <c:pt idx="39">
                  <c:v>76.646589831223935</c:v>
                </c:pt>
                <c:pt idx="40">
                  <c:v>91.958150995461295</c:v>
                </c:pt>
                <c:pt idx="41">
                  <c:v>79.628974676654295</c:v>
                </c:pt>
                <c:pt idx="42">
                  <c:v>80.249650152591713</c:v>
                </c:pt>
                <c:pt idx="43">
                  <c:v>64.752559614147074</c:v>
                </c:pt>
                <c:pt idx="44">
                  <c:v>68.064982508079311</c:v>
                </c:pt>
                <c:pt idx="45">
                  <c:v>57.469214052572674</c:v>
                </c:pt>
                <c:pt idx="46">
                  <c:v>90.384361381115255</c:v>
                </c:pt>
                <c:pt idx="47">
                  <c:v>85.247462248676726</c:v>
                </c:pt>
                <c:pt idx="48">
                  <c:v>63.413828547141804</c:v>
                </c:pt>
                <c:pt idx="49">
                  <c:v>83.275036540042365</c:v>
                </c:pt>
                <c:pt idx="50">
                  <c:v>80.306005151323916</c:v>
                </c:pt>
                <c:pt idx="51">
                  <c:v>85.798119064168816</c:v>
                </c:pt>
                <c:pt idx="52">
                  <c:v>83.514430401685559</c:v>
                </c:pt>
                <c:pt idx="53">
                  <c:v>53.806132000210766</c:v>
                </c:pt>
                <c:pt idx="54">
                  <c:v>80.262363529767683</c:v>
                </c:pt>
                <c:pt idx="55">
                  <c:v>92.853889622807017</c:v>
                </c:pt>
                <c:pt idx="56">
                  <c:v>87.484708573306207</c:v>
                </c:pt>
                <c:pt idx="57">
                  <c:v>80.582889019719346</c:v>
                </c:pt>
                <c:pt idx="58">
                  <c:v>78.728124616368731</c:v>
                </c:pt>
                <c:pt idx="59">
                  <c:v>73.40785232999896</c:v>
                </c:pt>
                <c:pt idx="60">
                  <c:v>62.200299334833993</c:v>
                </c:pt>
                <c:pt idx="61">
                  <c:v>81.045792261977212</c:v>
                </c:pt>
                <c:pt idx="62">
                  <c:v>83.708672129786635</c:v>
                </c:pt>
                <c:pt idx="63">
                  <c:v>72.114791898695557</c:v>
                </c:pt>
                <c:pt idx="64">
                  <c:v>94.322171081596565</c:v>
                </c:pt>
                <c:pt idx="65">
                  <c:v>75.566301828981324</c:v>
                </c:pt>
                <c:pt idx="66">
                  <c:v>83.54880948713901</c:v>
                </c:pt>
                <c:pt idx="67">
                  <c:v>88.110585379510468</c:v>
                </c:pt>
                <c:pt idx="68">
                  <c:v>80.720375646759976</c:v>
                </c:pt>
                <c:pt idx="69">
                  <c:v>85.986759359674835</c:v>
                </c:pt>
                <c:pt idx="70">
                  <c:v>58.290377185227705</c:v>
                </c:pt>
                <c:pt idx="71">
                  <c:v>87.501973155973317</c:v>
                </c:pt>
                <c:pt idx="72">
                  <c:v>78.904301557146255</c:v>
                </c:pt>
                <c:pt idx="73">
                  <c:v>79.195805000546216</c:v>
                </c:pt>
                <c:pt idx="74">
                  <c:v>66.641918994139871</c:v>
                </c:pt>
                <c:pt idx="75">
                  <c:v>75.173107042167558</c:v>
                </c:pt>
                <c:pt idx="76">
                  <c:v>80.070522415635921</c:v>
                </c:pt>
                <c:pt idx="77">
                  <c:v>90.545824433075722</c:v>
                </c:pt>
                <c:pt idx="78">
                  <c:v>72.110790875413386</c:v>
                </c:pt>
                <c:pt idx="79">
                  <c:v>72.97775184990067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6E-47F1-8F36-D17D798C8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91279"/>
        <c:axId val="1545515759"/>
      </c:scatterChart>
      <c:valAx>
        <c:axId val="1545491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StudyHours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5515759"/>
        <c:crosses val="autoZero"/>
        <c:crossBetween val="midCat"/>
      </c:valAx>
      <c:valAx>
        <c:axId val="1545515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54912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Attendance%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48162592957130357"/>
                  <c:y val="-0.17609677503183388"/>
                </c:manualLayout>
              </c:layout>
              <c:numFmt formatCode="General" sourceLinked="0"/>
            </c:trendlineLbl>
          </c:trendline>
          <c:xVal>
            <c:numRef>
              <c:f>'📊 RawData'!$E$3:$E$82</c:f>
              <c:numCache>
                <c:formatCode>General</c:formatCode>
                <c:ptCount val="80"/>
                <c:pt idx="0">
                  <c:v>79.5</c:v>
                </c:pt>
                <c:pt idx="1">
                  <c:v>74.8</c:v>
                </c:pt>
                <c:pt idx="2">
                  <c:v>77.900000000000006</c:v>
                </c:pt>
                <c:pt idx="3">
                  <c:v>93.7</c:v>
                </c:pt>
                <c:pt idx="4">
                  <c:v>67.599999999999994</c:v>
                </c:pt>
                <c:pt idx="5">
                  <c:v>81</c:v>
                </c:pt>
                <c:pt idx="6">
                  <c:v>63.2</c:v>
                </c:pt>
                <c:pt idx="7">
                  <c:v>63.4</c:v>
                </c:pt>
                <c:pt idx="8">
                  <c:v>80.5</c:v>
                </c:pt>
                <c:pt idx="9">
                  <c:v>83.7</c:v>
                </c:pt>
                <c:pt idx="10">
                  <c:v>87.2</c:v>
                </c:pt>
                <c:pt idx="11">
                  <c:v>95.1</c:v>
                </c:pt>
                <c:pt idx="12">
                  <c:v>66.2</c:v>
                </c:pt>
                <c:pt idx="13">
                  <c:v>81</c:v>
                </c:pt>
                <c:pt idx="14">
                  <c:v>69.400000000000006</c:v>
                </c:pt>
                <c:pt idx="15">
                  <c:v>71.2</c:v>
                </c:pt>
                <c:pt idx="16">
                  <c:v>93.9</c:v>
                </c:pt>
                <c:pt idx="17">
                  <c:v>77.8</c:v>
                </c:pt>
                <c:pt idx="18">
                  <c:v>62.7</c:v>
                </c:pt>
                <c:pt idx="19">
                  <c:v>77.599999999999994</c:v>
                </c:pt>
                <c:pt idx="20">
                  <c:v>60.1</c:v>
                </c:pt>
                <c:pt idx="21">
                  <c:v>86.3</c:v>
                </c:pt>
                <c:pt idx="22">
                  <c:v>92.1</c:v>
                </c:pt>
                <c:pt idx="23">
                  <c:v>94.3</c:v>
                </c:pt>
                <c:pt idx="24">
                  <c:v>72.900000000000006</c:v>
                </c:pt>
                <c:pt idx="25">
                  <c:v>81.400000000000006</c:v>
                </c:pt>
                <c:pt idx="26">
                  <c:v>86.8</c:v>
                </c:pt>
                <c:pt idx="27">
                  <c:v>86.5</c:v>
                </c:pt>
                <c:pt idx="28">
                  <c:v>75.099999999999994</c:v>
                </c:pt>
                <c:pt idx="29">
                  <c:v>73.3</c:v>
                </c:pt>
                <c:pt idx="30">
                  <c:v>67.599999999999994</c:v>
                </c:pt>
                <c:pt idx="31">
                  <c:v>91.6</c:v>
                </c:pt>
                <c:pt idx="32">
                  <c:v>71.7</c:v>
                </c:pt>
                <c:pt idx="33">
                  <c:v>95.8</c:v>
                </c:pt>
                <c:pt idx="34">
                  <c:v>72.099999999999994</c:v>
                </c:pt>
                <c:pt idx="35">
                  <c:v>85.3</c:v>
                </c:pt>
                <c:pt idx="36">
                  <c:v>47.4</c:v>
                </c:pt>
                <c:pt idx="37">
                  <c:v>71.099999999999994</c:v>
                </c:pt>
                <c:pt idx="38">
                  <c:v>87</c:v>
                </c:pt>
                <c:pt idx="39">
                  <c:v>76.8</c:v>
                </c:pt>
                <c:pt idx="40">
                  <c:v>67.599999999999994</c:v>
                </c:pt>
                <c:pt idx="41">
                  <c:v>80.400000000000006</c:v>
                </c:pt>
                <c:pt idx="42">
                  <c:v>65.099999999999994</c:v>
                </c:pt>
                <c:pt idx="43">
                  <c:v>71.400000000000006</c:v>
                </c:pt>
                <c:pt idx="44">
                  <c:v>70.8</c:v>
                </c:pt>
                <c:pt idx="45">
                  <c:v>77.599999999999994</c:v>
                </c:pt>
                <c:pt idx="46">
                  <c:v>92.8</c:v>
                </c:pt>
                <c:pt idx="47">
                  <c:v>72.3</c:v>
                </c:pt>
                <c:pt idx="48">
                  <c:v>70.7</c:v>
                </c:pt>
                <c:pt idx="49">
                  <c:v>90</c:v>
                </c:pt>
                <c:pt idx="50">
                  <c:v>73.3</c:v>
                </c:pt>
                <c:pt idx="51">
                  <c:v>81.7</c:v>
                </c:pt>
                <c:pt idx="52">
                  <c:v>70.099999999999994</c:v>
                </c:pt>
                <c:pt idx="53">
                  <c:v>55.1</c:v>
                </c:pt>
                <c:pt idx="54">
                  <c:v>94.9</c:v>
                </c:pt>
                <c:pt idx="55">
                  <c:v>87.5</c:v>
                </c:pt>
                <c:pt idx="56">
                  <c:v>94.3</c:v>
                </c:pt>
                <c:pt idx="57">
                  <c:v>73.7</c:v>
                </c:pt>
                <c:pt idx="58">
                  <c:v>61.1</c:v>
                </c:pt>
                <c:pt idx="59">
                  <c:v>78.7</c:v>
                </c:pt>
                <c:pt idx="60">
                  <c:v>71.599999999999994</c:v>
                </c:pt>
                <c:pt idx="61">
                  <c:v>100</c:v>
                </c:pt>
                <c:pt idx="62">
                  <c:v>86.8</c:v>
                </c:pt>
                <c:pt idx="63">
                  <c:v>87.3</c:v>
                </c:pt>
                <c:pt idx="64">
                  <c:v>74.7</c:v>
                </c:pt>
                <c:pt idx="65">
                  <c:v>100</c:v>
                </c:pt>
                <c:pt idx="66">
                  <c:v>99</c:v>
                </c:pt>
                <c:pt idx="67">
                  <c:v>99.8</c:v>
                </c:pt>
                <c:pt idx="68">
                  <c:v>80.599999999999994</c:v>
                </c:pt>
                <c:pt idx="69">
                  <c:v>76</c:v>
                </c:pt>
                <c:pt idx="70">
                  <c:v>71.599999999999994</c:v>
                </c:pt>
                <c:pt idx="71">
                  <c:v>75.8</c:v>
                </c:pt>
                <c:pt idx="72">
                  <c:v>93.1</c:v>
                </c:pt>
                <c:pt idx="73">
                  <c:v>96.8</c:v>
                </c:pt>
                <c:pt idx="74">
                  <c:v>58.6</c:v>
                </c:pt>
                <c:pt idx="75">
                  <c:v>68.8</c:v>
                </c:pt>
                <c:pt idx="76">
                  <c:v>87.8</c:v>
                </c:pt>
                <c:pt idx="77">
                  <c:v>87</c:v>
                </c:pt>
                <c:pt idx="78">
                  <c:v>71.3</c:v>
                </c:pt>
                <c:pt idx="79">
                  <c:v>84.7</c:v>
                </c:pt>
              </c:numCache>
            </c:numRef>
          </c:xVal>
          <c:yVal>
            <c:numRef>
              <c:f>'📊 RawData'!$I$3:$I$82</c:f>
              <c:numCache>
                <c:formatCode>General</c:formatCode>
                <c:ptCount val="80"/>
                <c:pt idx="0">
                  <c:v>95</c:v>
                </c:pt>
                <c:pt idx="1">
                  <c:v>80.8</c:v>
                </c:pt>
                <c:pt idx="2">
                  <c:v>86.3</c:v>
                </c:pt>
                <c:pt idx="3">
                  <c:v>81.5</c:v>
                </c:pt>
                <c:pt idx="4">
                  <c:v>84.9</c:v>
                </c:pt>
                <c:pt idx="5">
                  <c:v>77.8</c:v>
                </c:pt>
                <c:pt idx="6">
                  <c:v>71.3</c:v>
                </c:pt>
                <c:pt idx="7">
                  <c:v>70.099999999999994</c:v>
                </c:pt>
                <c:pt idx="8">
                  <c:v>87.2</c:v>
                </c:pt>
                <c:pt idx="9">
                  <c:v>83.1</c:v>
                </c:pt>
                <c:pt idx="10">
                  <c:v>76.400000000000006</c:v>
                </c:pt>
                <c:pt idx="11">
                  <c:v>94.8</c:v>
                </c:pt>
                <c:pt idx="12">
                  <c:v>55.2</c:v>
                </c:pt>
                <c:pt idx="13">
                  <c:v>83.9</c:v>
                </c:pt>
                <c:pt idx="14">
                  <c:v>100</c:v>
                </c:pt>
                <c:pt idx="15">
                  <c:v>85.5</c:v>
                </c:pt>
                <c:pt idx="16">
                  <c:v>75.599999999999994</c:v>
                </c:pt>
                <c:pt idx="17">
                  <c:v>91.2</c:v>
                </c:pt>
                <c:pt idx="18">
                  <c:v>66</c:v>
                </c:pt>
                <c:pt idx="19">
                  <c:v>83.4</c:v>
                </c:pt>
                <c:pt idx="20">
                  <c:v>71</c:v>
                </c:pt>
                <c:pt idx="21">
                  <c:v>91.7</c:v>
                </c:pt>
                <c:pt idx="22">
                  <c:v>91.6</c:v>
                </c:pt>
                <c:pt idx="23">
                  <c:v>75.3</c:v>
                </c:pt>
                <c:pt idx="24">
                  <c:v>62.3</c:v>
                </c:pt>
                <c:pt idx="25">
                  <c:v>92.7</c:v>
                </c:pt>
                <c:pt idx="26">
                  <c:v>98</c:v>
                </c:pt>
                <c:pt idx="27">
                  <c:v>87.7</c:v>
                </c:pt>
                <c:pt idx="28">
                  <c:v>63.5</c:v>
                </c:pt>
                <c:pt idx="29">
                  <c:v>70.599999999999994</c:v>
                </c:pt>
                <c:pt idx="30">
                  <c:v>67.2</c:v>
                </c:pt>
                <c:pt idx="31">
                  <c:v>82.7</c:v>
                </c:pt>
                <c:pt idx="32">
                  <c:v>67.400000000000006</c:v>
                </c:pt>
                <c:pt idx="33">
                  <c:v>89.7</c:v>
                </c:pt>
                <c:pt idx="34">
                  <c:v>55.3</c:v>
                </c:pt>
                <c:pt idx="35">
                  <c:v>92.7</c:v>
                </c:pt>
                <c:pt idx="36">
                  <c:v>60.9</c:v>
                </c:pt>
                <c:pt idx="37">
                  <c:v>88.3</c:v>
                </c:pt>
                <c:pt idx="38">
                  <c:v>73.7</c:v>
                </c:pt>
                <c:pt idx="39">
                  <c:v>73.2</c:v>
                </c:pt>
                <c:pt idx="40">
                  <c:v>93.6</c:v>
                </c:pt>
                <c:pt idx="41">
                  <c:v>90.4</c:v>
                </c:pt>
                <c:pt idx="42">
                  <c:v>85.3</c:v>
                </c:pt>
                <c:pt idx="43">
                  <c:v>65.7</c:v>
                </c:pt>
                <c:pt idx="44">
                  <c:v>62.6</c:v>
                </c:pt>
                <c:pt idx="45">
                  <c:v>71.400000000000006</c:v>
                </c:pt>
                <c:pt idx="46">
                  <c:v>85.5</c:v>
                </c:pt>
                <c:pt idx="47">
                  <c:v>78.8</c:v>
                </c:pt>
                <c:pt idx="48">
                  <c:v>62.5</c:v>
                </c:pt>
                <c:pt idx="49">
                  <c:v>77.900000000000006</c:v>
                </c:pt>
                <c:pt idx="50">
                  <c:v>84.3</c:v>
                </c:pt>
                <c:pt idx="51">
                  <c:v>96.3</c:v>
                </c:pt>
                <c:pt idx="52">
                  <c:v>89.1</c:v>
                </c:pt>
                <c:pt idx="53">
                  <c:v>51.6</c:v>
                </c:pt>
                <c:pt idx="54">
                  <c:v>78.400000000000006</c:v>
                </c:pt>
                <c:pt idx="55">
                  <c:v>99.6</c:v>
                </c:pt>
                <c:pt idx="56">
                  <c:v>93.5</c:v>
                </c:pt>
                <c:pt idx="57">
                  <c:v>79.2</c:v>
                </c:pt>
                <c:pt idx="58">
                  <c:v>86.5</c:v>
                </c:pt>
                <c:pt idx="59">
                  <c:v>79.8</c:v>
                </c:pt>
                <c:pt idx="60">
                  <c:v>57.4</c:v>
                </c:pt>
                <c:pt idx="61">
                  <c:v>69.3</c:v>
                </c:pt>
                <c:pt idx="62">
                  <c:v>86.9</c:v>
                </c:pt>
                <c:pt idx="63">
                  <c:v>80.8</c:v>
                </c:pt>
                <c:pt idx="64">
                  <c:v>89.4</c:v>
                </c:pt>
                <c:pt idx="65">
                  <c:v>64</c:v>
                </c:pt>
                <c:pt idx="66">
                  <c:v>90.7</c:v>
                </c:pt>
                <c:pt idx="67">
                  <c:v>86.7</c:v>
                </c:pt>
                <c:pt idx="68">
                  <c:v>84.4</c:v>
                </c:pt>
                <c:pt idx="69">
                  <c:v>77.599999999999994</c:v>
                </c:pt>
                <c:pt idx="70">
                  <c:v>65.8</c:v>
                </c:pt>
                <c:pt idx="71">
                  <c:v>89.8</c:v>
                </c:pt>
                <c:pt idx="72">
                  <c:v>77.8</c:v>
                </c:pt>
                <c:pt idx="73">
                  <c:v>80.7</c:v>
                </c:pt>
                <c:pt idx="74">
                  <c:v>61.6</c:v>
                </c:pt>
                <c:pt idx="75">
                  <c:v>84.3</c:v>
                </c:pt>
                <c:pt idx="76">
                  <c:v>82.4</c:v>
                </c:pt>
                <c:pt idx="77">
                  <c:v>86</c:v>
                </c:pt>
                <c:pt idx="78">
                  <c:v>68.599999999999994</c:v>
                </c:pt>
                <c:pt idx="79">
                  <c:v>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6B-46FA-AE48-8C82B9E3CA58}"/>
            </c:ext>
          </c:extLst>
        </c:ser>
        <c:ser>
          <c:idx val="1"/>
          <c:order val="1"/>
          <c:tx>
            <c:v>Predicted Score</c:v>
          </c:tx>
          <c:spPr>
            <a:ln w="38100">
              <a:noFill/>
            </a:ln>
          </c:spPr>
          <c:xVal>
            <c:numRef>
              <c:f>'📊 RawData'!$E$3:$E$82</c:f>
              <c:numCache>
                <c:formatCode>General</c:formatCode>
                <c:ptCount val="80"/>
                <c:pt idx="0">
                  <c:v>79.5</c:v>
                </c:pt>
                <c:pt idx="1">
                  <c:v>74.8</c:v>
                </c:pt>
                <c:pt idx="2">
                  <c:v>77.900000000000006</c:v>
                </c:pt>
                <c:pt idx="3">
                  <c:v>93.7</c:v>
                </c:pt>
                <c:pt idx="4">
                  <c:v>67.599999999999994</c:v>
                </c:pt>
                <c:pt idx="5">
                  <c:v>81</c:v>
                </c:pt>
                <c:pt idx="6">
                  <c:v>63.2</c:v>
                </c:pt>
                <c:pt idx="7">
                  <c:v>63.4</c:v>
                </c:pt>
                <c:pt idx="8">
                  <c:v>80.5</c:v>
                </c:pt>
                <c:pt idx="9">
                  <c:v>83.7</c:v>
                </c:pt>
                <c:pt idx="10">
                  <c:v>87.2</c:v>
                </c:pt>
                <c:pt idx="11">
                  <c:v>95.1</c:v>
                </c:pt>
                <c:pt idx="12">
                  <c:v>66.2</c:v>
                </c:pt>
                <c:pt idx="13">
                  <c:v>81</c:v>
                </c:pt>
                <c:pt idx="14">
                  <c:v>69.400000000000006</c:v>
                </c:pt>
                <c:pt idx="15">
                  <c:v>71.2</c:v>
                </c:pt>
                <c:pt idx="16">
                  <c:v>93.9</c:v>
                </c:pt>
                <c:pt idx="17">
                  <c:v>77.8</c:v>
                </c:pt>
                <c:pt idx="18">
                  <c:v>62.7</c:v>
                </c:pt>
                <c:pt idx="19">
                  <c:v>77.599999999999994</c:v>
                </c:pt>
                <c:pt idx="20">
                  <c:v>60.1</c:v>
                </c:pt>
                <c:pt idx="21">
                  <c:v>86.3</c:v>
                </c:pt>
                <c:pt idx="22">
                  <c:v>92.1</c:v>
                </c:pt>
                <c:pt idx="23">
                  <c:v>94.3</c:v>
                </c:pt>
                <c:pt idx="24">
                  <c:v>72.900000000000006</c:v>
                </c:pt>
                <c:pt idx="25">
                  <c:v>81.400000000000006</c:v>
                </c:pt>
                <c:pt idx="26">
                  <c:v>86.8</c:v>
                </c:pt>
                <c:pt idx="27">
                  <c:v>86.5</c:v>
                </c:pt>
                <c:pt idx="28">
                  <c:v>75.099999999999994</c:v>
                </c:pt>
                <c:pt idx="29">
                  <c:v>73.3</c:v>
                </c:pt>
                <c:pt idx="30">
                  <c:v>67.599999999999994</c:v>
                </c:pt>
                <c:pt idx="31">
                  <c:v>91.6</c:v>
                </c:pt>
                <c:pt idx="32">
                  <c:v>71.7</c:v>
                </c:pt>
                <c:pt idx="33">
                  <c:v>95.8</c:v>
                </c:pt>
                <c:pt idx="34">
                  <c:v>72.099999999999994</c:v>
                </c:pt>
                <c:pt idx="35">
                  <c:v>85.3</c:v>
                </c:pt>
                <c:pt idx="36">
                  <c:v>47.4</c:v>
                </c:pt>
                <c:pt idx="37">
                  <c:v>71.099999999999994</c:v>
                </c:pt>
                <c:pt idx="38">
                  <c:v>87</c:v>
                </c:pt>
                <c:pt idx="39">
                  <c:v>76.8</c:v>
                </c:pt>
                <c:pt idx="40">
                  <c:v>67.599999999999994</c:v>
                </c:pt>
                <c:pt idx="41">
                  <c:v>80.400000000000006</c:v>
                </c:pt>
                <c:pt idx="42">
                  <c:v>65.099999999999994</c:v>
                </c:pt>
                <c:pt idx="43">
                  <c:v>71.400000000000006</c:v>
                </c:pt>
                <c:pt idx="44">
                  <c:v>70.8</c:v>
                </c:pt>
                <c:pt idx="45">
                  <c:v>77.599999999999994</c:v>
                </c:pt>
                <c:pt idx="46">
                  <c:v>92.8</c:v>
                </c:pt>
                <c:pt idx="47">
                  <c:v>72.3</c:v>
                </c:pt>
                <c:pt idx="48">
                  <c:v>70.7</c:v>
                </c:pt>
                <c:pt idx="49">
                  <c:v>90</c:v>
                </c:pt>
                <c:pt idx="50">
                  <c:v>73.3</c:v>
                </c:pt>
                <c:pt idx="51">
                  <c:v>81.7</c:v>
                </c:pt>
                <c:pt idx="52">
                  <c:v>70.099999999999994</c:v>
                </c:pt>
                <c:pt idx="53">
                  <c:v>55.1</c:v>
                </c:pt>
                <c:pt idx="54">
                  <c:v>94.9</c:v>
                </c:pt>
                <c:pt idx="55">
                  <c:v>87.5</c:v>
                </c:pt>
                <c:pt idx="56">
                  <c:v>94.3</c:v>
                </c:pt>
                <c:pt idx="57">
                  <c:v>73.7</c:v>
                </c:pt>
                <c:pt idx="58">
                  <c:v>61.1</c:v>
                </c:pt>
                <c:pt idx="59">
                  <c:v>78.7</c:v>
                </c:pt>
                <c:pt idx="60">
                  <c:v>71.599999999999994</c:v>
                </c:pt>
                <c:pt idx="61">
                  <c:v>100</c:v>
                </c:pt>
                <c:pt idx="62">
                  <c:v>86.8</c:v>
                </c:pt>
                <c:pt idx="63">
                  <c:v>87.3</c:v>
                </c:pt>
                <c:pt idx="64">
                  <c:v>74.7</c:v>
                </c:pt>
                <c:pt idx="65">
                  <c:v>100</c:v>
                </c:pt>
                <c:pt idx="66">
                  <c:v>99</c:v>
                </c:pt>
                <c:pt idx="67">
                  <c:v>99.8</c:v>
                </c:pt>
                <c:pt idx="68">
                  <c:v>80.599999999999994</c:v>
                </c:pt>
                <c:pt idx="69">
                  <c:v>76</c:v>
                </c:pt>
                <c:pt idx="70">
                  <c:v>71.599999999999994</c:v>
                </c:pt>
                <c:pt idx="71">
                  <c:v>75.8</c:v>
                </c:pt>
                <c:pt idx="72">
                  <c:v>93.1</c:v>
                </c:pt>
                <c:pt idx="73">
                  <c:v>96.8</c:v>
                </c:pt>
                <c:pt idx="74">
                  <c:v>58.6</c:v>
                </c:pt>
                <c:pt idx="75">
                  <c:v>68.8</c:v>
                </c:pt>
                <c:pt idx="76">
                  <c:v>87.8</c:v>
                </c:pt>
                <c:pt idx="77">
                  <c:v>87</c:v>
                </c:pt>
                <c:pt idx="78">
                  <c:v>71.3</c:v>
                </c:pt>
                <c:pt idx="79">
                  <c:v>84.7</c:v>
                </c:pt>
              </c:numCache>
            </c:numRef>
          </c:xVal>
          <c:yVal>
            <c:numRef>
              <c:f>MultiReg!$B$28:$B$107</c:f>
              <c:numCache>
                <c:formatCode>0.00</c:formatCode>
                <c:ptCount val="80"/>
                <c:pt idx="0">
                  <c:v>86.937962883769345</c:v>
                </c:pt>
                <c:pt idx="1">
                  <c:v>81.750710287521869</c:v>
                </c:pt>
                <c:pt idx="2">
                  <c:v>79.383979382416058</c:v>
                </c:pt>
                <c:pt idx="3">
                  <c:v>80.959925217038119</c:v>
                </c:pt>
                <c:pt idx="4">
                  <c:v>74.146283425032664</c:v>
                </c:pt>
                <c:pt idx="5">
                  <c:v>85.874139259537401</c:v>
                </c:pt>
                <c:pt idx="6">
                  <c:v>74.253792092230242</c:v>
                </c:pt>
                <c:pt idx="7">
                  <c:v>76.200706777939871</c:v>
                </c:pt>
                <c:pt idx="8">
                  <c:v>86.340863730423521</c:v>
                </c:pt>
                <c:pt idx="9">
                  <c:v>88.780103807270933</c:v>
                </c:pt>
                <c:pt idx="10">
                  <c:v>78.758968592176217</c:v>
                </c:pt>
                <c:pt idx="11">
                  <c:v>90.743177082475555</c:v>
                </c:pt>
                <c:pt idx="12">
                  <c:v>69.421444071387882</c:v>
                </c:pt>
                <c:pt idx="13">
                  <c:v>80.829084620942211</c:v>
                </c:pt>
                <c:pt idx="14">
                  <c:v>95.754652840273735</c:v>
                </c:pt>
                <c:pt idx="15">
                  <c:v>80.927146540897539</c:v>
                </c:pt>
                <c:pt idx="16">
                  <c:v>77.973229143324346</c:v>
                </c:pt>
                <c:pt idx="17">
                  <c:v>91.955440176490754</c:v>
                </c:pt>
                <c:pt idx="18">
                  <c:v>66.564322475477383</c:v>
                </c:pt>
                <c:pt idx="19">
                  <c:v>85.273104894217369</c:v>
                </c:pt>
                <c:pt idx="20">
                  <c:v>74.11199423690617</c:v>
                </c:pt>
                <c:pt idx="21">
                  <c:v>88.786015444867232</c:v>
                </c:pt>
                <c:pt idx="22">
                  <c:v>82.542451271296969</c:v>
                </c:pt>
                <c:pt idx="23">
                  <c:v>80.099300068494344</c:v>
                </c:pt>
                <c:pt idx="24">
                  <c:v>63.422475089727634</c:v>
                </c:pt>
                <c:pt idx="25">
                  <c:v>102.49140842094619</c:v>
                </c:pt>
                <c:pt idx="26">
                  <c:v>100.48349321720069</c:v>
                </c:pt>
                <c:pt idx="27">
                  <c:v>90.298494336176162</c:v>
                </c:pt>
                <c:pt idx="28">
                  <c:v>67.216242029550514</c:v>
                </c:pt>
                <c:pt idx="29">
                  <c:v>66.838495524902257</c:v>
                </c:pt>
                <c:pt idx="30">
                  <c:v>71.105232864227773</c:v>
                </c:pt>
                <c:pt idx="31">
                  <c:v>79.197339598551096</c:v>
                </c:pt>
                <c:pt idx="32">
                  <c:v>75.526811310588016</c:v>
                </c:pt>
                <c:pt idx="33">
                  <c:v>87.289756537875675</c:v>
                </c:pt>
                <c:pt idx="34">
                  <c:v>69.287158262972952</c:v>
                </c:pt>
                <c:pt idx="35">
                  <c:v>90.952682881602655</c:v>
                </c:pt>
                <c:pt idx="36">
                  <c:v>59.53332854641544</c:v>
                </c:pt>
                <c:pt idx="37">
                  <c:v>84.052463737328637</c:v>
                </c:pt>
                <c:pt idx="38">
                  <c:v>75.663563544280208</c:v>
                </c:pt>
                <c:pt idx="39">
                  <c:v>76.646589831223935</c:v>
                </c:pt>
                <c:pt idx="40">
                  <c:v>91.958150995461295</c:v>
                </c:pt>
                <c:pt idx="41">
                  <c:v>79.628974676654295</c:v>
                </c:pt>
                <c:pt idx="42">
                  <c:v>80.249650152591713</c:v>
                </c:pt>
                <c:pt idx="43">
                  <c:v>64.752559614147074</c:v>
                </c:pt>
                <c:pt idx="44">
                  <c:v>68.064982508079311</c:v>
                </c:pt>
                <c:pt idx="45">
                  <c:v>57.469214052572674</c:v>
                </c:pt>
                <c:pt idx="46">
                  <c:v>90.384361381115255</c:v>
                </c:pt>
                <c:pt idx="47">
                  <c:v>85.247462248676726</c:v>
                </c:pt>
                <c:pt idx="48">
                  <c:v>63.413828547141804</c:v>
                </c:pt>
                <c:pt idx="49">
                  <c:v>83.275036540042365</c:v>
                </c:pt>
                <c:pt idx="50">
                  <c:v>80.306005151323916</c:v>
                </c:pt>
                <c:pt idx="51">
                  <c:v>85.798119064168816</c:v>
                </c:pt>
                <c:pt idx="52">
                  <c:v>83.514430401685559</c:v>
                </c:pt>
                <c:pt idx="53">
                  <c:v>53.806132000210766</c:v>
                </c:pt>
                <c:pt idx="54">
                  <c:v>80.262363529767683</c:v>
                </c:pt>
                <c:pt idx="55">
                  <c:v>92.853889622807017</c:v>
                </c:pt>
                <c:pt idx="56">
                  <c:v>87.484708573306207</c:v>
                </c:pt>
                <c:pt idx="57">
                  <c:v>80.582889019719346</c:v>
                </c:pt>
                <c:pt idx="58">
                  <c:v>78.728124616368731</c:v>
                </c:pt>
                <c:pt idx="59">
                  <c:v>73.40785232999896</c:v>
                </c:pt>
                <c:pt idx="60">
                  <c:v>62.200299334833993</c:v>
                </c:pt>
                <c:pt idx="61">
                  <c:v>81.045792261977212</c:v>
                </c:pt>
                <c:pt idx="62">
                  <c:v>83.708672129786635</c:v>
                </c:pt>
                <c:pt idx="63">
                  <c:v>72.114791898695557</c:v>
                </c:pt>
                <c:pt idx="64">
                  <c:v>94.322171081596565</c:v>
                </c:pt>
                <c:pt idx="65">
                  <c:v>75.566301828981324</c:v>
                </c:pt>
                <c:pt idx="66">
                  <c:v>83.54880948713901</c:v>
                </c:pt>
                <c:pt idx="67">
                  <c:v>88.110585379510468</c:v>
                </c:pt>
                <c:pt idx="68">
                  <c:v>80.720375646759976</c:v>
                </c:pt>
                <c:pt idx="69">
                  <c:v>85.986759359674835</c:v>
                </c:pt>
                <c:pt idx="70">
                  <c:v>58.290377185227705</c:v>
                </c:pt>
                <c:pt idx="71">
                  <c:v>87.501973155973317</c:v>
                </c:pt>
                <c:pt idx="72">
                  <c:v>78.904301557146255</c:v>
                </c:pt>
                <c:pt idx="73">
                  <c:v>79.195805000546216</c:v>
                </c:pt>
                <c:pt idx="74">
                  <c:v>66.641918994139871</c:v>
                </c:pt>
                <c:pt idx="75">
                  <c:v>75.173107042167558</c:v>
                </c:pt>
                <c:pt idx="76">
                  <c:v>80.070522415635921</c:v>
                </c:pt>
                <c:pt idx="77">
                  <c:v>90.545824433075722</c:v>
                </c:pt>
                <c:pt idx="78">
                  <c:v>72.110790875413386</c:v>
                </c:pt>
                <c:pt idx="79">
                  <c:v>72.97775184990067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6B-46FA-AE48-8C82B9E3C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337567"/>
        <c:axId val="1402330847"/>
      </c:scatterChart>
      <c:valAx>
        <c:axId val="140233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Attendance%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330847"/>
        <c:crosses val="autoZero"/>
        <c:crossBetween val="midCat"/>
      </c:valAx>
      <c:valAx>
        <c:axId val="1402330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3375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Is_Eng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46454861111111112"/>
                  <c:y val="-0.21453318335208099"/>
                </c:manualLayout>
              </c:layout>
              <c:numFmt formatCode="General" sourceLinked="0"/>
            </c:trendlineLbl>
          </c:trendline>
          <c:xVal>
            <c:numRef>
              <c:f>'📊 RawData'!$F$3:$F$82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</c:numCache>
            </c:numRef>
          </c:xVal>
          <c:yVal>
            <c:numRef>
              <c:f>'📊 RawData'!$I$3:$I$82</c:f>
              <c:numCache>
                <c:formatCode>General</c:formatCode>
                <c:ptCount val="80"/>
                <c:pt idx="0">
                  <c:v>95</c:v>
                </c:pt>
                <c:pt idx="1">
                  <c:v>80.8</c:v>
                </c:pt>
                <c:pt idx="2">
                  <c:v>86.3</c:v>
                </c:pt>
                <c:pt idx="3">
                  <c:v>81.5</c:v>
                </c:pt>
                <c:pt idx="4">
                  <c:v>84.9</c:v>
                </c:pt>
                <c:pt idx="5">
                  <c:v>77.8</c:v>
                </c:pt>
                <c:pt idx="6">
                  <c:v>71.3</c:v>
                </c:pt>
                <c:pt idx="7">
                  <c:v>70.099999999999994</c:v>
                </c:pt>
                <c:pt idx="8">
                  <c:v>87.2</c:v>
                </c:pt>
                <c:pt idx="9">
                  <c:v>83.1</c:v>
                </c:pt>
                <c:pt idx="10">
                  <c:v>76.400000000000006</c:v>
                </c:pt>
                <c:pt idx="11">
                  <c:v>94.8</c:v>
                </c:pt>
                <c:pt idx="12">
                  <c:v>55.2</c:v>
                </c:pt>
                <c:pt idx="13">
                  <c:v>83.9</c:v>
                </c:pt>
                <c:pt idx="14">
                  <c:v>100</c:v>
                </c:pt>
                <c:pt idx="15">
                  <c:v>85.5</c:v>
                </c:pt>
                <c:pt idx="16">
                  <c:v>75.599999999999994</c:v>
                </c:pt>
                <c:pt idx="17">
                  <c:v>91.2</c:v>
                </c:pt>
                <c:pt idx="18">
                  <c:v>66</c:v>
                </c:pt>
                <c:pt idx="19">
                  <c:v>83.4</c:v>
                </c:pt>
                <c:pt idx="20">
                  <c:v>71</c:v>
                </c:pt>
                <c:pt idx="21">
                  <c:v>91.7</c:v>
                </c:pt>
                <c:pt idx="22">
                  <c:v>91.6</c:v>
                </c:pt>
                <c:pt idx="23">
                  <c:v>75.3</c:v>
                </c:pt>
                <c:pt idx="24">
                  <c:v>62.3</c:v>
                </c:pt>
                <c:pt idx="25">
                  <c:v>92.7</c:v>
                </c:pt>
                <c:pt idx="26">
                  <c:v>98</c:v>
                </c:pt>
                <c:pt idx="27">
                  <c:v>87.7</c:v>
                </c:pt>
                <c:pt idx="28">
                  <c:v>63.5</c:v>
                </c:pt>
                <c:pt idx="29">
                  <c:v>70.599999999999994</c:v>
                </c:pt>
                <c:pt idx="30">
                  <c:v>67.2</c:v>
                </c:pt>
                <c:pt idx="31">
                  <c:v>82.7</c:v>
                </c:pt>
                <c:pt idx="32">
                  <c:v>67.400000000000006</c:v>
                </c:pt>
                <c:pt idx="33">
                  <c:v>89.7</c:v>
                </c:pt>
                <c:pt idx="34">
                  <c:v>55.3</c:v>
                </c:pt>
                <c:pt idx="35">
                  <c:v>92.7</c:v>
                </c:pt>
                <c:pt idx="36">
                  <c:v>60.9</c:v>
                </c:pt>
                <c:pt idx="37">
                  <c:v>88.3</c:v>
                </c:pt>
                <c:pt idx="38">
                  <c:v>73.7</c:v>
                </c:pt>
                <c:pt idx="39">
                  <c:v>73.2</c:v>
                </c:pt>
                <c:pt idx="40">
                  <c:v>93.6</c:v>
                </c:pt>
                <c:pt idx="41">
                  <c:v>90.4</c:v>
                </c:pt>
                <c:pt idx="42">
                  <c:v>85.3</c:v>
                </c:pt>
                <c:pt idx="43">
                  <c:v>65.7</c:v>
                </c:pt>
                <c:pt idx="44">
                  <c:v>62.6</c:v>
                </c:pt>
                <c:pt idx="45">
                  <c:v>71.400000000000006</c:v>
                </c:pt>
                <c:pt idx="46">
                  <c:v>85.5</c:v>
                </c:pt>
                <c:pt idx="47">
                  <c:v>78.8</c:v>
                </c:pt>
                <c:pt idx="48">
                  <c:v>62.5</c:v>
                </c:pt>
                <c:pt idx="49">
                  <c:v>77.900000000000006</c:v>
                </c:pt>
                <c:pt idx="50">
                  <c:v>84.3</c:v>
                </c:pt>
                <c:pt idx="51">
                  <c:v>96.3</c:v>
                </c:pt>
                <c:pt idx="52">
                  <c:v>89.1</c:v>
                </c:pt>
                <c:pt idx="53">
                  <c:v>51.6</c:v>
                </c:pt>
                <c:pt idx="54">
                  <c:v>78.400000000000006</c:v>
                </c:pt>
                <c:pt idx="55">
                  <c:v>99.6</c:v>
                </c:pt>
                <c:pt idx="56">
                  <c:v>93.5</c:v>
                </c:pt>
                <c:pt idx="57">
                  <c:v>79.2</c:v>
                </c:pt>
                <c:pt idx="58">
                  <c:v>86.5</c:v>
                </c:pt>
                <c:pt idx="59">
                  <c:v>79.8</c:v>
                </c:pt>
                <c:pt idx="60">
                  <c:v>57.4</c:v>
                </c:pt>
                <c:pt idx="61">
                  <c:v>69.3</c:v>
                </c:pt>
                <c:pt idx="62">
                  <c:v>86.9</c:v>
                </c:pt>
                <c:pt idx="63">
                  <c:v>80.8</c:v>
                </c:pt>
                <c:pt idx="64">
                  <c:v>89.4</c:v>
                </c:pt>
                <c:pt idx="65">
                  <c:v>64</c:v>
                </c:pt>
                <c:pt idx="66">
                  <c:v>90.7</c:v>
                </c:pt>
                <c:pt idx="67">
                  <c:v>86.7</c:v>
                </c:pt>
                <c:pt idx="68">
                  <c:v>84.4</c:v>
                </c:pt>
                <c:pt idx="69">
                  <c:v>77.599999999999994</c:v>
                </c:pt>
                <c:pt idx="70">
                  <c:v>65.8</c:v>
                </c:pt>
                <c:pt idx="71">
                  <c:v>89.8</c:v>
                </c:pt>
                <c:pt idx="72">
                  <c:v>77.8</c:v>
                </c:pt>
                <c:pt idx="73">
                  <c:v>80.7</c:v>
                </c:pt>
                <c:pt idx="74">
                  <c:v>61.6</c:v>
                </c:pt>
                <c:pt idx="75">
                  <c:v>84.3</c:v>
                </c:pt>
                <c:pt idx="76">
                  <c:v>82.4</c:v>
                </c:pt>
                <c:pt idx="77">
                  <c:v>86</c:v>
                </c:pt>
                <c:pt idx="78">
                  <c:v>68.599999999999994</c:v>
                </c:pt>
                <c:pt idx="79">
                  <c:v>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63-42E0-9FB3-A4DBD29E708F}"/>
            </c:ext>
          </c:extLst>
        </c:ser>
        <c:ser>
          <c:idx val="1"/>
          <c:order val="1"/>
          <c:tx>
            <c:v>Predicted Score</c:v>
          </c:tx>
          <c:spPr>
            <a:ln w="38100">
              <a:noFill/>
            </a:ln>
          </c:spPr>
          <c:xVal>
            <c:numRef>
              <c:f>'📊 RawData'!$F$3:$F$82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</c:numCache>
            </c:numRef>
          </c:xVal>
          <c:yVal>
            <c:numRef>
              <c:f>MultiReg!$B$28:$B$107</c:f>
              <c:numCache>
                <c:formatCode>0.00</c:formatCode>
                <c:ptCount val="80"/>
                <c:pt idx="0">
                  <c:v>86.937962883769345</c:v>
                </c:pt>
                <c:pt idx="1">
                  <c:v>81.750710287521869</c:v>
                </c:pt>
                <c:pt idx="2">
                  <c:v>79.383979382416058</c:v>
                </c:pt>
                <c:pt idx="3">
                  <c:v>80.959925217038119</c:v>
                </c:pt>
                <c:pt idx="4">
                  <c:v>74.146283425032664</c:v>
                </c:pt>
                <c:pt idx="5">
                  <c:v>85.874139259537401</c:v>
                </c:pt>
                <c:pt idx="6">
                  <c:v>74.253792092230242</c:v>
                </c:pt>
                <c:pt idx="7">
                  <c:v>76.200706777939871</c:v>
                </c:pt>
                <c:pt idx="8">
                  <c:v>86.340863730423521</c:v>
                </c:pt>
                <c:pt idx="9">
                  <c:v>88.780103807270933</c:v>
                </c:pt>
                <c:pt idx="10">
                  <c:v>78.758968592176217</c:v>
                </c:pt>
                <c:pt idx="11">
                  <c:v>90.743177082475555</c:v>
                </c:pt>
                <c:pt idx="12">
                  <c:v>69.421444071387882</c:v>
                </c:pt>
                <c:pt idx="13">
                  <c:v>80.829084620942211</c:v>
                </c:pt>
                <c:pt idx="14">
                  <c:v>95.754652840273735</c:v>
                </c:pt>
                <c:pt idx="15">
                  <c:v>80.927146540897539</c:v>
                </c:pt>
                <c:pt idx="16">
                  <c:v>77.973229143324346</c:v>
                </c:pt>
                <c:pt idx="17">
                  <c:v>91.955440176490754</c:v>
                </c:pt>
                <c:pt idx="18">
                  <c:v>66.564322475477383</c:v>
                </c:pt>
                <c:pt idx="19">
                  <c:v>85.273104894217369</c:v>
                </c:pt>
                <c:pt idx="20">
                  <c:v>74.11199423690617</c:v>
                </c:pt>
                <c:pt idx="21">
                  <c:v>88.786015444867232</c:v>
                </c:pt>
                <c:pt idx="22">
                  <c:v>82.542451271296969</c:v>
                </c:pt>
                <c:pt idx="23">
                  <c:v>80.099300068494344</c:v>
                </c:pt>
                <c:pt idx="24">
                  <c:v>63.422475089727634</c:v>
                </c:pt>
                <c:pt idx="25">
                  <c:v>102.49140842094619</c:v>
                </c:pt>
                <c:pt idx="26">
                  <c:v>100.48349321720069</c:v>
                </c:pt>
                <c:pt idx="27">
                  <c:v>90.298494336176162</c:v>
                </c:pt>
                <c:pt idx="28">
                  <c:v>67.216242029550514</c:v>
                </c:pt>
                <c:pt idx="29">
                  <c:v>66.838495524902257</c:v>
                </c:pt>
                <c:pt idx="30">
                  <c:v>71.105232864227773</c:v>
                </c:pt>
                <c:pt idx="31">
                  <c:v>79.197339598551096</c:v>
                </c:pt>
                <c:pt idx="32">
                  <c:v>75.526811310588016</c:v>
                </c:pt>
                <c:pt idx="33">
                  <c:v>87.289756537875675</c:v>
                </c:pt>
                <c:pt idx="34">
                  <c:v>69.287158262972952</c:v>
                </c:pt>
                <c:pt idx="35">
                  <c:v>90.952682881602655</c:v>
                </c:pt>
                <c:pt idx="36">
                  <c:v>59.53332854641544</c:v>
                </c:pt>
                <c:pt idx="37">
                  <c:v>84.052463737328637</c:v>
                </c:pt>
                <c:pt idx="38">
                  <c:v>75.663563544280208</c:v>
                </c:pt>
                <c:pt idx="39">
                  <c:v>76.646589831223935</c:v>
                </c:pt>
                <c:pt idx="40">
                  <c:v>91.958150995461295</c:v>
                </c:pt>
                <c:pt idx="41">
                  <c:v>79.628974676654295</c:v>
                </c:pt>
                <c:pt idx="42">
                  <c:v>80.249650152591713</c:v>
                </c:pt>
                <c:pt idx="43">
                  <c:v>64.752559614147074</c:v>
                </c:pt>
                <c:pt idx="44">
                  <c:v>68.064982508079311</c:v>
                </c:pt>
                <c:pt idx="45">
                  <c:v>57.469214052572674</c:v>
                </c:pt>
                <c:pt idx="46">
                  <c:v>90.384361381115255</c:v>
                </c:pt>
                <c:pt idx="47">
                  <c:v>85.247462248676726</c:v>
                </c:pt>
                <c:pt idx="48">
                  <c:v>63.413828547141804</c:v>
                </c:pt>
                <c:pt idx="49">
                  <c:v>83.275036540042365</c:v>
                </c:pt>
                <c:pt idx="50">
                  <c:v>80.306005151323916</c:v>
                </c:pt>
                <c:pt idx="51">
                  <c:v>85.798119064168816</c:v>
                </c:pt>
                <c:pt idx="52">
                  <c:v>83.514430401685559</c:v>
                </c:pt>
                <c:pt idx="53">
                  <c:v>53.806132000210766</c:v>
                </c:pt>
                <c:pt idx="54">
                  <c:v>80.262363529767683</c:v>
                </c:pt>
                <c:pt idx="55">
                  <c:v>92.853889622807017</c:v>
                </c:pt>
                <c:pt idx="56">
                  <c:v>87.484708573306207</c:v>
                </c:pt>
                <c:pt idx="57">
                  <c:v>80.582889019719346</c:v>
                </c:pt>
                <c:pt idx="58">
                  <c:v>78.728124616368731</c:v>
                </c:pt>
                <c:pt idx="59">
                  <c:v>73.40785232999896</c:v>
                </c:pt>
                <c:pt idx="60">
                  <c:v>62.200299334833993</c:v>
                </c:pt>
                <c:pt idx="61">
                  <c:v>81.045792261977212</c:v>
                </c:pt>
                <c:pt idx="62">
                  <c:v>83.708672129786635</c:v>
                </c:pt>
                <c:pt idx="63">
                  <c:v>72.114791898695557</c:v>
                </c:pt>
                <c:pt idx="64">
                  <c:v>94.322171081596565</c:v>
                </c:pt>
                <c:pt idx="65">
                  <c:v>75.566301828981324</c:v>
                </c:pt>
                <c:pt idx="66">
                  <c:v>83.54880948713901</c:v>
                </c:pt>
                <c:pt idx="67">
                  <c:v>88.110585379510468</c:v>
                </c:pt>
                <c:pt idx="68">
                  <c:v>80.720375646759976</c:v>
                </c:pt>
                <c:pt idx="69">
                  <c:v>85.986759359674835</c:v>
                </c:pt>
                <c:pt idx="70">
                  <c:v>58.290377185227705</c:v>
                </c:pt>
                <c:pt idx="71">
                  <c:v>87.501973155973317</c:v>
                </c:pt>
                <c:pt idx="72">
                  <c:v>78.904301557146255</c:v>
                </c:pt>
                <c:pt idx="73">
                  <c:v>79.195805000546216</c:v>
                </c:pt>
                <c:pt idx="74">
                  <c:v>66.641918994139871</c:v>
                </c:pt>
                <c:pt idx="75">
                  <c:v>75.173107042167558</c:v>
                </c:pt>
                <c:pt idx="76">
                  <c:v>80.070522415635921</c:v>
                </c:pt>
                <c:pt idx="77">
                  <c:v>90.545824433075722</c:v>
                </c:pt>
                <c:pt idx="78">
                  <c:v>72.110790875413386</c:v>
                </c:pt>
                <c:pt idx="79">
                  <c:v>72.97775184990067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63-42E0-9FB3-A4DBD29E7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334207"/>
        <c:axId val="1462057855"/>
      </c:scatterChart>
      <c:valAx>
        <c:axId val="1402334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Is_Eng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2057855"/>
        <c:crosses val="autoZero"/>
        <c:crossBetween val="midCat"/>
      </c:valAx>
      <c:valAx>
        <c:axId val="1462057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23342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Is_Mkt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Score</c:v>
          </c:tx>
          <c:spPr>
            <a:ln w="3810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0"/>
            <c:trendlineLbl>
              <c:layout>
                <c:manualLayout>
                  <c:x val="0.45784749562554683"/>
                  <c:y val="-0.24393181050388504"/>
                </c:manualLayout>
              </c:layout>
              <c:numFmt formatCode="General" sourceLinked="0"/>
            </c:trendlineLbl>
          </c:trendline>
          <c:xVal>
            <c:numRef>
              <c:f>'📊 RawData'!$G$3:$G$82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xVal>
          <c:yVal>
            <c:numRef>
              <c:f>'📊 RawData'!$I$3:$I$82</c:f>
              <c:numCache>
                <c:formatCode>General</c:formatCode>
                <c:ptCount val="80"/>
                <c:pt idx="0">
                  <c:v>95</c:v>
                </c:pt>
                <c:pt idx="1">
                  <c:v>80.8</c:v>
                </c:pt>
                <c:pt idx="2">
                  <c:v>86.3</c:v>
                </c:pt>
                <c:pt idx="3">
                  <c:v>81.5</c:v>
                </c:pt>
                <c:pt idx="4">
                  <c:v>84.9</c:v>
                </c:pt>
                <c:pt idx="5">
                  <c:v>77.8</c:v>
                </c:pt>
                <c:pt idx="6">
                  <c:v>71.3</c:v>
                </c:pt>
                <c:pt idx="7">
                  <c:v>70.099999999999994</c:v>
                </c:pt>
                <c:pt idx="8">
                  <c:v>87.2</c:v>
                </c:pt>
                <c:pt idx="9">
                  <c:v>83.1</c:v>
                </c:pt>
                <c:pt idx="10">
                  <c:v>76.400000000000006</c:v>
                </c:pt>
                <c:pt idx="11">
                  <c:v>94.8</c:v>
                </c:pt>
                <c:pt idx="12">
                  <c:v>55.2</c:v>
                </c:pt>
                <c:pt idx="13">
                  <c:v>83.9</c:v>
                </c:pt>
                <c:pt idx="14">
                  <c:v>100</c:v>
                </c:pt>
                <c:pt idx="15">
                  <c:v>85.5</c:v>
                </c:pt>
                <c:pt idx="16">
                  <c:v>75.599999999999994</c:v>
                </c:pt>
                <c:pt idx="17">
                  <c:v>91.2</c:v>
                </c:pt>
                <c:pt idx="18">
                  <c:v>66</c:v>
                </c:pt>
                <c:pt idx="19">
                  <c:v>83.4</c:v>
                </c:pt>
                <c:pt idx="20">
                  <c:v>71</c:v>
                </c:pt>
                <c:pt idx="21">
                  <c:v>91.7</c:v>
                </c:pt>
                <c:pt idx="22">
                  <c:v>91.6</c:v>
                </c:pt>
                <c:pt idx="23">
                  <c:v>75.3</c:v>
                </c:pt>
                <c:pt idx="24">
                  <c:v>62.3</c:v>
                </c:pt>
                <c:pt idx="25">
                  <c:v>92.7</c:v>
                </c:pt>
                <c:pt idx="26">
                  <c:v>98</c:v>
                </c:pt>
                <c:pt idx="27">
                  <c:v>87.7</c:v>
                </c:pt>
                <c:pt idx="28">
                  <c:v>63.5</c:v>
                </c:pt>
                <c:pt idx="29">
                  <c:v>70.599999999999994</c:v>
                </c:pt>
                <c:pt idx="30">
                  <c:v>67.2</c:v>
                </c:pt>
                <c:pt idx="31">
                  <c:v>82.7</c:v>
                </c:pt>
                <c:pt idx="32">
                  <c:v>67.400000000000006</c:v>
                </c:pt>
                <c:pt idx="33">
                  <c:v>89.7</c:v>
                </c:pt>
                <c:pt idx="34">
                  <c:v>55.3</c:v>
                </c:pt>
                <c:pt idx="35">
                  <c:v>92.7</c:v>
                </c:pt>
                <c:pt idx="36">
                  <c:v>60.9</c:v>
                </c:pt>
                <c:pt idx="37">
                  <c:v>88.3</c:v>
                </c:pt>
                <c:pt idx="38">
                  <c:v>73.7</c:v>
                </c:pt>
                <c:pt idx="39">
                  <c:v>73.2</c:v>
                </c:pt>
                <c:pt idx="40">
                  <c:v>93.6</c:v>
                </c:pt>
                <c:pt idx="41">
                  <c:v>90.4</c:v>
                </c:pt>
                <c:pt idx="42">
                  <c:v>85.3</c:v>
                </c:pt>
                <c:pt idx="43">
                  <c:v>65.7</c:v>
                </c:pt>
                <c:pt idx="44">
                  <c:v>62.6</c:v>
                </c:pt>
                <c:pt idx="45">
                  <c:v>71.400000000000006</c:v>
                </c:pt>
                <c:pt idx="46">
                  <c:v>85.5</c:v>
                </c:pt>
                <c:pt idx="47">
                  <c:v>78.8</c:v>
                </c:pt>
                <c:pt idx="48">
                  <c:v>62.5</c:v>
                </c:pt>
                <c:pt idx="49">
                  <c:v>77.900000000000006</c:v>
                </c:pt>
                <c:pt idx="50">
                  <c:v>84.3</c:v>
                </c:pt>
                <c:pt idx="51">
                  <c:v>96.3</c:v>
                </c:pt>
                <c:pt idx="52">
                  <c:v>89.1</c:v>
                </c:pt>
                <c:pt idx="53">
                  <c:v>51.6</c:v>
                </c:pt>
                <c:pt idx="54">
                  <c:v>78.400000000000006</c:v>
                </c:pt>
                <c:pt idx="55">
                  <c:v>99.6</c:v>
                </c:pt>
                <c:pt idx="56">
                  <c:v>93.5</c:v>
                </c:pt>
                <c:pt idx="57">
                  <c:v>79.2</c:v>
                </c:pt>
                <c:pt idx="58">
                  <c:v>86.5</c:v>
                </c:pt>
                <c:pt idx="59">
                  <c:v>79.8</c:v>
                </c:pt>
                <c:pt idx="60">
                  <c:v>57.4</c:v>
                </c:pt>
                <c:pt idx="61">
                  <c:v>69.3</c:v>
                </c:pt>
                <c:pt idx="62">
                  <c:v>86.9</c:v>
                </c:pt>
                <c:pt idx="63">
                  <c:v>80.8</c:v>
                </c:pt>
                <c:pt idx="64">
                  <c:v>89.4</c:v>
                </c:pt>
                <c:pt idx="65">
                  <c:v>64</c:v>
                </c:pt>
                <c:pt idx="66">
                  <c:v>90.7</c:v>
                </c:pt>
                <c:pt idx="67">
                  <c:v>86.7</c:v>
                </c:pt>
                <c:pt idx="68">
                  <c:v>84.4</c:v>
                </c:pt>
                <c:pt idx="69">
                  <c:v>77.599999999999994</c:v>
                </c:pt>
                <c:pt idx="70">
                  <c:v>65.8</c:v>
                </c:pt>
                <c:pt idx="71">
                  <c:v>89.8</c:v>
                </c:pt>
                <c:pt idx="72">
                  <c:v>77.8</c:v>
                </c:pt>
                <c:pt idx="73">
                  <c:v>80.7</c:v>
                </c:pt>
                <c:pt idx="74">
                  <c:v>61.6</c:v>
                </c:pt>
                <c:pt idx="75">
                  <c:v>84.3</c:v>
                </c:pt>
                <c:pt idx="76">
                  <c:v>82.4</c:v>
                </c:pt>
                <c:pt idx="77">
                  <c:v>86</c:v>
                </c:pt>
                <c:pt idx="78">
                  <c:v>68.599999999999994</c:v>
                </c:pt>
                <c:pt idx="79">
                  <c:v>66.599999999999994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7F-4523-9F9F-1D4ED56FDCA1}"/>
            </c:ext>
          </c:extLst>
        </c:ser>
        <c:ser>
          <c:idx val="1"/>
          <c:order val="1"/>
          <c:tx>
            <c:v>Predicted Score</c:v>
          </c:tx>
          <c:spPr>
            <a:ln w="38100">
              <a:noFill/>
            </a:ln>
          </c:spPr>
          <c:xVal>
            <c:numRef>
              <c:f>'📊 RawData'!$G$3:$G$82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xVal>
          <c:yVal>
            <c:numRef>
              <c:f>MultiReg!$B$28:$B$107</c:f>
              <c:numCache>
                <c:formatCode>0.00</c:formatCode>
                <c:ptCount val="80"/>
                <c:pt idx="0">
                  <c:v>86.937962883769345</c:v>
                </c:pt>
                <c:pt idx="1">
                  <c:v>81.750710287521869</c:v>
                </c:pt>
                <c:pt idx="2">
                  <c:v>79.383979382416058</c:v>
                </c:pt>
                <c:pt idx="3">
                  <c:v>80.959925217038119</c:v>
                </c:pt>
                <c:pt idx="4">
                  <c:v>74.146283425032664</c:v>
                </c:pt>
                <c:pt idx="5">
                  <c:v>85.874139259537401</c:v>
                </c:pt>
                <c:pt idx="6">
                  <c:v>74.253792092230242</c:v>
                </c:pt>
                <c:pt idx="7">
                  <c:v>76.200706777939871</c:v>
                </c:pt>
                <c:pt idx="8">
                  <c:v>86.340863730423521</c:v>
                </c:pt>
                <c:pt idx="9">
                  <c:v>88.780103807270933</c:v>
                </c:pt>
                <c:pt idx="10">
                  <c:v>78.758968592176217</c:v>
                </c:pt>
                <c:pt idx="11">
                  <c:v>90.743177082475555</c:v>
                </c:pt>
                <c:pt idx="12">
                  <c:v>69.421444071387882</c:v>
                </c:pt>
                <c:pt idx="13">
                  <c:v>80.829084620942211</c:v>
                </c:pt>
                <c:pt idx="14">
                  <c:v>95.754652840273735</c:v>
                </c:pt>
                <c:pt idx="15">
                  <c:v>80.927146540897539</c:v>
                </c:pt>
                <c:pt idx="16">
                  <c:v>77.973229143324346</c:v>
                </c:pt>
                <c:pt idx="17">
                  <c:v>91.955440176490754</c:v>
                </c:pt>
                <c:pt idx="18">
                  <c:v>66.564322475477383</c:v>
                </c:pt>
                <c:pt idx="19">
                  <c:v>85.273104894217369</c:v>
                </c:pt>
                <c:pt idx="20">
                  <c:v>74.11199423690617</c:v>
                </c:pt>
                <c:pt idx="21">
                  <c:v>88.786015444867232</c:v>
                </c:pt>
                <c:pt idx="22">
                  <c:v>82.542451271296969</c:v>
                </c:pt>
                <c:pt idx="23">
                  <c:v>80.099300068494344</c:v>
                </c:pt>
                <c:pt idx="24">
                  <c:v>63.422475089727634</c:v>
                </c:pt>
                <c:pt idx="25">
                  <c:v>102.49140842094619</c:v>
                </c:pt>
                <c:pt idx="26">
                  <c:v>100.48349321720069</c:v>
                </c:pt>
                <c:pt idx="27">
                  <c:v>90.298494336176162</c:v>
                </c:pt>
                <c:pt idx="28">
                  <c:v>67.216242029550514</c:v>
                </c:pt>
                <c:pt idx="29">
                  <c:v>66.838495524902257</c:v>
                </c:pt>
                <c:pt idx="30">
                  <c:v>71.105232864227773</c:v>
                </c:pt>
                <c:pt idx="31">
                  <c:v>79.197339598551096</c:v>
                </c:pt>
                <c:pt idx="32">
                  <c:v>75.526811310588016</c:v>
                </c:pt>
                <c:pt idx="33">
                  <c:v>87.289756537875675</c:v>
                </c:pt>
                <c:pt idx="34">
                  <c:v>69.287158262972952</c:v>
                </c:pt>
                <c:pt idx="35">
                  <c:v>90.952682881602655</c:v>
                </c:pt>
                <c:pt idx="36">
                  <c:v>59.53332854641544</c:v>
                </c:pt>
                <c:pt idx="37">
                  <c:v>84.052463737328637</c:v>
                </c:pt>
                <c:pt idx="38">
                  <c:v>75.663563544280208</c:v>
                </c:pt>
                <c:pt idx="39">
                  <c:v>76.646589831223935</c:v>
                </c:pt>
                <c:pt idx="40">
                  <c:v>91.958150995461295</c:v>
                </c:pt>
                <c:pt idx="41">
                  <c:v>79.628974676654295</c:v>
                </c:pt>
                <c:pt idx="42">
                  <c:v>80.249650152591713</c:v>
                </c:pt>
                <c:pt idx="43">
                  <c:v>64.752559614147074</c:v>
                </c:pt>
                <c:pt idx="44">
                  <c:v>68.064982508079311</c:v>
                </c:pt>
                <c:pt idx="45">
                  <c:v>57.469214052572674</c:v>
                </c:pt>
                <c:pt idx="46">
                  <c:v>90.384361381115255</c:v>
                </c:pt>
                <c:pt idx="47">
                  <c:v>85.247462248676726</c:v>
                </c:pt>
                <c:pt idx="48">
                  <c:v>63.413828547141804</c:v>
                </c:pt>
                <c:pt idx="49">
                  <c:v>83.275036540042365</c:v>
                </c:pt>
                <c:pt idx="50">
                  <c:v>80.306005151323916</c:v>
                </c:pt>
                <c:pt idx="51">
                  <c:v>85.798119064168816</c:v>
                </c:pt>
                <c:pt idx="52">
                  <c:v>83.514430401685559</c:v>
                </c:pt>
                <c:pt idx="53">
                  <c:v>53.806132000210766</c:v>
                </c:pt>
                <c:pt idx="54">
                  <c:v>80.262363529767683</c:v>
                </c:pt>
                <c:pt idx="55">
                  <c:v>92.853889622807017</c:v>
                </c:pt>
                <c:pt idx="56">
                  <c:v>87.484708573306207</c:v>
                </c:pt>
                <c:pt idx="57">
                  <c:v>80.582889019719346</c:v>
                </c:pt>
                <c:pt idx="58">
                  <c:v>78.728124616368731</c:v>
                </c:pt>
                <c:pt idx="59">
                  <c:v>73.40785232999896</c:v>
                </c:pt>
                <c:pt idx="60">
                  <c:v>62.200299334833993</c:v>
                </c:pt>
                <c:pt idx="61">
                  <c:v>81.045792261977212</c:v>
                </c:pt>
                <c:pt idx="62">
                  <c:v>83.708672129786635</c:v>
                </c:pt>
                <c:pt idx="63">
                  <c:v>72.114791898695557</c:v>
                </c:pt>
                <c:pt idx="64">
                  <c:v>94.322171081596565</c:v>
                </c:pt>
                <c:pt idx="65">
                  <c:v>75.566301828981324</c:v>
                </c:pt>
                <c:pt idx="66">
                  <c:v>83.54880948713901</c:v>
                </c:pt>
                <c:pt idx="67">
                  <c:v>88.110585379510468</c:v>
                </c:pt>
                <c:pt idx="68">
                  <c:v>80.720375646759976</c:v>
                </c:pt>
                <c:pt idx="69">
                  <c:v>85.986759359674835</c:v>
                </c:pt>
                <c:pt idx="70">
                  <c:v>58.290377185227705</c:v>
                </c:pt>
                <c:pt idx="71">
                  <c:v>87.501973155973317</c:v>
                </c:pt>
                <c:pt idx="72">
                  <c:v>78.904301557146255</c:v>
                </c:pt>
                <c:pt idx="73">
                  <c:v>79.195805000546216</c:v>
                </c:pt>
                <c:pt idx="74">
                  <c:v>66.641918994139871</c:v>
                </c:pt>
                <c:pt idx="75">
                  <c:v>75.173107042167558</c:v>
                </c:pt>
                <c:pt idx="76">
                  <c:v>80.070522415635921</c:v>
                </c:pt>
                <c:pt idx="77">
                  <c:v>90.545824433075722</c:v>
                </c:pt>
                <c:pt idx="78">
                  <c:v>72.110790875413386</c:v>
                </c:pt>
                <c:pt idx="79">
                  <c:v>72.97775184990067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7F-4523-9F9F-1D4ED56FD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061215"/>
        <c:axId val="1462061695"/>
      </c:scatterChart>
      <c:valAx>
        <c:axId val="146206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Is_Mkt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2061695"/>
        <c:crosses val="autoZero"/>
        <c:crossBetween val="midCat"/>
      </c:valAx>
      <c:valAx>
        <c:axId val="14620616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20612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3</xdr:row>
      <xdr:rowOff>4762</xdr:rowOff>
    </xdr:from>
    <xdr:to>
      <xdr:col>21</xdr:col>
      <xdr:colOff>314325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05483-723C-CBDA-7B26-754367C02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190500</xdr:rowOff>
    </xdr:from>
    <xdr:to>
      <xdr:col>16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CAC67-7CD0-1FC4-C929-180CF8AC5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19050</xdr:rowOff>
    </xdr:from>
    <xdr:to>
      <xdr:col>16</xdr:col>
      <xdr:colOff>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14BC7-DB92-8006-E9C3-FAD4C179C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123825</xdr:rowOff>
    </xdr:from>
    <xdr:to>
      <xdr:col>16</xdr:col>
      <xdr:colOff>9525</xdr:colOff>
      <xdr:row>10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93BEC-4AAB-ADCF-C613-3FBFBB1A1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11</xdr:row>
      <xdr:rowOff>171450</xdr:rowOff>
    </xdr:from>
    <xdr:to>
      <xdr:col>16</xdr:col>
      <xdr:colOff>9525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4C2DE-1486-EEDA-EFDD-DF47BFE01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9525</xdr:colOff>
      <xdr:row>0</xdr:row>
      <xdr:rowOff>161925</xdr:rowOff>
    </xdr:from>
    <xdr:to>
      <xdr:col>23</xdr:col>
      <xdr:colOff>9525</xdr:colOff>
      <xdr:row>10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D8AF87-EF50-C500-91F3-60E4E8B08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9525</xdr:colOff>
      <xdr:row>11</xdr:row>
      <xdr:rowOff>161925</xdr:rowOff>
    </xdr:from>
    <xdr:to>
      <xdr:col>23</xdr:col>
      <xdr:colOff>9525</xdr:colOff>
      <xdr:row>21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0EDE1C-5296-21C7-9BAF-DA90AFBC6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9525</xdr:colOff>
      <xdr:row>22</xdr:row>
      <xdr:rowOff>161925</xdr:rowOff>
    </xdr:from>
    <xdr:to>
      <xdr:col>23</xdr:col>
      <xdr:colOff>9525</xdr:colOff>
      <xdr:row>32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DFECCF-17B0-2634-A0DB-77098193B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9525</xdr:colOff>
      <xdr:row>33</xdr:row>
      <xdr:rowOff>161925</xdr:rowOff>
    </xdr:from>
    <xdr:to>
      <xdr:col>16</xdr:col>
      <xdr:colOff>9525</xdr:colOff>
      <xdr:row>43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CD518F-CF57-10DB-3706-9D5EDF3F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9525</xdr:colOff>
      <xdr:row>22</xdr:row>
      <xdr:rowOff>161925</xdr:rowOff>
    </xdr:from>
    <xdr:to>
      <xdr:col>16</xdr:col>
      <xdr:colOff>9525</xdr:colOff>
      <xdr:row>32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6E38BC-9C07-7850-A971-450FA3573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34</xdr:row>
      <xdr:rowOff>0</xdr:rowOff>
    </xdr:from>
    <xdr:to>
      <xdr:col>23</xdr:col>
      <xdr:colOff>0</xdr:colOff>
      <xdr:row>44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C8D8C23-52C1-8B4D-C6C4-E75D5C740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26E7F8-B992-4D60-B1A7-D6E113DDE054}" name="RegData" displayName="RegData" ref="A2:M82" totalsRowShown="0" headerRowDxfId="17" dataDxfId="15" headerRowBorderDxfId="16" tableBorderDxfId="14" totalsRowBorderDxfId="13">
  <autoFilter ref="A2:M82" xr:uid="{BF26E7F8-B992-4D60-B1A7-D6E113DDE054}"/>
  <tableColumns count="13">
    <tableColumn id="1" xr3:uid="{B8E61F15-64A7-43D0-B4C2-6FB5128AF9EC}" name="ID" dataDxfId="12"/>
    <tableColumn id="2" xr3:uid="{177AEB61-5B8D-4EAB-A6BF-EC86BC757198}" name="Name" dataDxfId="11"/>
    <tableColumn id="3" xr3:uid="{50EFE288-349A-49D3-B682-FE0537334F80}" name="Department" dataDxfId="10"/>
    <tableColumn id="4" xr3:uid="{24177BEB-B756-4C68-AC9F-5331D9553713}" name="StudyHours" dataDxfId="9"/>
    <tableColumn id="5" xr3:uid="{C970EB7F-19CC-44F6-97EC-EC0A7229C71F}" name="Attendance%" dataDxfId="8"/>
    <tableColumn id="15" xr3:uid="{416C24C9-E29B-443F-A5BF-9E1A69CC7B1A}" name="Is_Eng" dataDxfId="1"/>
    <tableColumn id="14" xr3:uid="{F2DE9058-8E19-4C4A-A939-0AC24F8A8C7D}" name="Is_Mkt" dataDxfId="0"/>
    <tableColumn id="6" xr3:uid="{69367509-F5D6-432A-B902-C077BCA4F7F7}" name="Income(£)" dataDxfId="7"/>
    <tableColumn id="7" xr3:uid="{52C8253D-464B-492F-9DA1-2ED8743F96AC}" name="Score" dataDxfId="6"/>
    <tableColumn id="8" xr3:uid="{C980A645-D808-4BFB-A33B-7AEDE78C0819}" name="Pass(0/1)" dataDxfId="5"/>
    <tableColumn id="11" xr3:uid="{6469C7C7-1F5C-4063-A4CF-DDAAC8EA257C}" name="Is_Sci" dataDxfId="4"/>
    <tableColumn id="12" xr3:uid="{2C5DAD02-69F1-4D2C-8B01-5C022DF3EEA2}" name="Predicted_Score" dataDxfId="3">
      <calculatedColumnFormula>SimpleReg!$I$3 + SimpleReg!$I$2 * RegData[[#This Row],[StudyHours]]</calculatedColumnFormula>
    </tableColumn>
    <tableColumn id="13" xr3:uid="{D0FD42A3-39CC-4DAA-97A9-ACB78FB58569}" name="Residual" dataDxfId="2">
      <calculatedColumnFormula>RegData[[#This Row],[Score]]-RegData[[#This Row],[Predicted_Score]]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152-A465-469E-A54F-42C7007DC092}">
  <dimension ref="A1:Q82"/>
  <sheetViews>
    <sheetView zoomScaleNormal="100" workbookViewId="0">
      <pane ySplit="2" topLeftCell="A3" activePane="bottomLeft" state="frozen"/>
      <selection pane="bottomLeft" activeCell="I71" sqref="I71"/>
    </sheetView>
  </sheetViews>
  <sheetFormatPr defaultRowHeight="15" x14ac:dyDescent="0.25"/>
  <cols>
    <col min="1" max="1" width="7.5703125" style="1" bestFit="1" customWidth="1"/>
    <col min="2" max="2" width="11.85546875" style="1" bestFit="1" customWidth="1"/>
    <col min="3" max="3" width="16.42578125" style="1" bestFit="1" customWidth="1"/>
    <col min="4" max="4" width="16.140625" style="1" bestFit="1" customWidth="1"/>
    <col min="5" max="5" width="17.42578125" style="1" bestFit="1" customWidth="1"/>
    <col min="6" max="7" width="17.42578125" style="1" customWidth="1"/>
    <col min="8" max="8" width="14.7109375" style="1" bestFit="1" customWidth="1"/>
    <col min="9" max="9" width="10.7109375" style="1" bestFit="1" customWidth="1"/>
    <col min="10" max="10" width="13.85546875" style="1" bestFit="1" customWidth="1"/>
    <col min="11" max="11" width="10.7109375" style="1" bestFit="1" customWidth="1"/>
    <col min="12" max="12" width="19.5703125" style="1" customWidth="1"/>
    <col min="13" max="13" width="12.85546875" style="1" customWidth="1"/>
    <col min="14" max="16384" width="9.140625" style="1"/>
  </cols>
  <sheetData>
    <row r="1" spans="1:17" ht="21" x14ac:dyDescent="0.25">
      <c r="A1" s="15" t="s">
        <v>102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7" x14ac:dyDescent="0.25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8</v>
      </c>
      <c r="G2" s="9" t="s">
        <v>9</v>
      </c>
      <c r="H2" s="9" t="s">
        <v>5</v>
      </c>
      <c r="I2" s="9" t="s">
        <v>6</v>
      </c>
      <c r="J2" s="9" t="s">
        <v>7</v>
      </c>
      <c r="K2" s="10" t="s">
        <v>10</v>
      </c>
      <c r="L2" s="11" t="s">
        <v>100</v>
      </c>
      <c r="M2" s="11" t="s">
        <v>101</v>
      </c>
    </row>
    <row r="3" spans="1:17" x14ac:dyDescent="0.25">
      <c r="A3" s="3">
        <v>1</v>
      </c>
      <c r="B3" s="2" t="s">
        <v>11</v>
      </c>
      <c r="C3" s="2" t="s">
        <v>12</v>
      </c>
      <c r="D3" s="2">
        <v>6.6</v>
      </c>
      <c r="E3" s="2">
        <v>79.5</v>
      </c>
      <c r="F3" s="2">
        <v>0</v>
      </c>
      <c r="G3" s="2">
        <v>0</v>
      </c>
      <c r="H3" s="17">
        <v>39100</v>
      </c>
      <c r="I3" s="2">
        <v>95</v>
      </c>
      <c r="J3" s="2">
        <v>1</v>
      </c>
      <c r="K3" s="4">
        <v>1</v>
      </c>
      <c r="L3" s="12">
        <f>SimpleReg!$I$3 + SimpleReg!$I$2 * RegData[[#This Row],[StudyHours]]</f>
        <v>87.239101595561266</v>
      </c>
      <c r="M3" s="12">
        <f>RegData[[#This Row],[Score]]-RegData[[#This Row],[Predicted_Score]]</f>
        <v>7.7608984044387341</v>
      </c>
    </row>
    <row r="4" spans="1:17" x14ac:dyDescent="0.25">
      <c r="A4" s="3">
        <v>2</v>
      </c>
      <c r="B4" s="2" t="s">
        <v>13</v>
      </c>
      <c r="C4" s="2" t="s">
        <v>12</v>
      </c>
      <c r="D4" s="2">
        <v>5.7</v>
      </c>
      <c r="E4" s="2">
        <v>74.8</v>
      </c>
      <c r="F4" s="2">
        <v>0</v>
      </c>
      <c r="G4" s="2">
        <v>0</v>
      </c>
      <c r="H4" s="17">
        <v>31700</v>
      </c>
      <c r="I4" s="2">
        <v>80.8</v>
      </c>
      <c r="J4" s="2">
        <v>1</v>
      </c>
      <c r="K4" s="4">
        <v>1</v>
      </c>
      <c r="L4" s="13">
        <f>SimpleReg!$I$3 + SimpleReg!$I$2 * RegData[[#This Row],[StudyHours]]</f>
        <v>82.98632770132599</v>
      </c>
      <c r="M4" s="13">
        <f>RegData[[#This Row],[Score]]-RegData[[#This Row],[Predicted_Score]]</f>
        <v>-2.1863277013259932</v>
      </c>
    </row>
    <row r="5" spans="1:17" x14ac:dyDescent="0.25">
      <c r="A5" s="3">
        <v>3</v>
      </c>
      <c r="B5" s="2" t="s">
        <v>14</v>
      </c>
      <c r="C5" s="2" t="s">
        <v>15</v>
      </c>
      <c r="D5" s="2">
        <v>4.5</v>
      </c>
      <c r="E5" s="2">
        <v>77.900000000000006</v>
      </c>
      <c r="F5" s="2">
        <v>1</v>
      </c>
      <c r="G5" s="2">
        <v>0</v>
      </c>
      <c r="H5" s="17">
        <v>41900</v>
      </c>
      <c r="I5" s="2">
        <v>86.3</v>
      </c>
      <c r="J5" s="2">
        <v>1</v>
      </c>
      <c r="K5" s="4">
        <v>0</v>
      </c>
      <c r="L5" s="13">
        <f>SimpleReg!$I$3 + SimpleReg!$I$2 * RegData[[#This Row],[StudyHours]]</f>
        <v>77.315962509012266</v>
      </c>
      <c r="M5" s="13">
        <f>RegData[[#This Row],[Score]]-RegData[[#This Row],[Predicted_Score]]</f>
        <v>8.9840374909877312</v>
      </c>
      <c r="P5" s="22"/>
      <c r="Q5" s="22"/>
    </row>
    <row r="6" spans="1:17" x14ac:dyDescent="0.25">
      <c r="A6" s="3">
        <v>4</v>
      </c>
      <c r="B6" s="2" t="s">
        <v>16</v>
      </c>
      <c r="C6" s="2" t="s">
        <v>17</v>
      </c>
      <c r="D6" s="2">
        <v>5.5</v>
      </c>
      <c r="E6" s="2">
        <v>93.7</v>
      </c>
      <c r="F6" s="2">
        <v>0</v>
      </c>
      <c r="G6" s="2">
        <v>1</v>
      </c>
      <c r="H6" s="17">
        <v>35600</v>
      </c>
      <c r="I6" s="2">
        <v>81.5</v>
      </c>
      <c r="J6" s="2">
        <v>1</v>
      </c>
      <c r="K6" s="4">
        <v>0</v>
      </c>
      <c r="L6" s="13">
        <f>SimpleReg!$I$3 + SimpleReg!$I$2 * RegData[[#This Row],[StudyHours]]</f>
        <v>82.041266835940363</v>
      </c>
      <c r="M6" s="13">
        <f>RegData[[#This Row],[Score]]-RegData[[#This Row],[Predicted_Score]]</f>
        <v>-0.54126683594036251</v>
      </c>
    </row>
    <row r="7" spans="1:17" x14ac:dyDescent="0.25">
      <c r="A7" s="3">
        <v>5</v>
      </c>
      <c r="B7" s="2" t="s">
        <v>18</v>
      </c>
      <c r="C7" s="2" t="s">
        <v>12</v>
      </c>
      <c r="D7" s="2">
        <v>4.4000000000000004</v>
      </c>
      <c r="E7" s="2">
        <v>67.599999999999994</v>
      </c>
      <c r="F7" s="2">
        <v>0</v>
      </c>
      <c r="G7" s="2">
        <v>0</v>
      </c>
      <c r="H7" s="17">
        <v>56100</v>
      </c>
      <c r="I7" s="2">
        <v>84.9</v>
      </c>
      <c r="J7" s="2">
        <v>1</v>
      </c>
      <c r="K7" s="4">
        <v>1</v>
      </c>
      <c r="L7" s="13">
        <f>SimpleReg!$I$3 + SimpleReg!$I$2 * RegData[[#This Row],[StudyHours]]</f>
        <v>76.843432076319459</v>
      </c>
      <c r="M7" s="13">
        <f>RegData[[#This Row],[Score]]-RegData[[#This Row],[Predicted_Score]]</f>
        <v>8.0565679236805465</v>
      </c>
      <c r="P7" s="21"/>
    </row>
    <row r="8" spans="1:17" x14ac:dyDescent="0.25">
      <c r="A8" s="3">
        <v>6</v>
      </c>
      <c r="B8" s="2" t="s">
        <v>19</v>
      </c>
      <c r="C8" s="2" t="s">
        <v>15</v>
      </c>
      <c r="D8" s="2">
        <v>5.8</v>
      </c>
      <c r="E8" s="2">
        <v>81</v>
      </c>
      <c r="F8" s="2">
        <v>1</v>
      </c>
      <c r="G8" s="2">
        <v>0</v>
      </c>
      <c r="H8" s="17">
        <v>46700</v>
      </c>
      <c r="I8" s="2">
        <v>77.8</v>
      </c>
      <c r="J8" s="2">
        <v>1</v>
      </c>
      <c r="K8" s="4">
        <v>0</v>
      </c>
      <c r="L8" s="13">
        <f>SimpleReg!$I$3 + SimpleReg!$I$2 * RegData[[#This Row],[StudyHours]]</f>
        <v>83.458858134018797</v>
      </c>
      <c r="M8" s="13">
        <f>RegData[[#This Row],[Score]]-RegData[[#This Row],[Predicted_Score]]</f>
        <v>-5.6588581340188</v>
      </c>
    </row>
    <row r="9" spans="1:17" x14ac:dyDescent="0.25">
      <c r="A9" s="3">
        <v>7</v>
      </c>
      <c r="B9" s="2" t="s">
        <v>20</v>
      </c>
      <c r="C9" s="2" t="s">
        <v>12</v>
      </c>
      <c r="D9" s="2">
        <v>4.7</v>
      </c>
      <c r="E9" s="2">
        <v>63.2</v>
      </c>
      <c r="F9" s="2">
        <v>0</v>
      </c>
      <c r="G9" s="2">
        <v>0</v>
      </c>
      <c r="H9" s="17">
        <v>49400</v>
      </c>
      <c r="I9" s="2">
        <v>71.3</v>
      </c>
      <c r="J9" s="2">
        <v>1</v>
      </c>
      <c r="K9" s="4">
        <v>1</v>
      </c>
      <c r="L9" s="13">
        <f>SimpleReg!$I$3 + SimpleReg!$I$2 * RegData[[#This Row],[StudyHours]]</f>
        <v>78.26102337439788</v>
      </c>
      <c r="M9" s="13">
        <f>RegData[[#This Row],[Score]]-RegData[[#This Row],[Predicted_Score]]</f>
        <v>-6.9610233743978824</v>
      </c>
    </row>
    <row r="10" spans="1:17" x14ac:dyDescent="0.25">
      <c r="A10" s="3">
        <v>8</v>
      </c>
      <c r="B10" s="2" t="s">
        <v>21</v>
      </c>
      <c r="C10" s="2" t="s">
        <v>17</v>
      </c>
      <c r="D10" s="2">
        <v>6.3</v>
      </c>
      <c r="E10" s="2">
        <v>63.4</v>
      </c>
      <c r="F10" s="2">
        <v>0</v>
      </c>
      <c r="G10" s="2">
        <v>1</v>
      </c>
      <c r="H10" s="17">
        <v>47700</v>
      </c>
      <c r="I10" s="2">
        <v>70.099999999999994</v>
      </c>
      <c r="J10" s="2">
        <v>1</v>
      </c>
      <c r="K10" s="4">
        <v>0</v>
      </c>
      <c r="L10" s="13">
        <f>SimpleReg!$I$3 + SimpleReg!$I$2 * RegData[[#This Row],[StudyHours]]</f>
        <v>85.821510297482845</v>
      </c>
      <c r="M10" s="13">
        <f>RegData[[#This Row],[Score]]-RegData[[#This Row],[Predicted_Score]]</f>
        <v>-15.721510297482851</v>
      </c>
    </row>
    <row r="11" spans="1:17" x14ac:dyDescent="0.25">
      <c r="A11" s="3">
        <v>9</v>
      </c>
      <c r="B11" s="2" t="s">
        <v>22</v>
      </c>
      <c r="C11" s="2" t="s">
        <v>12</v>
      </c>
      <c r="D11" s="2">
        <v>6.4</v>
      </c>
      <c r="E11" s="2">
        <v>80.5</v>
      </c>
      <c r="F11" s="2">
        <v>0</v>
      </c>
      <c r="G11" s="2">
        <v>0</v>
      </c>
      <c r="H11" s="17">
        <v>33500</v>
      </c>
      <c r="I11" s="2">
        <v>87.2</v>
      </c>
      <c r="J11" s="2">
        <v>1</v>
      </c>
      <c r="K11" s="4">
        <v>1</v>
      </c>
      <c r="L11" s="13">
        <f>SimpleReg!$I$3 + SimpleReg!$I$2 * RegData[[#This Row],[StudyHours]]</f>
        <v>86.294040730175652</v>
      </c>
      <c r="M11" s="13">
        <f>RegData[[#This Row],[Score]]-RegData[[#This Row],[Predicted_Score]]</f>
        <v>0.9059592698243506</v>
      </c>
    </row>
    <row r="12" spans="1:17" x14ac:dyDescent="0.25">
      <c r="A12" s="3">
        <v>10</v>
      </c>
      <c r="B12" s="2" t="s">
        <v>23</v>
      </c>
      <c r="C12" s="2" t="s">
        <v>15</v>
      </c>
      <c r="D12" s="2">
        <v>6.3</v>
      </c>
      <c r="E12" s="2">
        <v>83.7</v>
      </c>
      <c r="F12" s="2">
        <v>1</v>
      </c>
      <c r="G12" s="2">
        <v>0</v>
      </c>
      <c r="H12" s="17">
        <v>25600</v>
      </c>
      <c r="I12" s="2">
        <v>83.1</v>
      </c>
      <c r="J12" s="2">
        <v>1</v>
      </c>
      <c r="K12" s="4">
        <v>0</v>
      </c>
      <c r="L12" s="13">
        <f>SimpleReg!$I$3 + SimpleReg!$I$2 * RegData[[#This Row],[StudyHours]]</f>
        <v>85.821510297482845</v>
      </c>
      <c r="M12" s="13">
        <f>RegData[[#This Row],[Score]]-RegData[[#This Row],[Predicted_Score]]</f>
        <v>-2.7215102974828511</v>
      </c>
    </row>
    <row r="13" spans="1:17" x14ac:dyDescent="0.25">
      <c r="A13" s="3">
        <v>11</v>
      </c>
      <c r="B13" s="2" t="s">
        <v>24</v>
      </c>
      <c r="C13" s="2" t="s">
        <v>17</v>
      </c>
      <c r="D13" s="2">
        <v>5.4</v>
      </c>
      <c r="E13" s="2">
        <v>87.2</v>
      </c>
      <c r="F13" s="2">
        <v>0</v>
      </c>
      <c r="G13" s="2">
        <v>1</v>
      </c>
      <c r="H13" s="17">
        <v>55000</v>
      </c>
      <c r="I13" s="2">
        <v>76.400000000000006</v>
      </c>
      <c r="J13" s="2">
        <v>1</v>
      </c>
      <c r="K13" s="4">
        <v>0</v>
      </c>
      <c r="L13" s="13">
        <f>SimpleReg!$I$3 + SimpleReg!$I$2 * RegData[[#This Row],[StudyHours]]</f>
        <v>81.568736403247556</v>
      </c>
      <c r="M13" s="13">
        <f>RegData[[#This Row],[Score]]-RegData[[#This Row],[Predicted_Score]]</f>
        <v>-5.16873640324755</v>
      </c>
    </row>
    <row r="14" spans="1:17" x14ac:dyDescent="0.25">
      <c r="A14" s="3">
        <v>12</v>
      </c>
      <c r="B14" s="2" t="s">
        <v>25</v>
      </c>
      <c r="C14" s="2" t="s">
        <v>12</v>
      </c>
      <c r="D14" s="2">
        <v>6.5</v>
      </c>
      <c r="E14" s="2">
        <v>95.1</v>
      </c>
      <c r="F14" s="2">
        <v>0</v>
      </c>
      <c r="G14" s="2">
        <v>0</v>
      </c>
      <c r="H14" s="17">
        <v>42600</v>
      </c>
      <c r="I14" s="2">
        <v>94.8</v>
      </c>
      <c r="J14" s="2">
        <v>1</v>
      </c>
      <c r="K14" s="4">
        <v>1</v>
      </c>
      <c r="L14" s="13">
        <f>SimpleReg!$I$3 + SimpleReg!$I$2 * RegData[[#This Row],[StudyHours]]</f>
        <v>86.766571162868473</v>
      </c>
      <c r="M14" s="13">
        <f>RegData[[#This Row],[Score]]-RegData[[#This Row],[Predicted_Score]]</f>
        <v>8.0334288371315239</v>
      </c>
    </row>
    <row r="15" spans="1:17" x14ac:dyDescent="0.25">
      <c r="A15" s="3">
        <v>13</v>
      </c>
      <c r="B15" s="2" t="s">
        <v>26</v>
      </c>
      <c r="C15" s="2" t="s">
        <v>27</v>
      </c>
      <c r="D15" s="2">
        <v>3.4</v>
      </c>
      <c r="E15" s="2">
        <v>66.2</v>
      </c>
      <c r="F15" s="2">
        <v>0</v>
      </c>
      <c r="G15" s="2">
        <v>0</v>
      </c>
      <c r="H15" s="17">
        <v>23500</v>
      </c>
      <c r="I15" s="2">
        <v>55.2</v>
      </c>
      <c r="J15" s="2">
        <v>0</v>
      </c>
      <c r="K15" s="4">
        <v>0</v>
      </c>
      <c r="L15" s="13">
        <f>SimpleReg!$I$3 + SimpleReg!$I$2 * RegData[[#This Row],[StudyHours]]</f>
        <v>72.118127749391348</v>
      </c>
      <c r="M15" s="13">
        <f>RegData[[#This Row],[Score]]-RegData[[#This Row],[Predicted_Score]]</f>
        <v>-16.918127749391346</v>
      </c>
    </row>
    <row r="16" spans="1:17" x14ac:dyDescent="0.25">
      <c r="A16" s="3">
        <v>14</v>
      </c>
      <c r="B16" s="2" t="s">
        <v>28</v>
      </c>
      <c r="C16" s="2" t="s">
        <v>12</v>
      </c>
      <c r="D16" s="2">
        <v>5.0999999999999996</v>
      </c>
      <c r="E16" s="2">
        <v>81</v>
      </c>
      <c r="F16" s="2">
        <v>0</v>
      </c>
      <c r="G16" s="2">
        <v>0</v>
      </c>
      <c r="H16" s="17">
        <v>30300</v>
      </c>
      <c r="I16" s="2">
        <v>83.9</v>
      </c>
      <c r="J16" s="2">
        <v>1</v>
      </c>
      <c r="K16" s="4">
        <v>1</v>
      </c>
      <c r="L16" s="13">
        <f>SimpleReg!$I$3 + SimpleReg!$I$2 * RegData[[#This Row],[StudyHours]]</f>
        <v>80.151145105169121</v>
      </c>
      <c r="M16" s="13">
        <f>RegData[[#This Row],[Score]]-RegData[[#This Row],[Predicted_Score]]</f>
        <v>3.7488548948308846</v>
      </c>
    </row>
    <row r="17" spans="1:13" x14ac:dyDescent="0.25">
      <c r="A17" s="3">
        <v>15</v>
      </c>
      <c r="B17" s="2" t="s">
        <v>29</v>
      </c>
      <c r="C17" s="2" t="s">
        <v>15</v>
      </c>
      <c r="D17" s="2">
        <v>8.8000000000000007</v>
      </c>
      <c r="E17" s="2">
        <v>69.400000000000006</v>
      </c>
      <c r="F17" s="2">
        <v>1</v>
      </c>
      <c r="G17" s="2">
        <v>0</v>
      </c>
      <c r="H17" s="17">
        <v>26300</v>
      </c>
      <c r="I17" s="2">
        <v>100</v>
      </c>
      <c r="J17" s="2">
        <v>1</v>
      </c>
      <c r="K17" s="4">
        <v>0</v>
      </c>
      <c r="L17" s="13">
        <f>SimpleReg!$I$3 + SimpleReg!$I$2 * RegData[[#This Row],[StudyHours]]</f>
        <v>97.634771114803101</v>
      </c>
      <c r="M17" s="13">
        <f>RegData[[#This Row],[Score]]-RegData[[#This Row],[Predicted_Score]]</f>
        <v>2.365228885196899</v>
      </c>
    </row>
    <row r="18" spans="1:13" x14ac:dyDescent="0.25">
      <c r="A18" s="3">
        <v>16</v>
      </c>
      <c r="B18" s="2" t="s">
        <v>30</v>
      </c>
      <c r="C18" s="2" t="s">
        <v>17</v>
      </c>
      <c r="D18" s="2">
        <v>6.9</v>
      </c>
      <c r="E18" s="2">
        <v>71.2</v>
      </c>
      <c r="F18" s="2">
        <v>0</v>
      </c>
      <c r="G18" s="2">
        <v>1</v>
      </c>
      <c r="H18" s="17">
        <v>33900</v>
      </c>
      <c r="I18" s="2">
        <v>85.5</v>
      </c>
      <c r="J18" s="2">
        <v>1</v>
      </c>
      <c r="K18" s="4">
        <v>0</v>
      </c>
      <c r="L18" s="13">
        <f>SimpleReg!$I$3 + SimpleReg!$I$2 * RegData[[#This Row],[StudyHours]]</f>
        <v>88.656692893639701</v>
      </c>
      <c r="M18" s="13">
        <f>RegData[[#This Row],[Score]]-RegData[[#This Row],[Predicted_Score]]</f>
        <v>-3.1566928936397005</v>
      </c>
    </row>
    <row r="19" spans="1:13" x14ac:dyDescent="0.25">
      <c r="A19" s="3">
        <v>17</v>
      </c>
      <c r="B19" s="2" t="s">
        <v>31</v>
      </c>
      <c r="C19" s="2" t="s">
        <v>17</v>
      </c>
      <c r="D19" s="2">
        <v>4.8</v>
      </c>
      <c r="E19" s="2">
        <v>93.9</v>
      </c>
      <c r="F19" s="2">
        <v>0</v>
      </c>
      <c r="G19" s="2">
        <v>1</v>
      </c>
      <c r="H19" s="17">
        <v>47100</v>
      </c>
      <c r="I19" s="2">
        <v>75.599999999999994</v>
      </c>
      <c r="J19" s="2">
        <v>1</v>
      </c>
      <c r="K19" s="4">
        <v>0</v>
      </c>
      <c r="L19" s="13">
        <f>SimpleReg!$I$3 + SimpleReg!$I$2 * RegData[[#This Row],[StudyHours]]</f>
        <v>78.733553807090686</v>
      </c>
      <c r="M19" s="13">
        <f>RegData[[#This Row],[Score]]-RegData[[#This Row],[Predicted_Score]]</f>
        <v>-3.1335538070906921</v>
      </c>
    </row>
    <row r="20" spans="1:13" x14ac:dyDescent="0.25">
      <c r="A20" s="3">
        <v>18</v>
      </c>
      <c r="B20" s="2" t="s">
        <v>32</v>
      </c>
      <c r="C20" s="2" t="s">
        <v>15</v>
      </c>
      <c r="D20" s="2">
        <v>7.4</v>
      </c>
      <c r="E20" s="2">
        <v>77.8</v>
      </c>
      <c r="F20" s="2">
        <v>1</v>
      </c>
      <c r="G20" s="2">
        <v>0</v>
      </c>
      <c r="H20" s="17">
        <v>38900</v>
      </c>
      <c r="I20" s="2">
        <v>91.2</v>
      </c>
      <c r="J20" s="2">
        <v>1</v>
      </c>
      <c r="K20" s="4">
        <v>0</v>
      </c>
      <c r="L20" s="13">
        <f>SimpleReg!$I$3 + SimpleReg!$I$2 * RegData[[#This Row],[StudyHours]]</f>
        <v>91.019345057103749</v>
      </c>
      <c r="M20" s="13">
        <f>RegData[[#This Row],[Score]]-RegData[[#This Row],[Predicted_Score]]</f>
        <v>0.18065494289625406</v>
      </c>
    </row>
    <row r="21" spans="1:13" x14ac:dyDescent="0.25">
      <c r="A21" s="3">
        <v>19</v>
      </c>
      <c r="B21" s="2" t="s">
        <v>33</v>
      </c>
      <c r="C21" s="2" t="s">
        <v>15</v>
      </c>
      <c r="D21" s="2">
        <v>2.5</v>
      </c>
      <c r="E21" s="2">
        <v>62.7</v>
      </c>
      <c r="F21" s="2">
        <v>1</v>
      </c>
      <c r="G21" s="2">
        <v>0</v>
      </c>
      <c r="H21" s="17">
        <v>30200</v>
      </c>
      <c r="I21" s="2">
        <v>66</v>
      </c>
      <c r="J21" s="2">
        <v>1</v>
      </c>
      <c r="K21" s="4">
        <v>0</v>
      </c>
      <c r="L21" s="13">
        <f>SimpleReg!$I$3 + SimpleReg!$I$2 * RegData[[#This Row],[StudyHours]]</f>
        <v>67.865353855156059</v>
      </c>
      <c r="M21" s="13">
        <f>RegData[[#This Row],[Score]]-RegData[[#This Row],[Predicted_Score]]</f>
        <v>-1.8653538551560587</v>
      </c>
    </row>
    <row r="22" spans="1:13" x14ac:dyDescent="0.25">
      <c r="A22" s="3">
        <v>20</v>
      </c>
      <c r="B22" s="2" t="s">
        <v>34</v>
      </c>
      <c r="C22" s="2" t="s">
        <v>17</v>
      </c>
      <c r="D22" s="2">
        <v>7.5</v>
      </c>
      <c r="E22" s="2">
        <v>77.599999999999994</v>
      </c>
      <c r="F22" s="2">
        <v>0</v>
      </c>
      <c r="G22" s="2">
        <v>1</v>
      </c>
      <c r="H22" s="17">
        <v>64300</v>
      </c>
      <c r="I22" s="2">
        <v>83.4</v>
      </c>
      <c r="J22" s="2">
        <v>1</v>
      </c>
      <c r="K22" s="4">
        <v>0</v>
      </c>
      <c r="L22" s="13">
        <f>SimpleReg!$I$3 + SimpleReg!$I$2 * RegData[[#This Row],[StudyHours]]</f>
        <v>91.49187548979657</v>
      </c>
      <c r="M22" s="13">
        <f>RegData[[#This Row],[Score]]-RegData[[#This Row],[Predicted_Score]]</f>
        <v>-8.0918754897965641</v>
      </c>
    </row>
    <row r="23" spans="1:13" x14ac:dyDescent="0.25">
      <c r="A23" s="3">
        <v>21</v>
      </c>
      <c r="B23" s="2" t="s">
        <v>35</v>
      </c>
      <c r="C23" s="2" t="s">
        <v>15</v>
      </c>
      <c r="D23" s="2">
        <v>4.4000000000000004</v>
      </c>
      <c r="E23" s="2">
        <v>60.1</v>
      </c>
      <c r="F23" s="2">
        <v>1</v>
      </c>
      <c r="G23" s="2">
        <v>0</v>
      </c>
      <c r="H23" s="17">
        <v>23500</v>
      </c>
      <c r="I23" s="2">
        <v>71</v>
      </c>
      <c r="J23" s="2">
        <v>1</v>
      </c>
      <c r="K23" s="4">
        <v>0</v>
      </c>
      <c r="L23" s="13">
        <f>SimpleReg!$I$3 + SimpleReg!$I$2 * RegData[[#This Row],[StudyHours]]</f>
        <v>76.843432076319459</v>
      </c>
      <c r="M23" s="13">
        <f>RegData[[#This Row],[Score]]-RegData[[#This Row],[Predicted_Score]]</f>
        <v>-5.8434320763194592</v>
      </c>
    </row>
    <row r="24" spans="1:13" x14ac:dyDescent="0.25">
      <c r="A24" s="3">
        <v>22</v>
      </c>
      <c r="B24" s="2" t="s">
        <v>36</v>
      </c>
      <c r="C24" s="2" t="s">
        <v>12</v>
      </c>
      <c r="D24" s="2">
        <v>6.6</v>
      </c>
      <c r="E24" s="2">
        <v>86.3</v>
      </c>
      <c r="F24" s="2">
        <v>0</v>
      </c>
      <c r="G24" s="2">
        <v>0</v>
      </c>
      <c r="H24" s="17">
        <v>12000</v>
      </c>
      <c r="I24" s="2">
        <v>91.7</v>
      </c>
      <c r="J24" s="2">
        <v>1</v>
      </c>
      <c r="K24" s="4">
        <v>1</v>
      </c>
      <c r="L24" s="13">
        <f>SimpleReg!$I$3 + SimpleReg!$I$2 * RegData[[#This Row],[StudyHours]]</f>
        <v>87.239101595561266</v>
      </c>
      <c r="M24" s="13">
        <f>RegData[[#This Row],[Score]]-RegData[[#This Row],[Predicted_Score]]</f>
        <v>4.460898404438737</v>
      </c>
    </row>
    <row r="25" spans="1:13" x14ac:dyDescent="0.25">
      <c r="A25" s="3">
        <v>23</v>
      </c>
      <c r="B25" s="2" t="s">
        <v>37</v>
      </c>
      <c r="C25" s="2" t="s">
        <v>27</v>
      </c>
      <c r="D25" s="2">
        <v>4.8</v>
      </c>
      <c r="E25" s="2">
        <v>92.1</v>
      </c>
      <c r="F25" s="2">
        <v>0</v>
      </c>
      <c r="G25" s="2">
        <v>0</v>
      </c>
      <c r="H25" s="17">
        <v>49400</v>
      </c>
      <c r="I25" s="2">
        <v>91.6</v>
      </c>
      <c r="J25" s="2">
        <v>1</v>
      </c>
      <c r="K25" s="4">
        <v>0</v>
      </c>
      <c r="L25" s="13">
        <f>SimpleReg!$I$3 + SimpleReg!$I$2 * RegData[[#This Row],[StudyHours]]</f>
        <v>78.733553807090686</v>
      </c>
      <c r="M25" s="13">
        <f>RegData[[#This Row],[Score]]-RegData[[#This Row],[Predicted_Score]]</f>
        <v>12.866446192909308</v>
      </c>
    </row>
    <row r="26" spans="1:13" x14ac:dyDescent="0.25">
      <c r="A26" s="3">
        <v>24</v>
      </c>
      <c r="B26" s="2" t="s">
        <v>38</v>
      </c>
      <c r="C26" s="2" t="s">
        <v>27</v>
      </c>
      <c r="D26" s="2">
        <v>4.0999999999999996</v>
      </c>
      <c r="E26" s="2">
        <v>94.3</v>
      </c>
      <c r="F26" s="2">
        <v>0</v>
      </c>
      <c r="G26" s="2">
        <v>0</v>
      </c>
      <c r="H26" s="17">
        <v>28300</v>
      </c>
      <c r="I26" s="2">
        <v>75.3</v>
      </c>
      <c r="J26" s="2">
        <v>1</v>
      </c>
      <c r="K26" s="4">
        <v>0</v>
      </c>
      <c r="L26" s="13">
        <f>SimpleReg!$I$3 + SimpleReg!$I$2 * RegData[[#This Row],[StudyHours]]</f>
        <v>75.425840778241025</v>
      </c>
      <c r="M26" s="13">
        <f>RegData[[#This Row],[Score]]-RegData[[#This Row],[Predicted_Score]]</f>
        <v>-0.12584077824102735</v>
      </c>
    </row>
    <row r="27" spans="1:13" x14ac:dyDescent="0.25">
      <c r="A27" s="3">
        <v>25</v>
      </c>
      <c r="B27" s="2" t="s">
        <v>39</v>
      </c>
      <c r="C27" s="2" t="s">
        <v>12</v>
      </c>
      <c r="D27" s="2">
        <v>1.6</v>
      </c>
      <c r="E27" s="2">
        <v>72.900000000000006</v>
      </c>
      <c r="F27" s="2">
        <v>0</v>
      </c>
      <c r="G27" s="2">
        <v>0</v>
      </c>
      <c r="H27" s="17">
        <v>34500</v>
      </c>
      <c r="I27" s="2">
        <v>62.3</v>
      </c>
      <c r="J27" s="2">
        <v>1</v>
      </c>
      <c r="K27" s="4">
        <v>1</v>
      </c>
      <c r="L27" s="13">
        <f>SimpleReg!$I$3 + SimpleReg!$I$2 * RegData[[#This Row],[StudyHours]]</f>
        <v>63.612579960920769</v>
      </c>
      <c r="M27" s="13">
        <f>RegData[[#This Row],[Score]]-RegData[[#This Row],[Predicted_Score]]</f>
        <v>-1.3125799609207718</v>
      </c>
    </row>
    <row r="28" spans="1:13" x14ac:dyDescent="0.25">
      <c r="A28" s="3">
        <v>26</v>
      </c>
      <c r="B28" s="2" t="s">
        <v>40</v>
      </c>
      <c r="C28" s="2" t="s">
        <v>15</v>
      </c>
      <c r="D28" s="2">
        <v>9.6</v>
      </c>
      <c r="E28" s="2">
        <v>81.400000000000006</v>
      </c>
      <c r="F28" s="2">
        <v>1</v>
      </c>
      <c r="G28" s="2">
        <v>0</v>
      </c>
      <c r="H28" s="17">
        <v>55500</v>
      </c>
      <c r="I28" s="2">
        <v>92.7</v>
      </c>
      <c r="J28" s="2">
        <v>1</v>
      </c>
      <c r="K28" s="4">
        <v>0</v>
      </c>
      <c r="L28" s="13">
        <f>SimpleReg!$I$3 + SimpleReg!$I$2 * RegData[[#This Row],[StudyHours]]</f>
        <v>101.41501457634558</v>
      </c>
      <c r="M28" s="13">
        <f>RegData[[#This Row],[Score]]-RegData[[#This Row],[Predicted_Score]]</f>
        <v>-8.7150145763455811</v>
      </c>
    </row>
    <row r="29" spans="1:13" x14ac:dyDescent="0.25">
      <c r="A29" s="3">
        <v>27</v>
      </c>
      <c r="B29" s="2" t="s">
        <v>41</v>
      </c>
      <c r="C29" s="2" t="s">
        <v>15</v>
      </c>
      <c r="D29" s="2">
        <v>8.8000000000000007</v>
      </c>
      <c r="E29" s="2">
        <v>86.8</v>
      </c>
      <c r="F29" s="2">
        <v>1</v>
      </c>
      <c r="G29" s="2">
        <v>0</v>
      </c>
      <c r="H29" s="17">
        <v>41000</v>
      </c>
      <c r="I29" s="2">
        <v>98</v>
      </c>
      <c r="J29" s="2">
        <v>1</v>
      </c>
      <c r="K29" s="4">
        <v>0</v>
      </c>
      <c r="L29" s="13">
        <f>SimpleReg!$I$3 + SimpleReg!$I$2 * RegData[[#This Row],[StudyHours]]</f>
        <v>97.634771114803101</v>
      </c>
      <c r="M29" s="13">
        <f>RegData[[#This Row],[Score]]-RegData[[#This Row],[Predicted_Score]]</f>
        <v>0.365228885196899</v>
      </c>
    </row>
    <row r="30" spans="1:13" x14ac:dyDescent="0.25">
      <c r="A30" s="3">
        <v>28</v>
      </c>
      <c r="B30" s="2" t="s">
        <v>42</v>
      </c>
      <c r="C30" s="2" t="s">
        <v>17</v>
      </c>
      <c r="D30" s="2">
        <v>8.1</v>
      </c>
      <c r="E30" s="2">
        <v>86.5</v>
      </c>
      <c r="F30" s="2">
        <v>0</v>
      </c>
      <c r="G30" s="2">
        <v>1</v>
      </c>
      <c r="H30" s="17">
        <v>35800</v>
      </c>
      <c r="I30" s="2">
        <v>87.7</v>
      </c>
      <c r="J30" s="2">
        <v>1</v>
      </c>
      <c r="K30" s="4">
        <v>0</v>
      </c>
      <c r="L30" s="13">
        <f>SimpleReg!$I$3 + SimpleReg!$I$2 * RegData[[#This Row],[StudyHours]]</f>
        <v>94.327058085953425</v>
      </c>
      <c r="M30" s="13">
        <f>RegData[[#This Row],[Score]]-RegData[[#This Row],[Predicted_Score]]</f>
        <v>-6.6270580859534221</v>
      </c>
    </row>
    <row r="31" spans="1:13" x14ac:dyDescent="0.25">
      <c r="A31" s="3">
        <v>29</v>
      </c>
      <c r="B31" s="2" t="s">
        <v>43</v>
      </c>
      <c r="C31" s="2" t="s">
        <v>17</v>
      </c>
      <c r="D31" s="2">
        <v>3.5</v>
      </c>
      <c r="E31" s="2">
        <v>75.099999999999994</v>
      </c>
      <c r="F31" s="2">
        <v>0</v>
      </c>
      <c r="G31" s="2">
        <v>1</v>
      </c>
      <c r="H31" s="17">
        <v>45900</v>
      </c>
      <c r="I31" s="2">
        <v>63.5</v>
      </c>
      <c r="J31" s="2">
        <v>1</v>
      </c>
      <c r="K31" s="4">
        <v>0</v>
      </c>
      <c r="L31" s="13">
        <f>SimpleReg!$I$3 + SimpleReg!$I$2 * RegData[[#This Row],[StudyHours]]</f>
        <v>72.590658182084155</v>
      </c>
      <c r="M31" s="13">
        <f>RegData[[#This Row],[Score]]-RegData[[#This Row],[Predicted_Score]]</f>
        <v>-9.0906581820841552</v>
      </c>
    </row>
    <row r="32" spans="1:13" x14ac:dyDescent="0.25">
      <c r="A32" s="3">
        <v>30</v>
      </c>
      <c r="B32" s="2" t="s">
        <v>44</v>
      </c>
      <c r="C32" s="2" t="s">
        <v>15</v>
      </c>
      <c r="D32" s="2">
        <v>1.9</v>
      </c>
      <c r="E32" s="2">
        <v>73.3</v>
      </c>
      <c r="F32" s="2">
        <v>1</v>
      </c>
      <c r="G32" s="2">
        <v>0</v>
      </c>
      <c r="H32" s="17">
        <v>38900</v>
      </c>
      <c r="I32" s="2">
        <v>70.599999999999994</v>
      </c>
      <c r="J32" s="2">
        <v>1</v>
      </c>
      <c r="K32" s="4">
        <v>0</v>
      </c>
      <c r="L32" s="13">
        <f>SimpleReg!$I$3 + SimpleReg!$I$2 * RegData[[#This Row],[StudyHours]]</f>
        <v>65.030171258999189</v>
      </c>
      <c r="M32" s="13">
        <f>RegData[[#This Row],[Score]]-RegData[[#This Row],[Predicted_Score]]</f>
        <v>5.5698287410008049</v>
      </c>
    </row>
    <row r="33" spans="1:13" x14ac:dyDescent="0.25">
      <c r="A33" s="3">
        <v>31</v>
      </c>
      <c r="B33" s="2" t="s">
        <v>45</v>
      </c>
      <c r="C33" s="2" t="s">
        <v>27</v>
      </c>
      <c r="D33" s="2">
        <v>3.7</v>
      </c>
      <c r="E33" s="2">
        <v>67.599999999999994</v>
      </c>
      <c r="F33" s="2">
        <v>0</v>
      </c>
      <c r="G33" s="2">
        <v>0</v>
      </c>
      <c r="H33" s="17">
        <v>27400</v>
      </c>
      <c r="I33" s="2">
        <v>67.2</v>
      </c>
      <c r="J33" s="2">
        <v>1</v>
      </c>
      <c r="K33" s="4">
        <v>0</v>
      </c>
      <c r="L33" s="13">
        <f>SimpleReg!$I$3 + SimpleReg!$I$2 * RegData[[#This Row],[StudyHours]]</f>
        <v>73.535719047469783</v>
      </c>
      <c r="M33" s="13">
        <f>RegData[[#This Row],[Score]]-RegData[[#This Row],[Predicted_Score]]</f>
        <v>-6.3357190474697802</v>
      </c>
    </row>
    <row r="34" spans="1:13" x14ac:dyDescent="0.25">
      <c r="A34" s="3">
        <v>32</v>
      </c>
      <c r="B34" s="2" t="s">
        <v>46</v>
      </c>
      <c r="C34" s="2" t="s">
        <v>15</v>
      </c>
      <c r="D34" s="2">
        <v>3.6</v>
      </c>
      <c r="E34" s="2">
        <v>91.6</v>
      </c>
      <c r="F34" s="2">
        <v>1</v>
      </c>
      <c r="G34" s="2">
        <v>0</v>
      </c>
      <c r="H34" s="17">
        <v>36300</v>
      </c>
      <c r="I34" s="2">
        <v>82.7</v>
      </c>
      <c r="J34" s="2">
        <v>1</v>
      </c>
      <c r="K34" s="4">
        <v>0</v>
      </c>
      <c r="L34" s="13">
        <f>SimpleReg!$I$3 + SimpleReg!$I$2 * RegData[[#This Row],[StudyHours]]</f>
        <v>73.063188614776976</v>
      </c>
      <c r="M34" s="13">
        <f>RegData[[#This Row],[Score]]-RegData[[#This Row],[Predicted_Score]]</f>
        <v>9.6368113852230266</v>
      </c>
    </row>
    <row r="35" spans="1:13" x14ac:dyDescent="0.25">
      <c r="A35" s="3">
        <v>33</v>
      </c>
      <c r="B35" s="2" t="s">
        <v>47</v>
      </c>
      <c r="C35" s="2" t="s">
        <v>15</v>
      </c>
      <c r="D35" s="2">
        <v>4</v>
      </c>
      <c r="E35" s="2">
        <v>71.7</v>
      </c>
      <c r="F35" s="2">
        <v>1</v>
      </c>
      <c r="G35" s="2">
        <v>0</v>
      </c>
      <c r="H35" s="17">
        <v>59600</v>
      </c>
      <c r="I35" s="2">
        <v>67.400000000000006</v>
      </c>
      <c r="J35" s="2">
        <v>1</v>
      </c>
      <c r="K35" s="4">
        <v>0</v>
      </c>
      <c r="L35" s="13">
        <f>SimpleReg!$I$3 + SimpleReg!$I$2 * RegData[[#This Row],[StudyHours]]</f>
        <v>74.953310345548203</v>
      </c>
      <c r="M35" s="13">
        <f>RegData[[#This Row],[Score]]-RegData[[#This Row],[Predicted_Score]]</f>
        <v>-7.5533103455481978</v>
      </c>
    </row>
    <row r="36" spans="1:13" x14ac:dyDescent="0.25">
      <c r="A36" s="3">
        <v>34</v>
      </c>
      <c r="B36" s="2" t="s">
        <v>48</v>
      </c>
      <c r="C36" s="2" t="s">
        <v>15</v>
      </c>
      <c r="D36" s="2">
        <v>5.2</v>
      </c>
      <c r="E36" s="2">
        <v>95.8</v>
      </c>
      <c r="F36" s="2">
        <v>1</v>
      </c>
      <c r="G36" s="2">
        <v>0</v>
      </c>
      <c r="H36" s="17">
        <v>36800</v>
      </c>
      <c r="I36" s="2">
        <v>89.7</v>
      </c>
      <c r="J36" s="2">
        <v>1</v>
      </c>
      <c r="K36" s="4">
        <v>0</v>
      </c>
      <c r="L36" s="13">
        <f>SimpleReg!$I$3 + SimpleReg!$I$2 * RegData[[#This Row],[StudyHours]]</f>
        <v>80.623675537861942</v>
      </c>
      <c r="M36" s="13">
        <f>RegData[[#This Row],[Score]]-RegData[[#This Row],[Predicted_Score]]</f>
        <v>9.0763244621380608</v>
      </c>
    </row>
    <row r="37" spans="1:13" x14ac:dyDescent="0.25">
      <c r="A37" s="3">
        <v>35</v>
      </c>
      <c r="B37" s="2" t="s">
        <v>49</v>
      </c>
      <c r="C37" s="2" t="s">
        <v>27</v>
      </c>
      <c r="D37" s="2">
        <v>3</v>
      </c>
      <c r="E37" s="2">
        <v>72.099999999999994</v>
      </c>
      <c r="F37" s="2">
        <v>0</v>
      </c>
      <c r="G37" s="2">
        <v>0</v>
      </c>
      <c r="H37" s="17">
        <v>40900</v>
      </c>
      <c r="I37" s="2">
        <v>55.3</v>
      </c>
      <c r="J37" s="2">
        <v>0</v>
      </c>
      <c r="K37" s="4">
        <v>0</v>
      </c>
      <c r="L37" s="13">
        <f>SimpleReg!$I$3 + SimpleReg!$I$2 * RegData[[#This Row],[StudyHours]]</f>
        <v>70.228006018620107</v>
      </c>
      <c r="M37" s="13">
        <f>RegData[[#This Row],[Score]]-RegData[[#This Row],[Predicted_Score]]</f>
        <v>-14.92800601862011</v>
      </c>
    </row>
    <row r="38" spans="1:13" x14ac:dyDescent="0.25">
      <c r="A38" s="3">
        <v>36</v>
      </c>
      <c r="B38" s="2" t="s">
        <v>50</v>
      </c>
      <c r="C38" s="2" t="s">
        <v>15</v>
      </c>
      <c r="D38" s="2">
        <v>6.7</v>
      </c>
      <c r="E38" s="2">
        <v>85.3</v>
      </c>
      <c r="F38" s="2">
        <v>1</v>
      </c>
      <c r="G38" s="2">
        <v>0</v>
      </c>
      <c r="H38" s="17">
        <v>20100</v>
      </c>
      <c r="I38" s="2">
        <v>92.7</v>
      </c>
      <c r="J38" s="2">
        <v>1</v>
      </c>
      <c r="K38" s="4">
        <v>0</v>
      </c>
      <c r="L38" s="13">
        <f>SimpleReg!$I$3 + SimpleReg!$I$2 * RegData[[#This Row],[StudyHours]]</f>
        <v>87.711632028254087</v>
      </c>
      <c r="M38" s="13">
        <f>RegData[[#This Row],[Score]]-RegData[[#This Row],[Predicted_Score]]</f>
        <v>4.988367971745916</v>
      </c>
    </row>
    <row r="39" spans="1:13" x14ac:dyDescent="0.25">
      <c r="A39" s="3">
        <v>37</v>
      </c>
      <c r="B39" s="2" t="s">
        <v>51</v>
      </c>
      <c r="C39" s="2" t="s">
        <v>12</v>
      </c>
      <c r="D39" s="2">
        <v>2.2999999999999998</v>
      </c>
      <c r="E39" s="2">
        <v>47.4</v>
      </c>
      <c r="F39" s="2">
        <v>0</v>
      </c>
      <c r="G39" s="2">
        <v>0</v>
      </c>
      <c r="H39" s="17">
        <v>47400</v>
      </c>
      <c r="I39" s="2">
        <v>60.9</v>
      </c>
      <c r="J39" s="2">
        <v>1</v>
      </c>
      <c r="K39" s="4">
        <v>1</v>
      </c>
      <c r="L39" s="13">
        <f>SimpleReg!$I$3 + SimpleReg!$I$2 * RegData[[#This Row],[StudyHours]]</f>
        <v>66.920292989770431</v>
      </c>
      <c r="M39" s="13">
        <f>RegData[[#This Row],[Score]]-RegData[[#This Row],[Predicted_Score]]</f>
        <v>-6.0202929897704323</v>
      </c>
    </row>
    <row r="40" spans="1:13" x14ac:dyDescent="0.25">
      <c r="A40" s="3">
        <v>38</v>
      </c>
      <c r="B40" s="2" t="s">
        <v>52</v>
      </c>
      <c r="C40" s="2" t="s">
        <v>15</v>
      </c>
      <c r="D40" s="2">
        <v>6</v>
      </c>
      <c r="E40" s="2">
        <v>71.099999999999994</v>
      </c>
      <c r="F40" s="2">
        <v>1</v>
      </c>
      <c r="G40" s="2">
        <v>0</v>
      </c>
      <c r="H40" s="17">
        <v>41000</v>
      </c>
      <c r="I40" s="2">
        <v>88.3</v>
      </c>
      <c r="J40" s="2">
        <v>1</v>
      </c>
      <c r="K40" s="4">
        <v>0</v>
      </c>
      <c r="L40" s="13">
        <f>SimpleReg!$I$3 + SimpleReg!$I$2 * RegData[[#This Row],[StudyHours]]</f>
        <v>84.403918999404411</v>
      </c>
      <c r="M40" s="13">
        <f>RegData[[#This Row],[Score]]-RegData[[#This Row],[Predicted_Score]]</f>
        <v>3.8960810005955864</v>
      </c>
    </row>
    <row r="41" spans="1:13" x14ac:dyDescent="0.25">
      <c r="A41" s="3">
        <v>39</v>
      </c>
      <c r="B41" s="2" t="s">
        <v>53</v>
      </c>
      <c r="C41" s="2" t="s">
        <v>17</v>
      </c>
      <c r="D41" s="2">
        <v>4.7</v>
      </c>
      <c r="E41" s="2">
        <v>87</v>
      </c>
      <c r="F41" s="2">
        <v>0</v>
      </c>
      <c r="G41" s="2">
        <v>1</v>
      </c>
      <c r="H41" s="17">
        <v>49400</v>
      </c>
      <c r="I41" s="2">
        <v>73.7</v>
      </c>
      <c r="J41" s="2">
        <v>1</v>
      </c>
      <c r="K41" s="4">
        <v>0</v>
      </c>
      <c r="L41" s="13">
        <f>SimpleReg!$I$3 + SimpleReg!$I$2 * RegData[[#This Row],[StudyHours]]</f>
        <v>78.26102337439788</v>
      </c>
      <c r="M41" s="13">
        <f>RegData[[#This Row],[Score]]-RegData[[#This Row],[Predicted_Score]]</f>
        <v>-4.5610233743978768</v>
      </c>
    </row>
    <row r="42" spans="1:13" x14ac:dyDescent="0.25">
      <c r="A42" s="3">
        <v>40</v>
      </c>
      <c r="B42" s="2" t="s">
        <v>54</v>
      </c>
      <c r="C42" s="2" t="s">
        <v>27</v>
      </c>
      <c r="D42" s="2">
        <v>4.4000000000000004</v>
      </c>
      <c r="E42" s="2">
        <v>76.8</v>
      </c>
      <c r="F42" s="2">
        <v>0</v>
      </c>
      <c r="G42" s="2">
        <v>0</v>
      </c>
      <c r="H42" s="17">
        <v>63500</v>
      </c>
      <c r="I42" s="2">
        <v>73.2</v>
      </c>
      <c r="J42" s="2">
        <v>1</v>
      </c>
      <c r="K42" s="4">
        <v>0</v>
      </c>
      <c r="L42" s="13">
        <f>SimpleReg!$I$3 + SimpleReg!$I$2 * RegData[[#This Row],[StudyHours]]</f>
        <v>76.843432076319459</v>
      </c>
      <c r="M42" s="13">
        <f>RegData[[#This Row],[Score]]-RegData[[#This Row],[Predicted_Score]]</f>
        <v>-3.6434320763194563</v>
      </c>
    </row>
    <row r="43" spans="1:13" x14ac:dyDescent="0.25">
      <c r="A43" s="3">
        <v>41</v>
      </c>
      <c r="B43" s="2" t="s">
        <v>55</v>
      </c>
      <c r="C43" s="2" t="s">
        <v>27</v>
      </c>
      <c r="D43" s="2">
        <v>8.5</v>
      </c>
      <c r="E43" s="2">
        <v>67.599999999999994</v>
      </c>
      <c r="F43" s="2">
        <v>0</v>
      </c>
      <c r="G43" s="2">
        <v>0</v>
      </c>
      <c r="H43" s="17">
        <v>43700</v>
      </c>
      <c r="I43" s="2">
        <v>93.6</v>
      </c>
      <c r="J43" s="2">
        <v>1</v>
      </c>
      <c r="K43" s="4">
        <v>0</v>
      </c>
      <c r="L43" s="13">
        <f>SimpleReg!$I$3 + SimpleReg!$I$2 * RegData[[#This Row],[StudyHours]]</f>
        <v>96.217179816724666</v>
      </c>
      <c r="M43" s="13">
        <f>RegData[[#This Row],[Score]]-RegData[[#This Row],[Predicted_Score]]</f>
        <v>-2.617179816724672</v>
      </c>
    </row>
    <row r="44" spans="1:13" x14ac:dyDescent="0.25">
      <c r="A44" s="3">
        <v>42</v>
      </c>
      <c r="B44" s="2" t="s">
        <v>56</v>
      </c>
      <c r="C44" s="2" t="s">
        <v>15</v>
      </c>
      <c r="D44" s="2">
        <v>4.4000000000000004</v>
      </c>
      <c r="E44" s="2">
        <v>80.400000000000006</v>
      </c>
      <c r="F44" s="2">
        <v>1</v>
      </c>
      <c r="G44" s="2">
        <v>0</v>
      </c>
      <c r="H44" s="17">
        <v>12000</v>
      </c>
      <c r="I44" s="2">
        <v>90.4</v>
      </c>
      <c r="J44" s="2">
        <v>1</v>
      </c>
      <c r="K44" s="4">
        <v>0</v>
      </c>
      <c r="L44" s="13">
        <f>SimpleReg!$I$3 + SimpleReg!$I$2 * RegData[[#This Row],[StudyHours]]</f>
        <v>76.843432076319459</v>
      </c>
      <c r="M44" s="13">
        <f>RegData[[#This Row],[Score]]-RegData[[#This Row],[Predicted_Score]]</f>
        <v>13.556567923680547</v>
      </c>
    </row>
    <row r="45" spans="1:13" x14ac:dyDescent="0.25">
      <c r="A45" s="3">
        <v>43</v>
      </c>
      <c r="B45" s="2" t="s">
        <v>57</v>
      </c>
      <c r="C45" s="2" t="s">
        <v>15</v>
      </c>
      <c r="D45" s="2">
        <v>5.5</v>
      </c>
      <c r="E45" s="2">
        <v>65.099999999999994</v>
      </c>
      <c r="F45" s="2">
        <v>1</v>
      </c>
      <c r="G45" s="2">
        <v>0</v>
      </c>
      <c r="H45" s="17">
        <v>12000</v>
      </c>
      <c r="I45" s="2">
        <v>85.3</v>
      </c>
      <c r="J45" s="2">
        <v>1</v>
      </c>
      <c r="K45" s="4">
        <v>0</v>
      </c>
      <c r="L45" s="13">
        <f>SimpleReg!$I$3 + SimpleReg!$I$2 * RegData[[#This Row],[StudyHours]]</f>
        <v>82.041266835940363</v>
      </c>
      <c r="M45" s="13">
        <f>RegData[[#This Row],[Score]]-RegData[[#This Row],[Predicted_Score]]</f>
        <v>3.2587331640596346</v>
      </c>
    </row>
    <row r="46" spans="1:13" x14ac:dyDescent="0.25">
      <c r="A46" s="3">
        <v>44</v>
      </c>
      <c r="B46" s="2" t="s">
        <v>58</v>
      </c>
      <c r="C46" s="2" t="s">
        <v>27</v>
      </c>
      <c r="D46" s="2">
        <v>2</v>
      </c>
      <c r="E46" s="2">
        <v>71.400000000000006</v>
      </c>
      <c r="F46" s="2">
        <v>0</v>
      </c>
      <c r="G46" s="2">
        <v>0</v>
      </c>
      <c r="H46" s="17">
        <v>42100</v>
      </c>
      <c r="I46" s="2">
        <v>65.7</v>
      </c>
      <c r="J46" s="2">
        <v>1</v>
      </c>
      <c r="K46" s="4">
        <v>0</v>
      </c>
      <c r="L46" s="13">
        <f>SimpleReg!$I$3 + SimpleReg!$I$2 * RegData[[#This Row],[StudyHours]]</f>
        <v>65.50270169169201</v>
      </c>
      <c r="M46" s="13">
        <f>RegData[[#This Row],[Score]]-RegData[[#This Row],[Predicted_Score]]</f>
        <v>0.19729830830799244</v>
      </c>
    </row>
    <row r="47" spans="1:13" x14ac:dyDescent="0.25">
      <c r="A47" s="3">
        <v>45</v>
      </c>
      <c r="B47" s="2" t="s">
        <v>59</v>
      </c>
      <c r="C47" s="2" t="s">
        <v>27</v>
      </c>
      <c r="D47" s="2">
        <v>2.8</v>
      </c>
      <c r="E47" s="2">
        <v>70.8</v>
      </c>
      <c r="F47" s="2">
        <v>0</v>
      </c>
      <c r="G47" s="2">
        <v>0</v>
      </c>
      <c r="H47" s="17">
        <v>34900</v>
      </c>
      <c r="I47" s="2">
        <v>62.6</v>
      </c>
      <c r="J47" s="2">
        <v>1</v>
      </c>
      <c r="K47" s="4">
        <v>0</v>
      </c>
      <c r="L47" s="13">
        <f>SimpleReg!$I$3 + SimpleReg!$I$2 * RegData[[#This Row],[StudyHours]]</f>
        <v>69.282945153234493</v>
      </c>
      <c r="M47" s="13">
        <f>RegData[[#This Row],[Score]]-RegData[[#This Row],[Predicted_Score]]</f>
        <v>-6.6829451532344919</v>
      </c>
    </row>
    <row r="48" spans="1:13" x14ac:dyDescent="0.25">
      <c r="A48" s="3">
        <v>46</v>
      </c>
      <c r="B48" s="2" t="s">
        <v>60</v>
      </c>
      <c r="C48" s="2" t="s">
        <v>17</v>
      </c>
      <c r="D48" s="2">
        <v>1.1000000000000001</v>
      </c>
      <c r="E48" s="2">
        <v>77.599999999999994</v>
      </c>
      <c r="F48" s="2">
        <v>0</v>
      </c>
      <c r="G48" s="2">
        <v>1</v>
      </c>
      <c r="H48" s="17">
        <v>56000</v>
      </c>
      <c r="I48" s="2">
        <v>71.400000000000006</v>
      </c>
      <c r="J48" s="2">
        <v>1</v>
      </c>
      <c r="K48" s="4">
        <v>0</v>
      </c>
      <c r="L48" s="13">
        <f>SimpleReg!$I$3 + SimpleReg!$I$2 * RegData[[#This Row],[StudyHours]]</f>
        <v>61.249927797456714</v>
      </c>
      <c r="M48" s="13">
        <f>RegData[[#This Row],[Score]]-RegData[[#This Row],[Predicted_Score]]</f>
        <v>10.150072202543292</v>
      </c>
    </row>
    <row r="49" spans="1:13" x14ac:dyDescent="0.25">
      <c r="A49" s="3">
        <v>47</v>
      </c>
      <c r="B49" s="2" t="s">
        <v>61</v>
      </c>
      <c r="C49" s="2" t="s">
        <v>15</v>
      </c>
      <c r="D49" s="2">
        <v>6.1</v>
      </c>
      <c r="E49" s="2">
        <v>92.8</v>
      </c>
      <c r="F49" s="2">
        <v>1</v>
      </c>
      <c r="G49" s="2">
        <v>0</v>
      </c>
      <c r="H49" s="17">
        <v>30000</v>
      </c>
      <c r="I49" s="2">
        <v>85.5</v>
      </c>
      <c r="J49" s="2">
        <v>1</v>
      </c>
      <c r="K49" s="4">
        <v>0</v>
      </c>
      <c r="L49" s="13">
        <f>SimpleReg!$I$3 + SimpleReg!$I$2 * RegData[[#This Row],[StudyHours]]</f>
        <v>84.876449432097218</v>
      </c>
      <c r="M49" s="13">
        <f>RegData[[#This Row],[Score]]-RegData[[#This Row],[Predicted_Score]]</f>
        <v>0.6235505679027824</v>
      </c>
    </row>
    <row r="50" spans="1:13" x14ac:dyDescent="0.25">
      <c r="A50" s="3">
        <v>48</v>
      </c>
      <c r="B50" s="2" t="s">
        <v>62</v>
      </c>
      <c r="C50" s="2" t="s">
        <v>15</v>
      </c>
      <c r="D50" s="2">
        <v>6.2</v>
      </c>
      <c r="E50" s="2">
        <v>72.3</v>
      </c>
      <c r="F50" s="2">
        <v>1</v>
      </c>
      <c r="G50" s="2">
        <v>0</v>
      </c>
      <c r="H50" s="17">
        <v>17700</v>
      </c>
      <c r="I50" s="2">
        <v>78.8</v>
      </c>
      <c r="J50" s="2">
        <v>1</v>
      </c>
      <c r="K50" s="4">
        <v>0</v>
      </c>
      <c r="L50" s="13">
        <f>SimpleReg!$I$3 + SimpleReg!$I$2 * RegData[[#This Row],[StudyHours]]</f>
        <v>85.348979864790039</v>
      </c>
      <c r="M50" s="13">
        <f>RegData[[#This Row],[Score]]-RegData[[#This Row],[Predicted_Score]]</f>
        <v>-6.5489798647900415</v>
      </c>
    </row>
    <row r="51" spans="1:13" x14ac:dyDescent="0.25">
      <c r="A51" s="3">
        <v>49</v>
      </c>
      <c r="B51" s="2" t="s">
        <v>63</v>
      </c>
      <c r="C51" s="2" t="s">
        <v>17</v>
      </c>
      <c r="D51" s="2">
        <v>2.9</v>
      </c>
      <c r="E51" s="2">
        <v>70.7</v>
      </c>
      <c r="F51" s="2">
        <v>0</v>
      </c>
      <c r="G51" s="2">
        <v>1</v>
      </c>
      <c r="H51" s="17">
        <v>44300</v>
      </c>
      <c r="I51" s="2">
        <v>62.5</v>
      </c>
      <c r="J51" s="2">
        <v>1</v>
      </c>
      <c r="K51" s="4">
        <v>0</v>
      </c>
      <c r="L51" s="13">
        <f>SimpleReg!$I$3 + SimpleReg!$I$2 * RegData[[#This Row],[StudyHours]]</f>
        <v>69.7554755859273</v>
      </c>
      <c r="M51" s="13">
        <f>RegData[[#This Row],[Score]]-RegData[[#This Row],[Predicted_Score]]</f>
        <v>-7.2554755859273001</v>
      </c>
    </row>
    <row r="52" spans="1:13" x14ac:dyDescent="0.25">
      <c r="A52" s="3">
        <v>50</v>
      </c>
      <c r="B52" s="2" t="s">
        <v>64</v>
      </c>
      <c r="C52" s="2" t="s">
        <v>12</v>
      </c>
      <c r="D52" s="2">
        <v>5.0999999999999996</v>
      </c>
      <c r="E52" s="2">
        <v>90</v>
      </c>
      <c r="F52" s="2">
        <v>0</v>
      </c>
      <c r="G52" s="2">
        <v>0</v>
      </c>
      <c r="H52" s="17">
        <v>29000</v>
      </c>
      <c r="I52" s="2">
        <v>77.900000000000006</v>
      </c>
      <c r="J52" s="2">
        <v>1</v>
      </c>
      <c r="K52" s="4">
        <v>1</v>
      </c>
      <c r="L52" s="13">
        <f>SimpleReg!$I$3 + SimpleReg!$I$2 * RegData[[#This Row],[StudyHours]]</f>
        <v>80.151145105169121</v>
      </c>
      <c r="M52" s="13">
        <f>RegData[[#This Row],[Score]]-RegData[[#This Row],[Predicted_Score]]</f>
        <v>-2.2511451051691154</v>
      </c>
    </row>
    <row r="53" spans="1:13" x14ac:dyDescent="0.25">
      <c r="A53" s="3">
        <v>51</v>
      </c>
      <c r="B53" s="2" t="s">
        <v>65</v>
      </c>
      <c r="C53" s="2" t="s">
        <v>15</v>
      </c>
      <c r="D53" s="2">
        <v>5</v>
      </c>
      <c r="E53" s="2">
        <v>73.3</v>
      </c>
      <c r="F53" s="2">
        <v>1</v>
      </c>
      <c r="G53" s="2">
        <v>0</v>
      </c>
      <c r="H53" s="17">
        <v>12000</v>
      </c>
      <c r="I53" s="2">
        <v>84.3</v>
      </c>
      <c r="J53" s="2">
        <v>1</v>
      </c>
      <c r="K53" s="4">
        <v>0</v>
      </c>
      <c r="L53" s="13">
        <f>SimpleReg!$I$3 + SimpleReg!$I$2 * RegData[[#This Row],[StudyHours]]</f>
        <v>79.678614672476314</v>
      </c>
      <c r="M53" s="13">
        <f>RegData[[#This Row],[Score]]-RegData[[#This Row],[Predicted_Score]]</f>
        <v>4.6213853275236829</v>
      </c>
    </row>
    <row r="54" spans="1:13" x14ac:dyDescent="0.25">
      <c r="A54" s="3">
        <v>52</v>
      </c>
      <c r="B54" s="2" t="s">
        <v>66</v>
      </c>
      <c r="C54" s="2" t="s">
        <v>27</v>
      </c>
      <c r="D54" s="2">
        <v>6.2</v>
      </c>
      <c r="E54" s="2">
        <v>81.7</v>
      </c>
      <c r="F54" s="2">
        <v>0</v>
      </c>
      <c r="G54" s="2">
        <v>0</v>
      </c>
      <c r="H54" s="17">
        <v>31700</v>
      </c>
      <c r="I54" s="2">
        <v>96.3</v>
      </c>
      <c r="J54" s="2">
        <v>1</v>
      </c>
      <c r="K54" s="4">
        <v>0</v>
      </c>
      <c r="L54" s="13">
        <f>SimpleReg!$I$3 + SimpleReg!$I$2 * RegData[[#This Row],[StudyHours]]</f>
        <v>85.348979864790039</v>
      </c>
      <c r="M54" s="13">
        <f>RegData[[#This Row],[Score]]-RegData[[#This Row],[Predicted_Score]]</f>
        <v>10.951020135209959</v>
      </c>
    </row>
    <row r="55" spans="1:13" x14ac:dyDescent="0.25">
      <c r="A55" s="3">
        <v>53</v>
      </c>
      <c r="B55" s="2" t="s">
        <v>67</v>
      </c>
      <c r="C55" s="2" t="s">
        <v>27</v>
      </c>
      <c r="D55" s="2">
        <v>6.4</v>
      </c>
      <c r="E55" s="2">
        <v>70.099999999999994</v>
      </c>
      <c r="F55" s="2">
        <v>0</v>
      </c>
      <c r="G55" s="2">
        <v>0</v>
      </c>
      <c r="H55" s="17">
        <v>50600</v>
      </c>
      <c r="I55" s="2">
        <v>89.1</v>
      </c>
      <c r="J55" s="2">
        <v>1</v>
      </c>
      <c r="K55" s="4">
        <v>0</v>
      </c>
      <c r="L55" s="13">
        <f>SimpleReg!$I$3 + SimpleReg!$I$2 * RegData[[#This Row],[StudyHours]]</f>
        <v>86.294040730175652</v>
      </c>
      <c r="M55" s="13">
        <f>RegData[[#This Row],[Score]]-RegData[[#This Row],[Predicted_Score]]</f>
        <v>2.8059592698243421</v>
      </c>
    </row>
    <row r="56" spans="1:13" x14ac:dyDescent="0.25">
      <c r="A56" s="3">
        <v>54</v>
      </c>
      <c r="B56" s="2" t="s">
        <v>68</v>
      </c>
      <c r="C56" s="2" t="s">
        <v>12</v>
      </c>
      <c r="D56" s="2">
        <v>0.5</v>
      </c>
      <c r="E56" s="2">
        <v>55.1</v>
      </c>
      <c r="F56" s="2">
        <v>0</v>
      </c>
      <c r="G56" s="2">
        <v>0</v>
      </c>
      <c r="H56" s="17">
        <v>33900</v>
      </c>
      <c r="I56" s="2">
        <v>51.6</v>
      </c>
      <c r="J56" s="2">
        <v>0</v>
      </c>
      <c r="K56" s="4">
        <v>1</v>
      </c>
      <c r="L56" s="13">
        <f>SimpleReg!$I$3 + SimpleReg!$I$2 * RegData[[#This Row],[StudyHours]]</f>
        <v>58.414745201299851</v>
      </c>
      <c r="M56" s="13">
        <f>RegData[[#This Row],[Score]]-RegData[[#This Row],[Predicted_Score]]</f>
        <v>-6.81474520129985</v>
      </c>
    </row>
    <row r="57" spans="1:13" x14ac:dyDescent="0.25">
      <c r="A57" s="3">
        <v>55</v>
      </c>
      <c r="B57" s="2" t="s">
        <v>69</v>
      </c>
      <c r="C57" s="2" t="s">
        <v>12</v>
      </c>
      <c r="D57" s="2">
        <v>4.0999999999999996</v>
      </c>
      <c r="E57" s="2">
        <v>94.9</v>
      </c>
      <c r="F57" s="2">
        <v>0</v>
      </c>
      <c r="G57" s="2">
        <v>0</v>
      </c>
      <c r="H57" s="17">
        <v>42500</v>
      </c>
      <c r="I57" s="2">
        <v>78.400000000000006</v>
      </c>
      <c r="J57" s="2">
        <v>1</v>
      </c>
      <c r="K57" s="4">
        <v>1</v>
      </c>
      <c r="L57" s="13">
        <f>SimpleReg!$I$3 + SimpleReg!$I$2 * RegData[[#This Row],[StudyHours]]</f>
        <v>75.425840778241025</v>
      </c>
      <c r="M57" s="13">
        <f>RegData[[#This Row],[Score]]-RegData[[#This Row],[Predicted_Score]]</f>
        <v>2.9741592217589812</v>
      </c>
    </row>
    <row r="58" spans="1:13" x14ac:dyDescent="0.25">
      <c r="A58" s="3">
        <v>56</v>
      </c>
      <c r="B58" s="2" t="s">
        <v>70</v>
      </c>
      <c r="C58" s="2" t="s">
        <v>15</v>
      </c>
      <c r="D58" s="2">
        <v>7</v>
      </c>
      <c r="E58" s="2">
        <v>87.5</v>
      </c>
      <c r="F58" s="2">
        <v>1</v>
      </c>
      <c r="G58" s="2">
        <v>0</v>
      </c>
      <c r="H58" s="17">
        <v>32100</v>
      </c>
      <c r="I58" s="2">
        <v>99.6</v>
      </c>
      <c r="J58" s="2">
        <v>1</v>
      </c>
      <c r="K58" s="4">
        <v>0</v>
      </c>
      <c r="L58" s="13">
        <f>SimpleReg!$I$3 + SimpleReg!$I$2 * RegData[[#This Row],[StudyHours]]</f>
        <v>89.129223326332522</v>
      </c>
      <c r="M58" s="13">
        <f>RegData[[#This Row],[Score]]-RegData[[#This Row],[Predicted_Score]]</f>
        <v>10.470776673667473</v>
      </c>
    </row>
    <row r="59" spans="1:13" x14ac:dyDescent="0.25">
      <c r="A59" s="3">
        <v>57</v>
      </c>
      <c r="B59" s="2" t="s">
        <v>71</v>
      </c>
      <c r="C59" s="2" t="s">
        <v>12</v>
      </c>
      <c r="D59" s="2">
        <v>5.8</v>
      </c>
      <c r="E59" s="2">
        <v>94.3</v>
      </c>
      <c r="F59" s="2">
        <v>0</v>
      </c>
      <c r="G59" s="2">
        <v>0</v>
      </c>
      <c r="H59" s="17">
        <v>33500</v>
      </c>
      <c r="I59" s="2">
        <v>93.5</v>
      </c>
      <c r="J59" s="2">
        <v>1</v>
      </c>
      <c r="K59" s="4">
        <v>1</v>
      </c>
      <c r="L59" s="13">
        <f>SimpleReg!$I$3 + SimpleReg!$I$2 * RegData[[#This Row],[StudyHours]]</f>
        <v>83.458858134018797</v>
      </c>
      <c r="M59" s="13">
        <f>RegData[[#This Row],[Score]]-RegData[[#This Row],[Predicted_Score]]</f>
        <v>10.041141865981203</v>
      </c>
    </row>
    <row r="60" spans="1:13" x14ac:dyDescent="0.25">
      <c r="A60" s="3">
        <v>58</v>
      </c>
      <c r="B60" s="2" t="s">
        <v>72</v>
      </c>
      <c r="C60" s="2" t="s">
        <v>27</v>
      </c>
      <c r="D60" s="2">
        <v>5.5</v>
      </c>
      <c r="E60" s="2">
        <v>73.7</v>
      </c>
      <c r="F60" s="2">
        <v>0</v>
      </c>
      <c r="G60" s="2">
        <v>0</v>
      </c>
      <c r="H60" s="17">
        <v>24300</v>
      </c>
      <c r="I60" s="2">
        <v>79.2</v>
      </c>
      <c r="J60" s="2">
        <v>1</v>
      </c>
      <c r="K60" s="4">
        <v>0</v>
      </c>
      <c r="L60" s="13">
        <f>SimpleReg!$I$3 + SimpleReg!$I$2 * RegData[[#This Row],[StudyHours]]</f>
        <v>82.041266835940363</v>
      </c>
      <c r="M60" s="13">
        <f>RegData[[#This Row],[Score]]-RegData[[#This Row],[Predicted_Score]]</f>
        <v>-2.8412668359403597</v>
      </c>
    </row>
    <row r="61" spans="1:13" x14ac:dyDescent="0.25">
      <c r="A61" s="3">
        <v>59</v>
      </c>
      <c r="B61" s="2" t="s">
        <v>73</v>
      </c>
      <c r="C61" s="2" t="s">
        <v>15</v>
      </c>
      <c r="D61" s="2">
        <v>5.4</v>
      </c>
      <c r="E61" s="2">
        <v>61.1</v>
      </c>
      <c r="F61" s="2">
        <v>1</v>
      </c>
      <c r="G61" s="2">
        <v>0</v>
      </c>
      <c r="H61" s="17">
        <v>33100</v>
      </c>
      <c r="I61" s="2">
        <v>86.5</v>
      </c>
      <c r="J61" s="2">
        <v>1</v>
      </c>
      <c r="K61" s="4">
        <v>0</v>
      </c>
      <c r="L61" s="13">
        <f>SimpleReg!$I$3 + SimpleReg!$I$2 * RegData[[#This Row],[StudyHours]]</f>
        <v>81.568736403247556</v>
      </c>
      <c r="M61" s="13">
        <f>RegData[[#This Row],[Score]]-RegData[[#This Row],[Predicted_Score]]</f>
        <v>4.9312635967524443</v>
      </c>
    </row>
    <row r="62" spans="1:13" x14ac:dyDescent="0.25">
      <c r="A62" s="3">
        <v>60</v>
      </c>
      <c r="B62" s="2" t="s">
        <v>74</v>
      </c>
      <c r="C62" s="2" t="s">
        <v>17</v>
      </c>
      <c r="D62" s="2">
        <v>4.7</v>
      </c>
      <c r="E62" s="2">
        <v>78.7</v>
      </c>
      <c r="F62" s="2">
        <v>0</v>
      </c>
      <c r="G62" s="2">
        <v>1</v>
      </c>
      <c r="H62" s="17">
        <v>62700</v>
      </c>
      <c r="I62" s="2">
        <v>79.8</v>
      </c>
      <c r="J62" s="2">
        <v>1</v>
      </c>
      <c r="K62" s="4">
        <v>0</v>
      </c>
      <c r="L62" s="13">
        <f>SimpleReg!$I$3 + SimpleReg!$I$2 * RegData[[#This Row],[StudyHours]]</f>
        <v>78.26102337439788</v>
      </c>
      <c r="M62" s="13">
        <f>RegData[[#This Row],[Score]]-RegData[[#This Row],[Predicted_Score]]</f>
        <v>1.5389766256021176</v>
      </c>
    </row>
    <row r="63" spans="1:13" x14ac:dyDescent="0.25">
      <c r="A63" s="3">
        <v>61</v>
      </c>
      <c r="B63" s="2" t="s">
        <v>75</v>
      </c>
      <c r="C63" s="2" t="s">
        <v>27</v>
      </c>
      <c r="D63" s="2">
        <v>1.4</v>
      </c>
      <c r="E63" s="2">
        <v>71.599999999999994</v>
      </c>
      <c r="F63" s="2">
        <v>0</v>
      </c>
      <c r="G63" s="2">
        <v>0</v>
      </c>
      <c r="H63" s="17">
        <v>27600</v>
      </c>
      <c r="I63" s="2">
        <v>57.4</v>
      </c>
      <c r="J63" s="2">
        <v>0</v>
      </c>
      <c r="K63" s="4">
        <v>0</v>
      </c>
      <c r="L63" s="13">
        <f>SimpleReg!$I$3 + SimpleReg!$I$2 * RegData[[#This Row],[StudyHours]]</f>
        <v>62.667519095535148</v>
      </c>
      <c r="M63" s="13">
        <f>RegData[[#This Row],[Score]]-RegData[[#This Row],[Predicted_Score]]</f>
        <v>-5.2675190955351496</v>
      </c>
    </row>
    <row r="64" spans="1:13" x14ac:dyDescent="0.25">
      <c r="A64" s="3">
        <v>62</v>
      </c>
      <c r="B64" s="2" t="s">
        <v>76</v>
      </c>
      <c r="C64" s="2" t="s">
        <v>15</v>
      </c>
      <c r="D64" s="2">
        <v>3.5</v>
      </c>
      <c r="E64" s="2">
        <v>100</v>
      </c>
      <c r="F64" s="2">
        <v>1</v>
      </c>
      <c r="G64" s="2">
        <v>0</v>
      </c>
      <c r="H64" s="17">
        <v>43500</v>
      </c>
      <c r="I64" s="2">
        <v>69.3</v>
      </c>
      <c r="J64" s="2">
        <v>1</v>
      </c>
      <c r="K64" s="4">
        <v>0</v>
      </c>
      <c r="L64" s="13">
        <f>SimpleReg!$I$3 + SimpleReg!$I$2 * RegData[[#This Row],[StudyHours]]</f>
        <v>72.590658182084155</v>
      </c>
      <c r="M64" s="13">
        <f>RegData[[#This Row],[Score]]-RegData[[#This Row],[Predicted_Score]]</f>
        <v>-3.2906581820841581</v>
      </c>
    </row>
    <row r="65" spans="1:13" x14ac:dyDescent="0.25">
      <c r="A65" s="3">
        <v>63</v>
      </c>
      <c r="B65" s="2" t="s">
        <v>77</v>
      </c>
      <c r="C65" s="2" t="s">
        <v>27</v>
      </c>
      <c r="D65" s="2">
        <v>5.4</v>
      </c>
      <c r="E65" s="2">
        <v>86.8</v>
      </c>
      <c r="F65" s="2">
        <v>0</v>
      </c>
      <c r="G65" s="2">
        <v>0</v>
      </c>
      <c r="H65" s="17">
        <v>55800</v>
      </c>
      <c r="I65" s="2">
        <v>86.9</v>
      </c>
      <c r="J65" s="2">
        <v>1</v>
      </c>
      <c r="K65" s="4">
        <v>0</v>
      </c>
      <c r="L65" s="13">
        <f>SimpleReg!$I$3 + SimpleReg!$I$2 * RegData[[#This Row],[StudyHours]]</f>
        <v>81.568736403247556</v>
      </c>
      <c r="M65" s="13">
        <f>RegData[[#This Row],[Score]]-RegData[[#This Row],[Predicted_Score]]</f>
        <v>5.33126359675245</v>
      </c>
    </row>
    <row r="66" spans="1:13" x14ac:dyDescent="0.25">
      <c r="A66" s="3">
        <v>64</v>
      </c>
      <c r="B66" s="2" t="s">
        <v>78</v>
      </c>
      <c r="C66" s="2" t="s">
        <v>27</v>
      </c>
      <c r="D66" s="2">
        <v>2.7</v>
      </c>
      <c r="E66" s="2">
        <v>87.3</v>
      </c>
      <c r="F66" s="2">
        <v>0</v>
      </c>
      <c r="G66" s="2">
        <v>0</v>
      </c>
      <c r="H66" s="17">
        <v>54500</v>
      </c>
      <c r="I66" s="2">
        <v>80.8</v>
      </c>
      <c r="J66" s="2">
        <v>1</v>
      </c>
      <c r="K66" s="4">
        <v>0</v>
      </c>
      <c r="L66" s="13">
        <f>SimpleReg!$I$3 + SimpleReg!$I$2 * RegData[[#This Row],[StudyHours]]</f>
        <v>68.810414720541672</v>
      </c>
      <c r="M66" s="13">
        <f>RegData[[#This Row],[Score]]-RegData[[#This Row],[Predicted_Score]]</f>
        <v>11.989585279458325</v>
      </c>
    </row>
    <row r="67" spans="1:13" x14ac:dyDescent="0.25">
      <c r="A67" s="3">
        <v>65</v>
      </c>
      <c r="B67" s="2" t="s">
        <v>79</v>
      </c>
      <c r="C67" s="2" t="s">
        <v>27</v>
      </c>
      <c r="D67" s="2">
        <v>8.6</v>
      </c>
      <c r="E67" s="2">
        <v>74.7</v>
      </c>
      <c r="F67" s="2">
        <v>0</v>
      </c>
      <c r="G67" s="2">
        <v>0</v>
      </c>
      <c r="H67" s="17">
        <v>37500</v>
      </c>
      <c r="I67" s="2">
        <v>89.4</v>
      </c>
      <c r="J67" s="2">
        <v>1</v>
      </c>
      <c r="K67" s="4">
        <v>0</v>
      </c>
      <c r="L67" s="13">
        <f>SimpleReg!$I$3 + SimpleReg!$I$2 * RegData[[#This Row],[StudyHours]]</f>
        <v>96.689710249417487</v>
      </c>
      <c r="M67" s="13">
        <f>RegData[[#This Row],[Score]]-RegData[[#This Row],[Predicted_Score]]</f>
        <v>-7.2897102494174817</v>
      </c>
    </row>
    <row r="68" spans="1:13" x14ac:dyDescent="0.25">
      <c r="A68" s="3">
        <v>66</v>
      </c>
      <c r="B68" s="2" t="s">
        <v>80</v>
      </c>
      <c r="C68" s="2" t="s">
        <v>12</v>
      </c>
      <c r="D68" s="2">
        <v>2.7</v>
      </c>
      <c r="E68" s="2">
        <v>100</v>
      </c>
      <c r="F68" s="2">
        <v>0</v>
      </c>
      <c r="G68" s="2">
        <v>0</v>
      </c>
      <c r="H68" s="17">
        <v>44700</v>
      </c>
      <c r="I68" s="2">
        <v>64</v>
      </c>
      <c r="J68" s="2">
        <v>1</v>
      </c>
      <c r="K68" s="4">
        <v>1</v>
      </c>
      <c r="L68" s="13">
        <f>SimpleReg!$I$3 + SimpleReg!$I$2 * RegData[[#This Row],[StudyHours]]</f>
        <v>68.810414720541672</v>
      </c>
      <c r="M68" s="13">
        <f>RegData[[#This Row],[Score]]-RegData[[#This Row],[Predicted_Score]]</f>
        <v>-4.8104147205416723</v>
      </c>
    </row>
    <row r="69" spans="1:13" x14ac:dyDescent="0.25">
      <c r="A69" s="3">
        <v>67</v>
      </c>
      <c r="B69" s="2" t="s">
        <v>81</v>
      </c>
      <c r="C69" s="2" t="s">
        <v>12</v>
      </c>
      <c r="D69" s="2">
        <v>4.5999999999999996</v>
      </c>
      <c r="E69" s="2">
        <v>99</v>
      </c>
      <c r="F69" s="2">
        <v>0</v>
      </c>
      <c r="G69" s="2">
        <v>0</v>
      </c>
      <c r="H69" s="17">
        <v>58700</v>
      </c>
      <c r="I69" s="2">
        <v>90.7</v>
      </c>
      <c r="J69" s="2">
        <v>1</v>
      </c>
      <c r="K69" s="4">
        <v>1</v>
      </c>
      <c r="L69" s="13">
        <f>SimpleReg!$I$3 + SimpleReg!$I$2 * RegData[[#This Row],[StudyHours]]</f>
        <v>77.788492941705073</v>
      </c>
      <c r="M69" s="13">
        <f>RegData[[#This Row],[Score]]-RegData[[#This Row],[Predicted_Score]]</f>
        <v>12.91150705829493</v>
      </c>
    </row>
    <row r="70" spans="1:13" x14ac:dyDescent="0.25">
      <c r="A70" s="3">
        <v>68</v>
      </c>
      <c r="B70" s="2" t="s">
        <v>82</v>
      </c>
      <c r="C70" s="2" t="s">
        <v>27</v>
      </c>
      <c r="D70" s="2">
        <v>5.6</v>
      </c>
      <c r="E70" s="2">
        <v>99.8</v>
      </c>
      <c r="F70" s="2">
        <v>0</v>
      </c>
      <c r="G70" s="2">
        <v>0</v>
      </c>
      <c r="H70" s="17">
        <v>22600</v>
      </c>
      <c r="I70" s="2">
        <v>86.7</v>
      </c>
      <c r="J70" s="2">
        <v>1</v>
      </c>
      <c r="K70" s="4">
        <v>0</v>
      </c>
      <c r="L70" s="13">
        <f>SimpleReg!$I$3 + SimpleReg!$I$2 * RegData[[#This Row],[StudyHours]]</f>
        <v>82.513797268633169</v>
      </c>
      <c r="M70" s="13">
        <f>RegData[[#This Row],[Score]]-RegData[[#This Row],[Predicted_Score]]</f>
        <v>4.1862027313668335</v>
      </c>
    </row>
    <row r="71" spans="1:13" x14ac:dyDescent="0.25">
      <c r="A71" s="3">
        <v>69</v>
      </c>
      <c r="B71" s="2" t="s">
        <v>83</v>
      </c>
      <c r="C71" s="2" t="s">
        <v>12</v>
      </c>
      <c r="D71" s="2">
        <v>5.0999999999999996</v>
      </c>
      <c r="E71" s="2">
        <v>80.599999999999994</v>
      </c>
      <c r="F71" s="2">
        <v>0</v>
      </c>
      <c r="G71" s="2">
        <v>0</v>
      </c>
      <c r="H71" s="17">
        <v>39700</v>
      </c>
      <c r="I71" s="2">
        <v>84.4</v>
      </c>
      <c r="J71" s="2">
        <v>1</v>
      </c>
      <c r="K71" s="4">
        <v>1</v>
      </c>
      <c r="L71" s="13">
        <f>SimpleReg!$I$3 + SimpleReg!$I$2 * RegData[[#This Row],[StudyHours]]</f>
        <v>80.151145105169121</v>
      </c>
      <c r="M71" s="13">
        <f>RegData[[#This Row],[Score]]-RegData[[#This Row],[Predicted_Score]]</f>
        <v>4.2488548948308846</v>
      </c>
    </row>
    <row r="72" spans="1:13" x14ac:dyDescent="0.25">
      <c r="A72" s="3">
        <v>70</v>
      </c>
      <c r="B72" s="2" t="s">
        <v>84</v>
      </c>
      <c r="C72" s="2" t="s">
        <v>27</v>
      </c>
      <c r="D72" s="2">
        <v>6.6</v>
      </c>
      <c r="E72" s="2">
        <v>76</v>
      </c>
      <c r="F72" s="2">
        <v>0</v>
      </c>
      <c r="G72" s="2">
        <v>0</v>
      </c>
      <c r="H72" s="17">
        <v>25400</v>
      </c>
      <c r="I72" s="2">
        <v>77.599999999999994</v>
      </c>
      <c r="J72" s="2">
        <v>1</v>
      </c>
      <c r="K72" s="4">
        <v>0</v>
      </c>
      <c r="L72" s="13">
        <f>SimpleReg!$I$3 + SimpleReg!$I$2 * RegData[[#This Row],[StudyHours]]</f>
        <v>87.239101595561266</v>
      </c>
      <c r="M72" s="13">
        <f>RegData[[#This Row],[Score]]-RegData[[#This Row],[Predicted_Score]]</f>
        <v>-9.6391015955612716</v>
      </c>
    </row>
    <row r="73" spans="1:13" x14ac:dyDescent="0.25">
      <c r="A73" s="3">
        <v>71</v>
      </c>
      <c r="B73" s="2" t="s">
        <v>85</v>
      </c>
      <c r="C73" s="2" t="s">
        <v>27</v>
      </c>
      <c r="D73" s="2">
        <v>0.5</v>
      </c>
      <c r="E73" s="2">
        <v>71.599999999999994</v>
      </c>
      <c r="F73" s="2">
        <v>0</v>
      </c>
      <c r="G73" s="2">
        <v>0</v>
      </c>
      <c r="H73" s="17">
        <v>64800</v>
      </c>
      <c r="I73" s="2">
        <v>65.8</v>
      </c>
      <c r="J73" s="2">
        <v>1</v>
      </c>
      <c r="K73" s="4">
        <v>0</v>
      </c>
      <c r="L73" s="13">
        <f>SimpleReg!$I$3 + SimpleReg!$I$2 * RegData[[#This Row],[StudyHours]]</f>
        <v>58.414745201299851</v>
      </c>
      <c r="M73" s="13">
        <f>RegData[[#This Row],[Score]]-RegData[[#This Row],[Predicted_Score]]</f>
        <v>7.3852547987001458</v>
      </c>
    </row>
    <row r="74" spans="1:13" x14ac:dyDescent="0.25">
      <c r="A74" s="3">
        <v>72</v>
      </c>
      <c r="B74" s="2" t="s">
        <v>86</v>
      </c>
      <c r="C74" s="2" t="s">
        <v>15</v>
      </c>
      <c r="D74" s="2">
        <v>6.5</v>
      </c>
      <c r="E74" s="2">
        <v>75.8</v>
      </c>
      <c r="F74" s="2">
        <v>1</v>
      </c>
      <c r="G74" s="2">
        <v>0</v>
      </c>
      <c r="H74" s="17">
        <v>47400</v>
      </c>
      <c r="I74" s="2">
        <v>89.8</v>
      </c>
      <c r="J74" s="2">
        <v>1</v>
      </c>
      <c r="K74" s="4">
        <v>0</v>
      </c>
      <c r="L74" s="13">
        <f>SimpleReg!$I$3 + SimpleReg!$I$2 * RegData[[#This Row],[StudyHours]]</f>
        <v>86.766571162868473</v>
      </c>
      <c r="M74" s="13">
        <f>RegData[[#This Row],[Score]]-RegData[[#This Row],[Predicted_Score]]</f>
        <v>3.0334288371315239</v>
      </c>
    </row>
    <row r="75" spans="1:13" x14ac:dyDescent="0.25">
      <c r="A75" s="3">
        <v>73</v>
      </c>
      <c r="B75" s="2" t="s">
        <v>87</v>
      </c>
      <c r="C75" s="2" t="s">
        <v>12</v>
      </c>
      <c r="D75" s="2">
        <v>3.9</v>
      </c>
      <c r="E75" s="2">
        <v>93.1</v>
      </c>
      <c r="F75" s="2">
        <v>0</v>
      </c>
      <c r="G75" s="2">
        <v>0</v>
      </c>
      <c r="H75" s="17">
        <v>20200</v>
      </c>
      <c r="I75" s="2">
        <v>77.8</v>
      </c>
      <c r="J75" s="2">
        <v>1</v>
      </c>
      <c r="K75" s="4">
        <v>1</v>
      </c>
      <c r="L75" s="13">
        <f>SimpleReg!$I$3 + SimpleReg!$I$2 * RegData[[#This Row],[StudyHours]]</f>
        <v>74.480779912855397</v>
      </c>
      <c r="M75" s="13">
        <f>RegData[[#This Row],[Score]]-RegData[[#This Row],[Predicted_Score]]</f>
        <v>3.3192200871446005</v>
      </c>
    </row>
    <row r="76" spans="1:13" x14ac:dyDescent="0.25">
      <c r="A76" s="3">
        <v>74</v>
      </c>
      <c r="B76" s="2" t="s">
        <v>88</v>
      </c>
      <c r="C76" s="2" t="s">
        <v>17</v>
      </c>
      <c r="D76" s="2">
        <v>4.9000000000000004</v>
      </c>
      <c r="E76" s="2">
        <v>96.8</v>
      </c>
      <c r="F76" s="2">
        <v>0</v>
      </c>
      <c r="G76" s="2">
        <v>1</v>
      </c>
      <c r="H76" s="17">
        <v>69200</v>
      </c>
      <c r="I76" s="2">
        <v>80.7</v>
      </c>
      <c r="J76" s="2">
        <v>1</v>
      </c>
      <c r="K76" s="4">
        <v>0</v>
      </c>
      <c r="L76" s="13">
        <f>SimpleReg!$I$3 + SimpleReg!$I$2 * RegData[[#This Row],[StudyHours]]</f>
        <v>79.206084239783507</v>
      </c>
      <c r="M76" s="13">
        <f>RegData[[#This Row],[Score]]-RegData[[#This Row],[Predicted_Score]]</f>
        <v>1.4939157602164954</v>
      </c>
    </row>
    <row r="77" spans="1:13" x14ac:dyDescent="0.25">
      <c r="A77" s="3">
        <v>75</v>
      </c>
      <c r="B77" s="2" t="s">
        <v>89</v>
      </c>
      <c r="C77" s="2" t="s">
        <v>17</v>
      </c>
      <c r="D77" s="2">
        <v>4.4000000000000004</v>
      </c>
      <c r="E77" s="2">
        <v>58.6</v>
      </c>
      <c r="F77" s="2">
        <v>0</v>
      </c>
      <c r="G77" s="2">
        <v>1</v>
      </c>
      <c r="H77" s="17">
        <v>28200</v>
      </c>
      <c r="I77" s="2">
        <v>61.6</v>
      </c>
      <c r="J77" s="2">
        <v>1</v>
      </c>
      <c r="K77" s="4">
        <v>0</v>
      </c>
      <c r="L77" s="13">
        <f>SimpleReg!$I$3 + SimpleReg!$I$2 * RegData[[#This Row],[StudyHours]]</f>
        <v>76.843432076319459</v>
      </c>
      <c r="M77" s="13">
        <f>RegData[[#This Row],[Score]]-RegData[[#This Row],[Predicted_Score]]</f>
        <v>-15.243432076319458</v>
      </c>
    </row>
    <row r="78" spans="1:13" x14ac:dyDescent="0.25">
      <c r="A78" s="3">
        <v>76</v>
      </c>
      <c r="B78" s="2" t="s">
        <v>90</v>
      </c>
      <c r="C78" s="2" t="s">
        <v>15</v>
      </c>
      <c r="D78" s="2">
        <v>4.0999999999999996</v>
      </c>
      <c r="E78" s="2">
        <v>68.8</v>
      </c>
      <c r="F78" s="2">
        <v>1</v>
      </c>
      <c r="G78" s="2">
        <v>0</v>
      </c>
      <c r="H78" s="17">
        <v>23600</v>
      </c>
      <c r="I78" s="2">
        <v>84.3</v>
      </c>
      <c r="J78" s="2">
        <v>1</v>
      </c>
      <c r="K78" s="4">
        <v>0</v>
      </c>
      <c r="L78" s="13">
        <f>SimpleReg!$I$3 + SimpleReg!$I$2 * RegData[[#This Row],[StudyHours]]</f>
        <v>75.425840778241025</v>
      </c>
      <c r="M78" s="13">
        <f>RegData[[#This Row],[Score]]-RegData[[#This Row],[Predicted_Score]]</f>
        <v>8.8741592217589726</v>
      </c>
    </row>
    <row r="79" spans="1:13" x14ac:dyDescent="0.25">
      <c r="A79" s="3">
        <v>77</v>
      </c>
      <c r="B79" s="2" t="s">
        <v>91</v>
      </c>
      <c r="C79" s="2" t="s">
        <v>12</v>
      </c>
      <c r="D79" s="2">
        <v>4.5</v>
      </c>
      <c r="E79" s="2">
        <v>87.8</v>
      </c>
      <c r="F79" s="2">
        <v>0</v>
      </c>
      <c r="G79" s="2">
        <v>0</v>
      </c>
      <c r="H79" s="17">
        <v>22200</v>
      </c>
      <c r="I79" s="2">
        <v>82.4</v>
      </c>
      <c r="J79" s="2">
        <v>1</v>
      </c>
      <c r="K79" s="4">
        <v>1</v>
      </c>
      <c r="L79" s="13">
        <f>SimpleReg!$I$3 + SimpleReg!$I$2 * RegData[[#This Row],[StudyHours]]</f>
        <v>77.315962509012266</v>
      </c>
      <c r="M79" s="13">
        <f>RegData[[#This Row],[Score]]-RegData[[#This Row],[Predicted_Score]]</f>
        <v>5.0840374909877397</v>
      </c>
    </row>
    <row r="80" spans="1:13" x14ac:dyDescent="0.25">
      <c r="A80" s="3">
        <v>78</v>
      </c>
      <c r="B80" s="2" t="s">
        <v>92</v>
      </c>
      <c r="C80" s="2" t="s">
        <v>15</v>
      </c>
      <c r="D80" s="2">
        <v>6.5</v>
      </c>
      <c r="E80" s="2">
        <v>87</v>
      </c>
      <c r="F80" s="2">
        <v>1</v>
      </c>
      <c r="G80" s="2">
        <v>0</v>
      </c>
      <c r="H80" s="17">
        <v>56000</v>
      </c>
      <c r="I80" s="2">
        <v>86</v>
      </c>
      <c r="J80" s="2">
        <v>1</v>
      </c>
      <c r="K80" s="4">
        <v>0</v>
      </c>
      <c r="L80" s="13">
        <f>SimpleReg!$I$3 + SimpleReg!$I$2 * RegData[[#This Row],[StudyHours]]</f>
        <v>86.766571162868473</v>
      </c>
      <c r="M80" s="13">
        <f>RegData[[#This Row],[Score]]-RegData[[#This Row],[Predicted_Score]]</f>
        <v>-0.76657116286847327</v>
      </c>
    </row>
    <row r="81" spans="1:13" x14ac:dyDescent="0.25">
      <c r="A81" s="3">
        <v>79</v>
      </c>
      <c r="B81" s="2" t="s">
        <v>93</v>
      </c>
      <c r="C81" s="2" t="s">
        <v>27</v>
      </c>
      <c r="D81" s="2">
        <v>3.7</v>
      </c>
      <c r="E81" s="2">
        <v>71.3</v>
      </c>
      <c r="F81" s="2">
        <v>0</v>
      </c>
      <c r="G81" s="2">
        <v>0</v>
      </c>
      <c r="H81" s="17">
        <v>34600</v>
      </c>
      <c r="I81" s="2">
        <v>68.599999999999994</v>
      </c>
      <c r="J81" s="2">
        <v>1</v>
      </c>
      <c r="K81" s="4">
        <v>0</v>
      </c>
      <c r="L81" s="13">
        <f>SimpleReg!$I$3 + SimpleReg!$I$2 * RegData[[#This Row],[StudyHours]]</f>
        <v>73.535719047469783</v>
      </c>
      <c r="M81" s="13">
        <f>RegData[[#This Row],[Score]]-RegData[[#This Row],[Predicted_Score]]</f>
        <v>-4.9357190474697887</v>
      </c>
    </row>
    <row r="82" spans="1:13" x14ac:dyDescent="0.25">
      <c r="A82" s="5">
        <v>80</v>
      </c>
      <c r="B82" s="6" t="s">
        <v>94</v>
      </c>
      <c r="C82" s="6" t="s">
        <v>15</v>
      </c>
      <c r="D82" s="6">
        <v>2.6</v>
      </c>
      <c r="E82" s="6">
        <v>84.7</v>
      </c>
      <c r="F82" s="6">
        <v>1</v>
      </c>
      <c r="G82" s="6">
        <v>0</v>
      </c>
      <c r="H82" s="18">
        <v>25500</v>
      </c>
      <c r="I82" s="6">
        <v>66.599999999999994</v>
      </c>
      <c r="J82" s="6">
        <v>1</v>
      </c>
      <c r="K82" s="7">
        <v>0</v>
      </c>
      <c r="L82" s="14">
        <f>SimpleReg!$I$3 + SimpleReg!$I$2 * RegData[[#This Row],[StudyHours]]</f>
        <v>68.337884287848865</v>
      </c>
      <c r="M82" s="14">
        <f>RegData[[#This Row],[Score]]-RegData[[#This Row],[Predicted_Score]]</f>
        <v>-1.7378842878488712</v>
      </c>
    </row>
  </sheetData>
  <mergeCells count="1">
    <mergeCell ref="A1:M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C7D6-A7C9-4228-8B7D-6962068EC02C}">
  <dimension ref="H1:N5"/>
  <sheetViews>
    <sheetView zoomScaleNormal="100" workbookViewId="0">
      <selection activeCell="M7" sqref="M7"/>
    </sheetView>
  </sheetViews>
  <sheetFormatPr defaultRowHeight="15" x14ac:dyDescent="0.25"/>
  <cols>
    <col min="1" max="7" width="9.140625" style="1"/>
    <col min="8" max="8" width="15.5703125" style="1" customWidth="1"/>
    <col min="9" max="9" width="17" style="1" customWidth="1"/>
    <col min="10" max="10" width="18.140625" style="1" customWidth="1"/>
    <col min="11" max="16384" width="9.140625" style="1"/>
  </cols>
  <sheetData>
    <row r="1" spans="8:14" ht="15.75" thickBot="1" x14ac:dyDescent="0.3">
      <c r="H1" s="25" t="s">
        <v>95</v>
      </c>
      <c r="I1" s="25"/>
      <c r="J1" s="25"/>
    </row>
    <row r="2" spans="8:14" x14ac:dyDescent="0.25">
      <c r="H2" s="26" t="s">
        <v>96</v>
      </c>
      <c r="I2" s="27">
        <f>SLOPE(RegData[Score],RegData[StudyHours])</f>
        <v>4.7253043269281019</v>
      </c>
      <c r="M2" s="23" t="s">
        <v>103</v>
      </c>
      <c r="N2" s="23"/>
    </row>
    <row r="3" spans="8:14" x14ac:dyDescent="0.25">
      <c r="H3" s="26" t="s">
        <v>97</v>
      </c>
      <c r="I3" s="27">
        <f>INTERCEPT(RegData[Score],RegData[StudyHours])</f>
        <v>56.052093037835803</v>
      </c>
      <c r="M3" s="1" t="s">
        <v>104</v>
      </c>
      <c r="N3" s="1" t="s">
        <v>105</v>
      </c>
    </row>
    <row r="4" spans="8:14" x14ac:dyDescent="0.25">
      <c r="H4" s="26" t="s">
        <v>98</v>
      </c>
      <c r="I4" s="27">
        <f>RSQ(RegData[Score],RegData[StudyHours])</f>
        <v>0.62439011993411087</v>
      </c>
      <c r="M4" s="24">
        <f>_xlfn.FORECAST.LINEAR(E2, RegData[Score], RegData[StudyHours])</f>
        <v>56.052093037835803</v>
      </c>
      <c r="N4" s="24">
        <f>I$3 + I$2 * E2</f>
        <v>56.052093037835803</v>
      </c>
    </row>
    <row r="5" spans="8:14" x14ac:dyDescent="0.25">
      <c r="H5" s="26" t="s">
        <v>99</v>
      </c>
      <c r="I5" s="27">
        <f>CORREL(RegData[Score],RegData[StudyHours])</f>
        <v>0.79018359887693856</v>
      </c>
    </row>
  </sheetData>
  <mergeCells count="2">
    <mergeCell ref="H1:J1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0704-1A6F-4C99-944B-9E75B615D385}">
  <dimension ref="A1:I104"/>
  <sheetViews>
    <sheetView topLeftCell="A12" workbookViewId="0">
      <selection activeCell="E26" sqref="E26"/>
    </sheetView>
  </sheetViews>
  <sheetFormatPr defaultRowHeight="15" x14ac:dyDescent="0.25"/>
  <cols>
    <col min="1" max="1" width="18" bestFit="1" customWidth="1"/>
    <col min="2" max="2" width="15" bestFit="1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</cols>
  <sheetData>
    <row r="1" spans="1:9" x14ac:dyDescent="0.25">
      <c r="A1" t="s">
        <v>106</v>
      </c>
    </row>
    <row r="2" spans="1:9" ht="15.75" thickBot="1" x14ac:dyDescent="0.3"/>
    <row r="3" spans="1:9" x14ac:dyDescent="0.25">
      <c r="A3" s="31" t="s">
        <v>107</v>
      </c>
      <c r="B3" s="31"/>
    </row>
    <row r="4" spans="1:9" x14ac:dyDescent="0.25">
      <c r="A4" s="28" t="s">
        <v>108</v>
      </c>
      <c r="B4" s="32">
        <v>0.79018359887693868</v>
      </c>
    </row>
    <row r="5" spans="1:9" x14ac:dyDescent="0.25">
      <c r="A5" s="28" t="s">
        <v>109</v>
      </c>
      <c r="B5" s="32">
        <v>0.62439011993411064</v>
      </c>
    </row>
    <row r="6" spans="1:9" x14ac:dyDescent="0.25">
      <c r="A6" s="28" t="s">
        <v>110</v>
      </c>
      <c r="B6" s="32">
        <v>0.61957460865121461</v>
      </c>
    </row>
    <row r="7" spans="1:9" x14ac:dyDescent="0.25">
      <c r="A7" s="28" t="s">
        <v>111</v>
      </c>
      <c r="B7" s="32">
        <v>7.1764681517213891</v>
      </c>
    </row>
    <row r="8" spans="1:9" ht="15.75" thickBot="1" x14ac:dyDescent="0.3">
      <c r="A8" s="29" t="s">
        <v>112</v>
      </c>
      <c r="B8" s="29">
        <v>80</v>
      </c>
    </row>
    <row r="10" spans="1:9" ht="15.75" thickBot="1" x14ac:dyDescent="0.3">
      <c r="A10" t="s">
        <v>113</v>
      </c>
    </row>
    <row r="11" spans="1:9" x14ac:dyDescent="0.25">
      <c r="A11" s="30"/>
      <c r="B11" s="30" t="s">
        <v>117</v>
      </c>
      <c r="C11" s="30" t="s">
        <v>118</v>
      </c>
      <c r="D11" s="30" t="s">
        <v>119</v>
      </c>
      <c r="E11" s="30" t="s">
        <v>120</v>
      </c>
      <c r="F11" s="30" t="s">
        <v>121</v>
      </c>
    </row>
    <row r="12" spans="1:9" x14ac:dyDescent="0.25">
      <c r="A12" s="28" t="s">
        <v>114</v>
      </c>
      <c r="B12" s="28">
        <v>1</v>
      </c>
      <c r="C12" s="32">
        <v>6677.8266546516325</v>
      </c>
      <c r="D12" s="32">
        <v>6677.8266546516325</v>
      </c>
      <c r="E12" s="32">
        <v>129.66226912432992</v>
      </c>
      <c r="F12" s="32">
        <v>2.9397338534216452E-18</v>
      </c>
    </row>
    <row r="13" spans="1:9" x14ac:dyDescent="0.25">
      <c r="A13" s="28" t="s">
        <v>101</v>
      </c>
      <c r="B13" s="28">
        <v>78</v>
      </c>
      <c r="C13" s="32">
        <v>4017.1322203483696</v>
      </c>
      <c r="D13" s="32">
        <v>51.501695132671408</v>
      </c>
      <c r="E13" s="28"/>
      <c r="F13" s="28"/>
    </row>
    <row r="14" spans="1:9" ht="15.75" thickBot="1" x14ac:dyDescent="0.3">
      <c r="A14" s="29" t="s">
        <v>115</v>
      </c>
      <c r="B14" s="29">
        <v>79</v>
      </c>
      <c r="C14" s="33">
        <v>10694.958875000002</v>
      </c>
      <c r="D14" s="29"/>
      <c r="E14" s="29"/>
      <c r="F14" s="29"/>
    </row>
    <row r="15" spans="1:9" ht="15.75" thickBot="1" x14ac:dyDescent="0.3"/>
    <row r="16" spans="1:9" x14ac:dyDescent="0.25">
      <c r="A16" s="30"/>
      <c r="B16" s="30" t="s">
        <v>122</v>
      </c>
      <c r="C16" s="30" t="s">
        <v>111</v>
      </c>
      <c r="D16" s="30" t="s">
        <v>123</v>
      </c>
      <c r="E16" s="30" t="s">
        <v>124</v>
      </c>
      <c r="F16" s="30" t="s">
        <v>125</v>
      </c>
      <c r="G16" s="30" t="s">
        <v>126</v>
      </c>
      <c r="H16" s="30" t="s">
        <v>127</v>
      </c>
      <c r="I16" s="30" t="s">
        <v>128</v>
      </c>
    </row>
    <row r="17" spans="1:9" x14ac:dyDescent="0.25">
      <c r="A17" s="28" t="s">
        <v>116</v>
      </c>
      <c r="B17" s="32">
        <v>56.052093037835817</v>
      </c>
      <c r="C17" s="32">
        <v>2.1980266265881845</v>
      </c>
      <c r="D17" s="32">
        <v>25.501098285074399</v>
      </c>
      <c r="E17" s="32">
        <v>1.3800590510129892E-39</v>
      </c>
      <c r="F17" s="32">
        <v>51.67615817112268</v>
      </c>
      <c r="G17" s="32">
        <v>60.428027904548955</v>
      </c>
      <c r="H17" s="32">
        <v>51.67615817112268</v>
      </c>
      <c r="I17" s="32">
        <v>60.428027904548955</v>
      </c>
    </row>
    <row r="18" spans="1:9" ht="15.75" thickBot="1" x14ac:dyDescent="0.3">
      <c r="A18" s="29" t="s">
        <v>3</v>
      </c>
      <c r="B18" s="33">
        <v>4.7253043269281001</v>
      </c>
      <c r="C18" s="33">
        <v>0.41497599516661948</v>
      </c>
      <c r="D18" s="33">
        <v>11.386934140686416</v>
      </c>
      <c r="E18" s="33">
        <v>2.9397338534216452E-18</v>
      </c>
      <c r="F18" s="33">
        <v>3.8991505833234208</v>
      </c>
      <c r="G18" s="33">
        <v>5.551458070532779</v>
      </c>
      <c r="H18" s="33">
        <v>3.8991505833234208</v>
      </c>
      <c r="I18" s="33">
        <v>5.551458070532779</v>
      </c>
    </row>
    <row r="22" spans="1:9" x14ac:dyDescent="0.25">
      <c r="A22" t="s">
        <v>129</v>
      </c>
    </row>
    <row r="23" spans="1:9" ht="15.75" thickBot="1" x14ac:dyDescent="0.3"/>
    <row r="24" spans="1:9" x14ac:dyDescent="0.25">
      <c r="A24" s="30" t="s">
        <v>130</v>
      </c>
      <c r="B24" s="30" t="s">
        <v>131</v>
      </c>
      <c r="C24" s="30" t="s">
        <v>132</v>
      </c>
    </row>
    <row r="25" spans="1:9" x14ac:dyDescent="0.25">
      <c r="A25" s="28">
        <v>1</v>
      </c>
      <c r="B25" s="32">
        <v>87.23910159556128</v>
      </c>
      <c r="C25" s="32">
        <v>7.7608984044387199</v>
      </c>
    </row>
    <row r="26" spans="1:9" x14ac:dyDescent="0.25">
      <c r="A26" s="28">
        <v>2</v>
      </c>
      <c r="B26" s="32">
        <v>82.98632770132599</v>
      </c>
      <c r="C26" s="32">
        <v>-2.1863277013259932</v>
      </c>
    </row>
    <row r="27" spans="1:9" x14ac:dyDescent="0.25">
      <c r="A27" s="28">
        <v>3</v>
      </c>
      <c r="B27" s="32">
        <v>77.315962509012266</v>
      </c>
      <c r="C27" s="32">
        <v>8.9840374909877312</v>
      </c>
    </row>
    <row r="28" spans="1:9" x14ac:dyDescent="0.25">
      <c r="A28" s="28">
        <v>4</v>
      </c>
      <c r="B28" s="32">
        <v>82.041266835940377</v>
      </c>
      <c r="C28" s="32">
        <v>-0.54126683594037672</v>
      </c>
    </row>
    <row r="29" spans="1:9" x14ac:dyDescent="0.25">
      <c r="A29" s="28">
        <v>5</v>
      </c>
      <c r="B29" s="32">
        <v>76.843432076319459</v>
      </c>
      <c r="C29" s="32">
        <v>8.0565679236805465</v>
      </c>
    </row>
    <row r="30" spans="1:9" x14ac:dyDescent="0.25">
      <c r="A30" s="28">
        <v>6</v>
      </c>
      <c r="B30" s="32">
        <v>83.458858134018797</v>
      </c>
      <c r="C30" s="32">
        <v>-5.6588581340188</v>
      </c>
    </row>
    <row r="31" spans="1:9" x14ac:dyDescent="0.25">
      <c r="A31" s="28">
        <v>7</v>
      </c>
      <c r="B31" s="32">
        <v>78.261023374397894</v>
      </c>
      <c r="C31" s="32">
        <v>-6.9610233743978966</v>
      </c>
    </row>
    <row r="32" spans="1:9" x14ac:dyDescent="0.25">
      <c r="A32" s="28">
        <v>8</v>
      </c>
      <c r="B32" s="32">
        <v>85.821510297482845</v>
      </c>
      <c r="C32" s="32">
        <v>-15.721510297482851</v>
      </c>
    </row>
    <row r="33" spans="1:3" x14ac:dyDescent="0.25">
      <c r="A33" s="28">
        <v>9</v>
      </c>
      <c r="B33" s="32">
        <v>86.294040730175652</v>
      </c>
      <c r="C33" s="32">
        <v>0.9059592698243506</v>
      </c>
    </row>
    <row r="34" spans="1:3" x14ac:dyDescent="0.25">
      <c r="A34" s="28">
        <v>10</v>
      </c>
      <c r="B34" s="32">
        <v>85.821510297482845</v>
      </c>
      <c r="C34" s="32">
        <v>-2.7215102974828511</v>
      </c>
    </row>
    <row r="35" spans="1:3" x14ac:dyDescent="0.25">
      <c r="A35" s="28">
        <v>11</v>
      </c>
      <c r="B35" s="32">
        <v>81.568736403247556</v>
      </c>
      <c r="C35" s="32">
        <v>-5.16873640324755</v>
      </c>
    </row>
    <row r="36" spans="1:3" x14ac:dyDescent="0.25">
      <c r="A36" s="28">
        <v>12</v>
      </c>
      <c r="B36" s="32">
        <v>86.766571162868473</v>
      </c>
      <c r="C36" s="32">
        <v>8.0334288371315239</v>
      </c>
    </row>
    <row r="37" spans="1:3" x14ac:dyDescent="0.25">
      <c r="A37" s="28">
        <v>13</v>
      </c>
      <c r="B37" s="32">
        <v>72.118127749391363</v>
      </c>
      <c r="C37" s="32">
        <v>-16.91812774939136</v>
      </c>
    </row>
    <row r="38" spans="1:3" x14ac:dyDescent="0.25">
      <c r="A38" s="28">
        <v>14</v>
      </c>
      <c r="B38" s="32">
        <v>80.151145105169121</v>
      </c>
      <c r="C38" s="32">
        <v>3.7488548948308846</v>
      </c>
    </row>
    <row r="39" spans="1:3" x14ac:dyDescent="0.25">
      <c r="A39" s="28">
        <v>15</v>
      </c>
      <c r="B39" s="32">
        <v>97.634771114803101</v>
      </c>
      <c r="C39" s="32">
        <v>2.365228885196899</v>
      </c>
    </row>
    <row r="40" spans="1:3" x14ac:dyDescent="0.25">
      <c r="A40" s="28">
        <v>16</v>
      </c>
      <c r="B40" s="32">
        <v>88.656692893639701</v>
      </c>
      <c r="C40" s="32">
        <v>-3.1566928936397005</v>
      </c>
    </row>
    <row r="41" spans="1:3" x14ac:dyDescent="0.25">
      <c r="A41" s="28">
        <v>17</v>
      </c>
      <c r="B41" s="32">
        <v>78.733553807090701</v>
      </c>
      <c r="C41" s="32">
        <v>-3.1335538070907063</v>
      </c>
    </row>
    <row r="42" spans="1:3" x14ac:dyDescent="0.25">
      <c r="A42" s="28">
        <v>18</v>
      </c>
      <c r="B42" s="32">
        <v>91.019345057103763</v>
      </c>
      <c r="C42" s="32">
        <v>0.18065494289623985</v>
      </c>
    </row>
    <row r="43" spans="1:3" x14ac:dyDescent="0.25">
      <c r="A43" s="28">
        <v>19</v>
      </c>
      <c r="B43" s="32">
        <v>67.865353855156073</v>
      </c>
      <c r="C43" s="32">
        <v>-1.8653538551560729</v>
      </c>
    </row>
    <row r="44" spans="1:3" x14ac:dyDescent="0.25">
      <c r="A44" s="28">
        <v>20</v>
      </c>
      <c r="B44" s="32">
        <v>91.49187548979657</v>
      </c>
      <c r="C44" s="32">
        <v>-8.0918754897965641</v>
      </c>
    </row>
    <row r="45" spans="1:3" x14ac:dyDescent="0.25">
      <c r="A45" s="28">
        <v>21</v>
      </c>
      <c r="B45" s="32">
        <v>76.843432076319459</v>
      </c>
      <c r="C45" s="32">
        <v>-5.8434320763194592</v>
      </c>
    </row>
    <row r="46" spans="1:3" x14ac:dyDescent="0.25">
      <c r="A46" s="28">
        <v>22</v>
      </c>
      <c r="B46" s="32">
        <v>87.23910159556128</v>
      </c>
      <c r="C46" s="32">
        <v>4.4608984044387228</v>
      </c>
    </row>
    <row r="47" spans="1:3" x14ac:dyDescent="0.25">
      <c r="A47" s="28">
        <v>23</v>
      </c>
      <c r="B47" s="32">
        <v>78.733553807090701</v>
      </c>
      <c r="C47" s="32">
        <v>12.866446192909294</v>
      </c>
    </row>
    <row r="48" spans="1:3" x14ac:dyDescent="0.25">
      <c r="A48" s="28">
        <v>24</v>
      </c>
      <c r="B48" s="32">
        <v>75.425840778241025</v>
      </c>
      <c r="C48" s="32">
        <v>-0.12584077824102735</v>
      </c>
    </row>
    <row r="49" spans="1:3" x14ac:dyDescent="0.25">
      <c r="A49" s="28">
        <v>25</v>
      </c>
      <c r="B49" s="32">
        <v>63.612579960920776</v>
      </c>
      <c r="C49" s="32">
        <v>-1.3125799609207789</v>
      </c>
    </row>
    <row r="50" spans="1:3" x14ac:dyDescent="0.25">
      <c r="A50" s="28">
        <v>26</v>
      </c>
      <c r="B50" s="32">
        <v>101.41501457634558</v>
      </c>
      <c r="C50" s="32">
        <v>-8.7150145763455811</v>
      </c>
    </row>
    <row r="51" spans="1:3" x14ac:dyDescent="0.25">
      <c r="A51" s="28">
        <v>27</v>
      </c>
      <c r="B51" s="32">
        <v>97.634771114803101</v>
      </c>
      <c r="C51" s="32">
        <v>0.365228885196899</v>
      </c>
    </row>
    <row r="52" spans="1:3" x14ac:dyDescent="0.25">
      <c r="A52" s="28">
        <v>28</v>
      </c>
      <c r="B52" s="32">
        <v>94.327058085953425</v>
      </c>
      <c r="C52" s="32">
        <v>-6.6270580859534221</v>
      </c>
    </row>
    <row r="53" spans="1:3" x14ac:dyDescent="0.25">
      <c r="A53" s="28">
        <v>29</v>
      </c>
      <c r="B53" s="32">
        <v>72.590658182084169</v>
      </c>
      <c r="C53" s="32">
        <v>-9.0906581820841694</v>
      </c>
    </row>
    <row r="54" spans="1:3" x14ac:dyDescent="0.25">
      <c r="A54" s="28">
        <v>30</v>
      </c>
      <c r="B54" s="32">
        <v>65.030171258999204</v>
      </c>
      <c r="C54" s="32">
        <v>5.5698287410007907</v>
      </c>
    </row>
    <row r="55" spans="1:3" x14ac:dyDescent="0.25">
      <c r="A55" s="28">
        <v>31</v>
      </c>
      <c r="B55" s="32">
        <v>73.535719047469797</v>
      </c>
      <c r="C55" s="32">
        <v>-6.3357190474697944</v>
      </c>
    </row>
    <row r="56" spans="1:3" x14ac:dyDescent="0.25">
      <c r="A56" s="28">
        <v>32</v>
      </c>
      <c r="B56" s="32">
        <v>73.063188614776976</v>
      </c>
      <c r="C56" s="32">
        <v>9.6368113852230266</v>
      </c>
    </row>
    <row r="57" spans="1:3" x14ac:dyDescent="0.25">
      <c r="A57" s="28">
        <v>33</v>
      </c>
      <c r="B57" s="32">
        <v>74.953310345548218</v>
      </c>
      <c r="C57" s="32">
        <v>-7.553310345548212</v>
      </c>
    </row>
    <row r="58" spans="1:3" x14ac:dyDescent="0.25">
      <c r="A58" s="28">
        <v>34</v>
      </c>
      <c r="B58" s="32">
        <v>80.623675537861942</v>
      </c>
      <c r="C58" s="32">
        <v>9.0763244621380608</v>
      </c>
    </row>
    <row r="59" spans="1:3" x14ac:dyDescent="0.25">
      <c r="A59" s="28">
        <v>35</v>
      </c>
      <c r="B59" s="32">
        <v>70.228006018620121</v>
      </c>
      <c r="C59" s="32">
        <v>-14.928006018620124</v>
      </c>
    </row>
    <row r="60" spans="1:3" x14ac:dyDescent="0.25">
      <c r="A60" s="28">
        <v>36</v>
      </c>
      <c r="B60" s="32">
        <v>87.711632028254087</v>
      </c>
      <c r="C60" s="32">
        <v>4.988367971745916</v>
      </c>
    </row>
    <row r="61" spans="1:3" x14ac:dyDescent="0.25">
      <c r="A61" s="28">
        <v>37</v>
      </c>
      <c r="B61" s="32">
        <v>66.920292989770445</v>
      </c>
      <c r="C61" s="32">
        <v>-6.0202929897704465</v>
      </c>
    </row>
    <row r="62" spans="1:3" x14ac:dyDescent="0.25">
      <c r="A62" s="28">
        <v>38</v>
      </c>
      <c r="B62" s="32">
        <v>84.403918999404425</v>
      </c>
      <c r="C62" s="32">
        <v>3.8960810005955722</v>
      </c>
    </row>
    <row r="63" spans="1:3" x14ac:dyDescent="0.25">
      <c r="A63" s="28">
        <v>39</v>
      </c>
      <c r="B63" s="32">
        <v>78.261023374397894</v>
      </c>
      <c r="C63" s="32">
        <v>-4.561023374397891</v>
      </c>
    </row>
    <row r="64" spans="1:3" x14ac:dyDescent="0.25">
      <c r="A64" s="28">
        <v>40</v>
      </c>
      <c r="B64" s="32">
        <v>76.843432076319459</v>
      </c>
      <c r="C64" s="32">
        <v>-3.6434320763194563</v>
      </c>
    </row>
    <row r="65" spans="1:3" x14ac:dyDescent="0.25">
      <c r="A65" s="28">
        <v>41</v>
      </c>
      <c r="B65" s="32">
        <v>96.217179816724666</v>
      </c>
      <c r="C65" s="32">
        <v>-2.617179816724672</v>
      </c>
    </row>
    <row r="66" spans="1:3" x14ac:dyDescent="0.25">
      <c r="A66" s="28">
        <v>42</v>
      </c>
      <c r="B66" s="32">
        <v>76.843432076319459</v>
      </c>
      <c r="C66" s="32">
        <v>13.556567923680547</v>
      </c>
    </row>
    <row r="67" spans="1:3" x14ac:dyDescent="0.25">
      <c r="A67" s="28">
        <v>43</v>
      </c>
      <c r="B67" s="32">
        <v>82.041266835940377</v>
      </c>
      <c r="C67" s="32">
        <v>3.2587331640596204</v>
      </c>
    </row>
    <row r="68" spans="1:3" x14ac:dyDescent="0.25">
      <c r="A68" s="28">
        <v>44</v>
      </c>
      <c r="B68" s="32">
        <v>65.50270169169201</v>
      </c>
      <c r="C68" s="32">
        <v>0.19729830830799244</v>
      </c>
    </row>
    <row r="69" spans="1:3" x14ac:dyDescent="0.25">
      <c r="A69" s="28">
        <v>45</v>
      </c>
      <c r="B69" s="32">
        <v>69.282945153234493</v>
      </c>
      <c r="C69" s="32">
        <v>-6.6829451532344919</v>
      </c>
    </row>
    <row r="70" spans="1:3" x14ac:dyDescent="0.25">
      <c r="A70" s="28">
        <v>46</v>
      </c>
      <c r="B70" s="32">
        <v>61.249927797456728</v>
      </c>
      <c r="C70" s="32">
        <v>10.150072202543278</v>
      </c>
    </row>
    <row r="71" spans="1:3" x14ac:dyDescent="0.25">
      <c r="A71" s="28">
        <v>47</v>
      </c>
      <c r="B71" s="32">
        <v>84.876449432097218</v>
      </c>
      <c r="C71" s="32">
        <v>0.6235505679027824</v>
      </c>
    </row>
    <row r="72" spans="1:3" x14ac:dyDescent="0.25">
      <c r="A72" s="28">
        <v>48</v>
      </c>
      <c r="B72" s="32">
        <v>85.348979864790039</v>
      </c>
      <c r="C72" s="32">
        <v>-6.5489798647900415</v>
      </c>
    </row>
    <row r="73" spans="1:3" x14ac:dyDescent="0.25">
      <c r="A73" s="28">
        <v>49</v>
      </c>
      <c r="B73" s="32">
        <v>69.755475585927314</v>
      </c>
      <c r="C73" s="32">
        <v>-7.2554755859273143</v>
      </c>
    </row>
    <row r="74" spans="1:3" x14ac:dyDescent="0.25">
      <c r="A74" s="28">
        <v>50</v>
      </c>
      <c r="B74" s="32">
        <v>80.151145105169121</v>
      </c>
      <c r="C74" s="32">
        <v>-2.2511451051691154</v>
      </c>
    </row>
    <row r="75" spans="1:3" x14ac:dyDescent="0.25">
      <c r="A75" s="28">
        <v>51</v>
      </c>
      <c r="B75" s="32">
        <v>79.678614672476314</v>
      </c>
      <c r="C75" s="32">
        <v>4.6213853275236829</v>
      </c>
    </row>
    <row r="76" spans="1:3" x14ac:dyDescent="0.25">
      <c r="A76" s="28">
        <v>52</v>
      </c>
      <c r="B76" s="32">
        <v>85.348979864790039</v>
      </c>
      <c r="C76" s="32">
        <v>10.951020135209959</v>
      </c>
    </row>
    <row r="77" spans="1:3" x14ac:dyDescent="0.25">
      <c r="A77" s="28">
        <v>53</v>
      </c>
      <c r="B77" s="32">
        <v>86.294040730175652</v>
      </c>
      <c r="C77" s="32">
        <v>2.8059592698243421</v>
      </c>
    </row>
    <row r="78" spans="1:3" x14ac:dyDescent="0.25">
      <c r="A78" s="28">
        <v>54</v>
      </c>
      <c r="B78" s="32">
        <v>58.414745201299866</v>
      </c>
      <c r="C78" s="32">
        <v>-6.8147452012998642</v>
      </c>
    </row>
    <row r="79" spans="1:3" x14ac:dyDescent="0.25">
      <c r="A79" s="28">
        <v>55</v>
      </c>
      <c r="B79" s="32">
        <v>75.425840778241025</v>
      </c>
      <c r="C79" s="32">
        <v>2.9741592217589812</v>
      </c>
    </row>
    <row r="80" spans="1:3" x14ac:dyDescent="0.25">
      <c r="A80" s="28">
        <v>56</v>
      </c>
      <c r="B80" s="32">
        <v>89.129223326332522</v>
      </c>
      <c r="C80" s="32">
        <v>10.470776673667473</v>
      </c>
    </row>
    <row r="81" spans="1:3" x14ac:dyDescent="0.25">
      <c r="A81" s="28">
        <v>57</v>
      </c>
      <c r="B81" s="32">
        <v>83.458858134018797</v>
      </c>
      <c r="C81" s="32">
        <v>10.041141865981203</v>
      </c>
    </row>
    <row r="82" spans="1:3" x14ac:dyDescent="0.25">
      <c r="A82" s="28">
        <v>58</v>
      </c>
      <c r="B82" s="32">
        <v>82.041266835940377</v>
      </c>
      <c r="C82" s="32">
        <v>-2.8412668359403739</v>
      </c>
    </row>
    <row r="83" spans="1:3" x14ac:dyDescent="0.25">
      <c r="A83" s="28">
        <v>59</v>
      </c>
      <c r="B83" s="32">
        <v>81.568736403247556</v>
      </c>
      <c r="C83" s="32">
        <v>4.9312635967524443</v>
      </c>
    </row>
    <row r="84" spans="1:3" x14ac:dyDescent="0.25">
      <c r="A84" s="28">
        <v>60</v>
      </c>
      <c r="B84" s="32">
        <v>78.261023374397894</v>
      </c>
      <c r="C84" s="32">
        <v>1.5389766256021034</v>
      </c>
    </row>
    <row r="85" spans="1:3" x14ac:dyDescent="0.25">
      <c r="A85" s="28">
        <v>61</v>
      </c>
      <c r="B85" s="32">
        <v>62.667519095535155</v>
      </c>
      <c r="C85" s="32">
        <v>-5.2675190955351567</v>
      </c>
    </row>
    <row r="86" spans="1:3" x14ac:dyDescent="0.25">
      <c r="A86" s="28">
        <v>62</v>
      </c>
      <c r="B86" s="32">
        <v>72.590658182084169</v>
      </c>
      <c r="C86" s="32">
        <v>-3.2906581820841723</v>
      </c>
    </row>
    <row r="87" spans="1:3" x14ac:dyDescent="0.25">
      <c r="A87" s="28">
        <v>63</v>
      </c>
      <c r="B87" s="32">
        <v>81.568736403247556</v>
      </c>
      <c r="C87" s="32">
        <v>5.33126359675245</v>
      </c>
    </row>
    <row r="88" spans="1:3" x14ac:dyDescent="0.25">
      <c r="A88" s="28">
        <v>64</v>
      </c>
      <c r="B88" s="32">
        <v>68.810414720541687</v>
      </c>
      <c r="C88" s="32">
        <v>11.989585279458311</v>
      </c>
    </row>
    <row r="89" spans="1:3" x14ac:dyDescent="0.25">
      <c r="A89" s="28">
        <v>65</v>
      </c>
      <c r="B89" s="32">
        <v>96.689710249417473</v>
      </c>
      <c r="C89" s="32">
        <v>-7.2897102494174675</v>
      </c>
    </row>
    <row r="90" spans="1:3" x14ac:dyDescent="0.25">
      <c r="A90" s="28">
        <v>66</v>
      </c>
      <c r="B90" s="32">
        <v>68.810414720541687</v>
      </c>
      <c r="C90" s="32">
        <v>-4.8104147205416865</v>
      </c>
    </row>
    <row r="91" spans="1:3" x14ac:dyDescent="0.25">
      <c r="A91" s="28">
        <v>67</v>
      </c>
      <c r="B91" s="32">
        <v>77.788492941705073</v>
      </c>
      <c r="C91" s="32">
        <v>12.91150705829493</v>
      </c>
    </row>
    <row r="92" spans="1:3" x14ac:dyDescent="0.25">
      <c r="A92" s="28">
        <v>68</v>
      </c>
      <c r="B92" s="32">
        <v>82.513797268633169</v>
      </c>
      <c r="C92" s="32">
        <v>4.1862027313668335</v>
      </c>
    </row>
    <row r="93" spans="1:3" x14ac:dyDescent="0.25">
      <c r="A93" s="28">
        <v>69</v>
      </c>
      <c r="B93" s="32">
        <v>80.151145105169121</v>
      </c>
      <c r="C93" s="32">
        <v>4.2488548948308846</v>
      </c>
    </row>
    <row r="94" spans="1:3" x14ac:dyDescent="0.25">
      <c r="A94" s="28">
        <v>70</v>
      </c>
      <c r="B94" s="32">
        <v>87.23910159556128</v>
      </c>
      <c r="C94" s="32">
        <v>-9.6391015955612858</v>
      </c>
    </row>
    <row r="95" spans="1:3" x14ac:dyDescent="0.25">
      <c r="A95" s="28">
        <v>71</v>
      </c>
      <c r="B95" s="32">
        <v>58.414745201299866</v>
      </c>
      <c r="C95" s="32">
        <v>7.3852547987001316</v>
      </c>
    </row>
    <row r="96" spans="1:3" x14ac:dyDescent="0.25">
      <c r="A96" s="28">
        <v>72</v>
      </c>
      <c r="B96" s="32">
        <v>86.766571162868473</v>
      </c>
      <c r="C96" s="32">
        <v>3.0334288371315239</v>
      </c>
    </row>
    <row r="97" spans="1:3" x14ac:dyDescent="0.25">
      <c r="A97" s="28">
        <v>73</v>
      </c>
      <c r="B97" s="32">
        <v>74.480779912855411</v>
      </c>
      <c r="C97" s="32">
        <v>3.3192200871445863</v>
      </c>
    </row>
    <row r="98" spans="1:3" x14ac:dyDescent="0.25">
      <c r="A98" s="28">
        <v>74</v>
      </c>
      <c r="B98" s="32">
        <v>79.206084239783507</v>
      </c>
      <c r="C98" s="32">
        <v>1.4939157602164954</v>
      </c>
    </row>
    <row r="99" spans="1:3" x14ac:dyDescent="0.25">
      <c r="A99" s="28">
        <v>75</v>
      </c>
      <c r="B99" s="32">
        <v>76.843432076319459</v>
      </c>
      <c r="C99" s="32">
        <v>-15.243432076319458</v>
      </c>
    </row>
    <row r="100" spans="1:3" x14ac:dyDescent="0.25">
      <c r="A100" s="28">
        <v>76</v>
      </c>
      <c r="B100" s="32">
        <v>75.425840778241025</v>
      </c>
      <c r="C100" s="32">
        <v>8.8741592217589726</v>
      </c>
    </row>
    <row r="101" spans="1:3" x14ac:dyDescent="0.25">
      <c r="A101" s="28">
        <v>77</v>
      </c>
      <c r="B101" s="32">
        <v>77.315962509012266</v>
      </c>
      <c r="C101" s="32">
        <v>5.0840374909877397</v>
      </c>
    </row>
    <row r="102" spans="1:3" x14ac:dyDescent="0.25">
      <c r="A102" s="28">
        <v>78</v>
      </c>
      <c r="B102" s="32">
        <v>86.766571162868473</v>
      </c>
      <c r="C102" s="32">
        <v>-0.76657116286847327</v>
      </c>
    </row>
    <row r="103" spans="1:3" x14ac:dyDescent="0.25">
      <c r="A103" s="28">
        <v>79</v>
      </c>
      <c r="B103" s="32">
        <v>73.535719047469797</v>
      </c>
      <c r="C103" s="32">
        <v>-4.9357190474698029</v>
      </c>
    </row>
    <row r="104" spans="1:3" ht="15.75" thickBot="1" x14ac:dyDescent="0.3">
      <c r="A104" s="29">
        <v>80</v>
      </c>
      <c r="B104" s="33">
        <v>68.33788428784888</v>
      </c>
      <c r="C104" s="33">
        <v>-1.7378842878488854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ABB2-2738-4E7C-9292-A5BF8FEA6C70}">
  <dimension ref="A1:AE107"/>
  <sheetViews>
    <sheetView tabSelected="1" topLeftCell="I1" workbookViewId="0">
      <selection activeCell="AC16" sqref="AC16"/>
    </sheetView>
  </sheetViews>
  <sheetFormatPr defaultRowHeight="15" x14ac:dyDescent="0.25"/>
  <cols>
    <col min="1" max="1" width="18" bestFit="1" customWidth="1"/>
    <col min="2" max="2" width="15" bestFit="1" customWidth="1"/>
    <col min="3" max="3" width="14.5703125" bestFit="1" customWidth="1"/>
    <col min="4" max="4" width="7.5703125" bestFit="1" customWidth="1"/>
    <col min="5" max="5" width="8.140625" bestFit="1" customWidth="1"/>
    <col min="6" max="6" width="13.42578125" bestFit="1" customWidth="1"/>
    <col min="7" max="7" width="11" bestFit="1" customWidth="1"/>
    <col min="8" max="8" width="12.42578125" bestFit="1" customWidth="1"/>
    <col min="9" max="9" width="12.5703125" bestFit="1" customWidth="1"/>
    <col min="27" max="27" width="12.85546875" bestFit="1" customWidth="1"/>
    <col min="28" max="28" width="10.85546875" bestFit="1" customWidth="1"/>
    <col min="29" max="29" width="8" bestFit="1" customWidth="1"/>
    <col min="30" max="30" width="10.28515625" bestFit="1" customWidth="1"/>
    <col min="31" max="31" width="10.7109375" bestFit="1" customWidth="1"/>
  </cols>
  <sheetData>
    <row r="1" spans="1:31" x14ac:dyDescent="0.25">
      <c r="A1" t="s">
        <v>106</v>
      </c>
    </row>
    <row r="2" spans="1:31" ht="15.75" thickBot="1" x14ac:dyDescent="0.3"/>
    <row r="3" spans="1:31" x14ac:dyDescent="0.25">
      <c r="A3" s="31" t="s">
        <v>107</v>
      </c>
      <c r="B3" s="31"/>
    </row>
    <row r="4" spans="1:31" x14ac:dyDescent="0.25">
      <c r="A4" s="28" t="s">
        <v>108</v>
      </c>
      <c r="B4" s="32">
        <v>0.85586268321914183</v>
      </c>
    </row>
    <row r="5" spans="1:31" x14ac:dyDescent="0.25">
      <c r="A5" s="28" t="s">
        <v>109</v>
      </c>
      <c r="B5" s="32">
        <v>0.73250093252706905</v>
      </c>
      <c r="AA5" s="20" t="s">
        <v>138</v>
      </c>
      <c r="AB5" s="20"/>
      <c r="AC5" s="20"/>
      <c r="AD5" s="20"/>
      <c r="AE5" s="20"/>
    </row>
    <row r="6" spans="1:31" x14ac:dyDescent="0.25">
      <c r="A6" s="28" t="s">
        <v>110</v>
      </c>
      <c r="B6" s="32">
        <v>0.71823431559517936</v>
      </c>
      <c r="AA6" s="19" t="s">
        <v>133</v>
      </c>
      <c r="AB6" t="s">
        <v>134</v>
      </c>
      <c r="AC6" t="s">
        <v>135</v>
      </c>
      <c r="AD6" t="s">
        <v>136</v>
      </c>
      <c r="AE6" t="s">
        <v>137</v>
      </c>
    </row>
    <row r="7" spans="1:31" x14ac:dyDescent="0.25">
      <c r="A7" s="28" t="s">
        <v>111</v>
      </c>
      <c r="B7" s="32">
        <v>6.1761816960792713</v>
      </c>
      <c r="AA7" s="28" t="s">
        <v>116</v>
      </c>
      <c r="AB7" s="32">
        <v>36.659291834605256</v>
      </c>
      <c r="AC7" s="32">
        <v>1.1493054023781231E-10</v>
      </c>
      <c r="AE7" t="str">
        <f>IF(AC7="","", IF(AC7&gt;=0.05,"Drop","Keep"))</f>
        <v>Keep</v>
      </c>
    </row>
    <row r="8" spans="1:31" ht="15.75" thickBot="1" x14ac:dyDescent="0.3">
      <c r="A8" s="29" t="s">
        <v>112</v>
      </c>
      <c r="B8" s="29">
        <v>80</v>
      </c>
      <c r="AA8" s="28" t="s">
        <v>3</v>
      </c>
      <c r="AB8" s="32">
        <v>4.3443579440069859</v>
      </c>
      <c r="AC8" s="32">
        <v>2.1421160084775852E-18</v>
      </c>
      <c r="AE8" t="str">
        <f t="shared" ref="AE8:AE11" si="0">IF(AC8="","", IF(AC8&gt;=0.05,"Drop","Keep"))</f>
        <v>Keep</v>
      </c>
    </row>
    <row r="9" spans="1:31" x14ac:dyDescent="0.25">
      <c r="AA9" s="28" t="s">
        <v>4</v>
      </c>
      <c r="AB9" s="32">
        <v>0.271772435455572</v>
      </c>
      <c r="AC9" s="32">
        <v>3.0417718699630567E-5</v>
      </c>
      <c r="AE9" t="str">
        <f t="shared" si="0"/>
        <v>Keep</v>
      </c>
    </row>
    <row r="10" spans="1:31" ht="15.75" thickBot="1" x14ac:dyDescent="0.3">
      <c r="A10" t="s">
        <v>113</v>
      </c>
      <c r="AA10" s="28" t="s">
        <v>8</v>
      </c>
      <c r="AB10" s="32">
        <v>2.0040040777902965</v>
      </c>
      <c r="AC10" s="32">
        <v>0.21225018388383535</v>
      </c>
      <c r="AE10" t="str">
        <f t="shared" si="0"/>
        <v>Drop</v>
      </c>
    </row>
    <row r="11" spans="1:31" x14ac:dyDescent="0.25">
      <c r="A11" s="30"/>
      <c r="B11" s="30" t="s">
        <v>117</v>
      </c>
      <c r="C11" s="30" t="s">
        <v>118</v>
      </c>
      <c r="D11" s="30" t="s">
        <v>119</v>
      </c>
      <c r="E11" s="30" t="s">
        <v>120</v>
      </c>
      <c r="F11" s="30" t="s">
        <v>121</v>
      </c>
      <c r="AA11" s="28" t="s">
        <v>9</v>
      </c>
      <c r="AB11" s="32">
        <v>-5.0584125117926524</v>
      </c>
      <c r="AC11" s="32">
        <v>1.0797827039566265E-2</v>
      </c>
      <c r="AE11" t="str">
        <f t="shared" si="0"/>
        <v>Keep</v>
      </c>
    </row>
    <row r="12" spans="1:31" x14ac:dyDescent="0.25">
      <c r="A12" s="28" t="s">
        <v>114</v>
      </c>
      <c r="B12" s="28">
        <v>4</v>
      </c>
      <c r="C12" s="32">
        <v>7834.0673492761553</v>
      </c>
      <c r="D12" s="32">
        <v>1958.5168373190388</v>
      </c>
      <c r="E12" s="32">
        <v>51.343702296354259</v>
      </c>
      <c r="F12" s="32">
        <v>9.5269557035207231E-21</v>
      </c>
    </row>
    <row r="13" spans="1:31" x14ac:dyDescent="0.25">
      <c r="A13" s="28" t="s">
        <v>101</v>
      </c>
      <c r="B13" s="28">
        <v>75</v>
      </c>
      <c r="C13" s="32">
        <v>2860.8915257238468</v>
      </c>
      <c r="D13" s="32">
        <v>38.145220342984622</v>
      </c>
      <c r="E13" s="28"/>
      <c r="F13" s="28"/>
    </row>
    <row r="14" spans="1:31" ht="15.75" thickBot="1" x14ac:dyDescent="0.3">
      <c r="A14" s="29" t="s">
        <v>115</v>
      </c>
      <c r="B14" s="29">
        <v>79</v>
      </c>
      <c r="C14" s="33">
        <v>10694.958875000002</v>
      </c>
      <c r="D14" s="29"/>
      <c r="E14" s="29"/>
      <c r="F14" s="29"/>
    </row>
    <row r="15" spans="1:31" ht="15.75" thickBot="1" x14ac:dyDescent="0.3"/>
    <row r="16" spans="1:31" x14ac:dyDescent="0.25">
      <c r="A16" s="30"/>
      <c r="B16" s="30" t="s">
        <v>122</v>
      </c>
      <c r="C16" s="30" t="s">
        <v>111</v>
      </c>
      <c r="D16" s="30" t="s">
        <v>123</v>
      </c>
      <c r="E16" s="30" t="s">
        <v>124</v>
      </c>
      <c r="F16" s="30" t="s">
        <v>125</v>
      </c>
      <c r="G16" s="30" t="s">
        <v>126</v>
      </c>
      <c r="H16" s="30" t="s">
        <v>127</v>
      </c>
      <c r="I16" s="30" t="s">
        <v>128</v>
      </c>
    </row>
    <row r="17" spans="1:9" x14ac:dyDescent="0.25">
      <c r="A17" s="28" t="s">
        <v>116</v>
      </c>
      <c r="B17" s="32">
        <v>36.659291834605256</v>
      </c>
      <c r="C17" s="32">
        <v>4.8998652615978191</v>
      </c>
      <c r="D17" s="32">
        <v>7.481693858383947</v>
      </c>
      <c r="E17" s="32">
        <v>1.1493054023781231E-10</v>
      </c>
      <c r="F17" s="32">
        <v>26.898259692655486</v>
      </c>
      <c r="G17" s="32">
        <v>46.420323976555025</v>
      </c>
      <c r="H17" s="32">
        <v>26.898259692655486</v>
      </c>
      <c r="I17" s="32">
        <v>46.420323976555025</v>
      </c>
    </row>
    <row r="18" spans="1:9" x14ac:dyDescent="0.25">
      <c r="A18" s="28" t="s">
        <v>3</v>
      </c>
      <c r="B18" s="32">
        <v>4.3443579440069859</v>
      </c>
      <c r="C18" s="32">
        <v>0.37467444739603434</v>
      </c>
      <c r="D18" s="32">
        <v>11.595020621769169</v>
      </c>
      <c r="E18" s="32">
        <v>2.1421160084775852E-18</v>
      </c>
      <c r="F18" s="32">
        <v>3.5979681702997466</v>
      </c>
      <c r="G18" s="32">
        <v>5.0907477177142253</v>
      </c>
      <c r="H18" s="32">
        <v>3.5979681702997466</v>
      </c>
      <c r="I18" s="32">
        <v>5.0907477177142253</v>
      </c>
    </row>
    <row r="19" spans="1:9" x14ac:dyDescent="0.25">
      <c r="A19" s="28" t="s">
        <v>4</v>
      </c>
      <c r="B19" s="32">
        <v>0.271772435455572</v>
      </c>
      <c r="C19" s="32">
        <v>6.1204381356323639E-2</v>
      </c>
      <c r="D19" s="32">
        <v>4.4404081772079289</v>
      </c>
      <c r="E19" s="32">
        <v>3.0417718699630567E-5</v>
      </c>
      <c r="F19" s="32">
        <v>0.14984705552126509</v>
      </c>
      <c r="G19" s="32">
        <v>0.39369781538987891</v>
      </c>
      <c r="H19" s="32">
        <v>0.14984705552126509</v>
      </c>
      <c r="I19" s="32">
        <v>0.39369781538987891</v>
      </c>
    </row>
    <row r="20" spans="1:9" x14ac:dyDescent="0.25">
      <c r="A20" s="28" t="s">
        <v>8</v>
      </c>
      <c r="B20" s="32">
        <v>2.0040040777902965</v>
      </c>
      <c r="C20" s="32">
        <v>1.5928526385962334</v>
      </c>
      <c r="D20" s="32">
        <v>1.2581227096791623</v>
      </c>
      <c r="E20" s="32">
        <v>0.21225018388383535</v>
      </c>
      <c r="F20" s="32">
        <v>-1.1691210945654125</v>
      </c>
      <c r="G20" s="32">
        <v>5.177129250146006</v>
      </c>
      <c r="H20" s="32">
        <v>-1.1691210945654125</v>
      </c>
      <c r="I20" s="32">
        <v>5.177129250146006</v>
      </c>
    </row>
    <row r="21" spans="1:9" ht="15.75" thickBot="1" x14ac:dyDescent="0.3">
      <c r="A21" s="29" t="s">
        <v>9</v>
      </c>
      <c r="B21" s="33">
        <v>-5.0584125117926524</v>
      </c>
      <c r="C21" s="33">
        <v>1.9348136653298544</v>
      </c>
      <c r="D21" s="33">
        <v>-2.6144184333793583</v>
      </c>
      <c r="E21" s="33">
        <v>1.0797827039566265E-2</v>
      </c>
      <c r="F21" s="33">
        <v>-8.9127589820892261</v>
      </c>
      <c r="G21" s="33">
        <v>-1.2040660414960791</v>
      </c>
      <c r="H21" s="33">
        <v>-8.9127589820892261</v>
      </c>
      <c r="I21" s="33">
        <v>-1.2040660414960791</v>
      </c>
    </row>
    <row r="25" spans="1:9" x14ac:dyDescent="0.25">
      <c r="A25" t="s">
        <v>129</v>
      </c>
    </row>
    <row r="26" spans="1:9" ht="15.75" thickBot="1" x14ac:dyDescent="0.3"/>
    <row r="27" spans="1:9" x14ac:dyDescent="0.25">
      <c r="A27" s="30" t="s">
        <v>130</v>
      </c>
      <c r="B27" s="30" t="s">
        <v>131</v>
      </c>
      <c r="C27" s="30" t="s">
        <v>132</v>
      </c>
    </row>
    <row r="28" spans="1:9" x14ac:dyDescent="0.25">
      <c r="A28" s="28">
        <v>1</v>
      </c>
      <c r="B28" s="32">
        <v>86.937962883769345</v>
      </c>
      <c r="C28" s="32">
        <v>8.0620371162306554</v>
      </c>
    </row>
    <row r="29" spans="1:9" x14ac:dyDescent="0.25">
      <c r="A29" s="28">
        <v>2</v>
      </c>
      <c r="B29" s="32">
        <v>81.750710287521869</v>
      </c>
      <c r="C29" s="32">
        <v>-0.95071028752187203</v>
      </c>
    </row>
    <row r="30" spans="1:9" x14ac:dyDescent="0.25">
      <c r="A30" s="28">
        <v>3</v>
      </c>
      <c r="B30" s="32">
        <v>79.383979382416058</v>
      </c>
      <c r="C30" s="32">
        <v>6.9160206175839392</v>
      </c>
    </row>
    <row r="31" spans="1:9" x14ac:dyDescent="0.25">
      <c r="A31" s="28">
        <v>4</v>
      </c>
      <c r="B31" s="32">
        <v>80.959925217038119</v>
      </c>
      <c r="C31" s="32">
        <v>0.54007478296188083</v>
      </c>
    </row>
    <row r="32" spans="1:9" x14ac:dyDescent="0.25">
      <c r="A32" s="28">
        <v>5</v>
      </c>
      <c r="B32" s="32">
        <v>74.146283425032664</v>
      </c>
      <c r="C32" s="32">
        <v>10.753716574967342</v>
      </c>
    </row>
    <row r="33" spans="1:3" x14ac:dyDescent="0.25">
      <c r="A33" s="28">
        <v>6</v>
      </c>
      <c r="B33" s="32">
        <v>85.874139259537401</v>
      </c>
      <c r="C33" s="32">
        <v>-8.0741392595374037</v>
      </c>
    </row>
    <row r="34" spans="1:3" x14ac:dyDescent="0.25">
      <c r="A34" s="28">
        <v>7</v>
      </c>
      <c r="B34" s="32">
        <v>74.253792092230242</v>
      </c>
      <c r="C34" s="32">
        <v>-2.9537920922302447</v>
      </c>
    </row>
    <row r="35" spans="1:3" x14ac:dyDescent="0.25">
      <c r="A35" s="28">
        <v>8</v>
      </c>
      <c r="B35" s="32">
        <v>76.200706777939871</v>
      </c>
      <c r="C35" s="32">
        <v>-6.1007067779398767</v>
      </c>
    </row>
    <row r="36" spans="1:3" x14ac:dyDescent="0.25">
      <c r="A36" s="28">
        <v>9</v>
      </c>
      <c r="B36" s="32">
        <v>86.340863730423521</v>
      </c>
      <c r="C36" s="32">
        <v>0.85913626957648148</v>
      </c>
    </row>
    <row r="37" spans="1:3" x14ac:dyDescent="0.25">
      <c r="A37" s="28">
        <v>10</v>
      </c>
      <c r="B37" s="32">
        <v>88.780103807270933</v>
      </c>
      <c r="C37" s="32">
        <v>-5.6801038072709389</v>
      </c>
    </row>
    <row r="38" spans="1:3" x14ac:dyDescent="0.25">
      <c r="A38" s="28">
        <v>11</v>
      </c>
      <c r="B38" s="32">
        <v>78.758968592176217</v>
      </c>
      <c r="C38" s="32">
        <v>-2.3589685921762111</v>
      </c>
    </row>
    <row r="39" spans="1:3" x14ac:dyDescent="0.25">
      <c r="A39" s="28">
        <v>12</v>
      </c>
      <c r="B39" s="32">
        <v>90.743177082475555</v>
      </c>
      <c r="C39" s="32">
        <v>4.0568229175244426</v>
      </c>
    </row>
    <row r="40" spans="1:3" x14ac:dyDescent="0.25">
      <c r="A40" s="28">
        <v>13</v>
      </c>
      <c r="B40" s="32">
        <v>69.421444071387882</v>
      </c>
      <c r="C40" s="32">
        <v>-14.221444071387879</v>
      </c>
    </row>
    <row r="41" spans="1:3" x14ac:dyDescent="0.25">
      <c r="A41" s="28">
        <v>14</v>
      </c>
      <c r="B41" s="32">
        <v>80.829084620942211</v>
      </c>
      <c r="C41" s="32">
        <v>3.0709153790577943</v>
      </c>
    </row>
    <row r="42" spans="1:3" x14ac:dyDescent="0.25">
      <c r="A42" s="28">
        <v>15</v>
      </c>
      <c r="B42" s="32">
        <v>95.754652840273735</v>
      </c>
      <c r="C42" s="32">
        <v>4.2453471597262649</v>
      </c>
    </row>
    <row r="43" spans="1:3" x14ac:dyDescent="0.25">
      <c r="A43" s="28">
        <v>16</v>
      </c>
      <c r="B43" s="32">
        <v>80.927146540897539</v>
      </c>
      <c r="C43" s="32">
        <v>4.5728534591024612</v>
      </c>
    </row>
    <row r="44" spans="1:3" x14ac:dyDescent="0.25">
      <c r="A44" s="28">
        <v>17</v>
      </c>
      <c r="B44" s="32">
        <v>77.973229143324346</v>
      </c>
      <c r="C44" s="32">
        <v>-2.3732291433243518</v>
      </c>
    </row>
    <row r="45" spans="1:3" x14ac:dyDescent="0.25">
      <c r="A45" s="28">
        <v>18</v>
      </c>
      <c r="B45" s="32">
        <v>91.955440176490754</v>
      </c>
      <c r="C45" s="32">
        <v>-0.75544017649075101</v>
      </c>
    </row>
    <row r="46" spans="1:3" x14ac:dyDescent="0.25">
      <c r="A46" s="28">
        <v>19</v>
      </c>
      <c r="B46" s="32">
        <v>66.564322475477383</v>
      </c>
      <c r="C46" s="32">
        <v>-0.56432247547738257</v>
      </c>
    </row>
    <row r="47" spans="1:3" x14ac:dyDescent="0.25">
      <c r="A47" s="28">
        <v>20</v>
      </c>
      <c r="B47" s="32">
        <v>85.273104894217369</v>
      </c>
      <c r="C47" s="32">
        <v>-1.8731048942173629</v>
      </c>
    </row>
    <row r="48" spans="1:3" x14ac:dyDescent="0.25">
      <c r="A48" s="28">
        <v>21</v>
      </c>
      <c r="B48" s="32">
        <v>74.11199423690617</v>
      </c>
      <c r="C48" s="32">
        <v>-3.1119942369061704</v>
      </c>
    </row>
    <row r="49" spans="1:3" x14ac:dyDescent="0.25">
      <c r="A49" s="28">
        <v>22</v>
      </c>
      <c r="B49" s="32">
        <v>88.786015444867232</v>
      </c>
      <c r="C49" s="32">
        <v>2.913984555132771</v>
      </c>
    </row>
    <row r="50" spans="1:3" x14ac:dyDescent="0.25">
      <c r="A50" s="28">
        <v>23</v>
      </c>
      <c r="B50" s="32">
        <v>82.542451271296969</v>
      </c>
      <c r="C50" s="32">
        <v>9.0575487287030256</v>
      </c>
    </row>
    <row r="51" spans="1:3" x14ac:dyDescent="0.25">
      <c r="A51" s="28">
        <v>24</v>
      </c>
      <c r="B51" s="32">
        <v>80.099300068494344</v>
      </c>
      <c r="C51" s="32">
        <v>-4.7993000684943468</v>
      </c>
    </row>
    <row r="52" spans="1:3" x14ac:dyDescent="0.25">
      <c r="A52" s="28">
        <v>25</v>
      </c>
      <c r="B52" s="32">
        <v>63.422475089727634</v>
      </c>
      <c r="C52" s="32">
        <v>-1.1224750897276365</v>
      </c>
    </row>
    <row r="53" spans="1:3" x14ac:dyDescent="0.25">
      <c r="A53" s="28">
        <v>26</v>
      </c>
      <c r="B53" s="32">
        <v>102.49140842094619</v>
      </c>
      <c r="C53" s="32">
        <v>-9.7914084209461834</v>
      </c>
    </row>
    <row r="54" spans="1:3" x14ac:dyDescent="0.25">
      <c r="A54" s="28">
        <v>27</v>
      </c>
      <c r="B54" s="32">
        <v>100.48349321720069</v>
      </c>
      <c r="C54" s="32">
        <v>-2.4834932172006887</v>
      </c>
    </row>
    <row r="55" spans="1:3" x14ac:dyDescent="0.25">
      <c r="A55" s="28">
        <v>28</v>
      </c>
      <c r="B55" s="32">
        <v>90.298494336176162</v>
      </c>
      <c r="C55" s="32">
        <v>-2.5984943361761594</v>
      </c>
    </row>
    <row r="56" spans="1:3" x14ac:dyDescent="0.25">
      <c r="A56" s="28">
        <v>29</v>
      </c>
      <c r="B56" s="32">
        <v>67.216242029550514</v>
      </c>
      <c r="C56" s="32">
        <v>-3.7162420295505143</v>
      </c>
    </row>
    <row r="57" spans="1:3" x14ac:dyDescent="0.25">
      <c r="A57" s="28">
        <v>30</v>
      </c>
      <c r="B57" s="32">
        <v>66.838495524902257</v>
      </c>
      <c r="C57" s="32">
        <v>3.7615044750977376</v>
      </c>
    </row>
    <row r="58" spans="1:3" x14ac:dyDescent="0.25">
      <c r="A58" s="28">
        <v>31</v>
      </c>
      <c r="B58" s="32">
        <v>71.105232864227773</v>
      </c>
      <c r="C58" s="32">
        <v>-3.9052328642277701</v>
      </c>
    </row>
    <row r="59" spans="1:3" x14ac:dyDescent="0.25">
      <c r="A59" s="28">
        <v>32</v>
      </c>
      <c r="B59" s="32">
        <v>79.197339598551096</v>
      </c>
      <c r="C59" s="32">
        <v>3.5026604014489067</v>
      </c>
    </row>
    <row r="60" spans="1:3" x14ac:dyDescent="0.25">
      <c r="A60" s="28">
        <v>33</v>
      </c>
      <c r="B60" s="32">
        <v>75.526811310588016</v>
      </c>
      <c r="C60" s="32">
        <v>-8.1268113105880104</v>
      </c>
    </row>
    <row r="61" spans="1:3" x14ac:dyDescent="0.25">
      <c r="A61" s="28">
        <v>34</v>
      </c>
      <c r="B61" s="32">
        <v>87.289756537875675</v>
      </c>
      <c r="C61" s="32">
        <v>2.4102434621243276</v>
      </c>
    </row>
    <row r="62" spans="1:3" x14ac:dyDescent="0.25">
      <c r="A62" s="28">
        <v>35</v>
      </c>
      <c r="B62" s="32">
        <v>69.287158262972952</v>
      </c>
      <c r="C62" s="32">
        <v>-13.987158262972955</v>
      </c>
    </row>
    <row r="63" spans="1:3" x14ac:dyDescent="0.25">
      <c r="A63" s="28">
        <v>36</v>
      </c>
      <c r="B63" s="32">
        <v>90.952682881602655</v>
      </c>
      <c r="C63" s="32">
        <v>1.7473171183973477</v>
      </c>
    </row>
    <row r="64" spans="1:3" x14ac:dyDescent="0.25">
      <c r="A64" s="28">
        <v>37</v>
      </c>
      <c r="B64" s="32">
        <v>59.53332854641544</v>
      </c>
      <c r="C64" s="32">
        <v>1.3666714535845585</v>
      </c>
    </row>
    <row r="65" spans="1:3" x14ac:dyDescent="0.25">
      <c r="A65" s="28">
        <v>38</v>
      </c>
      <c r="B65" s="32">
        <v>84.052463737328637</v>
      </c>
      <c r="C65" s="32">
        <v>4.2475362626713604</v>
      </c>
    </row>
    <row r="66" spans="1:3" x14ac:dyDescent="0.25">
      <c r="A66" s="28">
        <v>39</v>
      </c>
      <c r="B66" s="32">
        <v>75.663563544280208</v>
      </c>
      <c r="C66" s="32">
        <v>-1.9635635442802055</v>
      </c>
    </row>
    <row r="67" spans="1:3" x14ac:dyDescent="0.25">
      <c r="A67" s="28">
        <v>40</v>
      </c>
      <c r="B67" s="32">
        <v>76.646589831223935</v>
      </c>
      <c r="C67" s="32">
        <v>-3.4465898312239318</v>
      </c>
    </row>
    <row r="68" spans="1:3" x14ac:dyDescent="0.25">
      <c r="A68" s="28">
        <v>41</v>
      </c>
      <c r="B68" s="32">
        <v>91.958150995461295</v>
      </c>
      <c r="C68" s="32">
        <v>1.6418490045386989</v>
      </c>
    </row>
    <row r="69" spans="1:3" x14ac:dyDescent="0.25">
      <c r="A69" s="28">
        <v>42</v>
      </c>
      <c r="B69" s="32">
        <v>79.628974676654295</v>
      </c>
      <c r="C69" s="32">
        <v>10.771025323345711</v>
      </c>
    </row>
    <row r="70" spans="1:3" x14ac:dyDescent="0.25">
      <c r="A70" s="28">
        <v>43</v>
      </c>
      <c r="B70" s="32">
        <v>80.249650152591713</v>
      </c>
      <c r="C70" s="32">
        <v>5.0503498474082846</v>
      </c>
    </row>
    <row r="71" spans="1:3" x14ac:dyDescent="0.25">
      <c r="A71" s="28">
        <v>44</v>
      </c>
      <c r="B71" s="32">
        <v>64.752559614147074</v>
      </c>
      <c r="C71" s="32">
        <v>0.94744038585292856</v>
      </c>
    </row>
    <row r="72" spans="1:3" x14ac:dyDescent="0.25">
      <c r="A72" s="28">
        <v>45</v>
      </c>
      <c r="B72" s="32">
        <v>68.064982508079311</v>
      </c>
      <c r="C72" s="32">
        <v>-5.4649825080793093</v>
      </c>
    </row>
    <row r="73" spans="1:3" x14ac:dyDescent="0.25">
      <c r="A73" s="28">
        <v>46</v>
      </c>
      <c r="B73" s="32">
        <v>57.469214052572674</v>
      </c>
      <c r="C73" s="32">
        <v>13.930785947427331</v>
      </c>
    </row>
    <row r="74" spans="1:3" x14ac:dyDescent="0.25">
      <c r="A74" s="28">
        <v>47</v>
      </c>
      <c r="B74" s="32">
        <v>90.384361381115255</v>
      </c>
      <c r="C74" s="32">
        <v>-4.8843613811152551</v>
      </c>
    </row>
    <row r="75" spans="1:3" x14ac:dyDescent="0.25">
      <c r="A75" s="28">
        <v>48</v>
      </c>
      <c r="B75" s="32">
        <v>85.247462248676726</v>
      </c>
      <c r="C75" s="32">
        <v>-6.4474622486767288</v>
      </c>
    </row>
    <row r="76" spans="1:3" x14ac:dyDescent="0.25">
      <c r="A76" s="28">
        <v>49</v>
      </c>
      <c r="B76" s="32">
        <v>63.413828547141804</v>
      </c>
      <c r="C76" s="32">
        <v>-0.91382854714180439</v>
      </c>
    </row>
    <row r="77" spans="1:3" x14ac:dyDescent="0.25">
      <c r="A77" s="28">
        <v>50</v>
      </c>
      <c r="B77" s="32">
        <v>83.275036540042365</v>
      </c>
      <c r="C77" s="32">
        <v>-5.375036540042359</v>
      </c>
    </row>
    <row r="78" spans="1:3" x14ac:dyDescent="0.25">
      <c r="A78" s="28">
        <v>51</v>
      </c>
      <c r="B78" s="32">
        <v>80.306005151323916</v>
      </c>
      <c r="C78" s="32">
        <v>3.9939948486760812</v>
      </c>
    </row>
    <row r="79" spans="1:3" x14ac:dyDescent="0.25">
      <c r="A79" s="28">
        <v>52</v>
      </c>
      <c r="B79" s="32">
        <v>85.798119064168816</v>
      </c>
      <c r="C79" s="32">
        <v>10.501880935831181</v>
      </c>
    </row>
    <row r="80" spans="1:3" x14ac:dyDescent="0.25">
      <c r="A80" s="28">
        <v>53</v>
      </c>
      <c r="B80" s="32">
        <v>83.514430401685559</v>
      </c>
      <c r="C80" s="32">
        <v>5.5855695983144358</v>
      </c>
    </row>
    <row r="81" spans="1:3" x14ac:dyDescent="0.25">
      <c r="A81" s="28">
        <v>54</v>
      </c>
      <c r="B81" s="32">
        <v>53.806132000210766</v>
      </c>
      <c r="C81" s="32">
        <v>-2.2061320002107649</v>
      </c>
    </row>
    <row r="82" spans="1:3" x14ac:dyDescent="0.25">
      <c r="A82" s="28">
        <v>55</v>
      </c>
      <c r="B82" s="32">
        <v>80.262363529767683</v>
      </c>
      <c r="C82" s="32">
        <v>-1.8623635297676771</v>
      </c>
    </row>
    <row r="83" spans="1:3" x14ac:dyDescent="0.25">
      <c r="A83" s="28">
        <v>56</v>
      </c>
      <c r="B83" s="32">
        <v>92.853889622807017</v>
      </c>
      <c r="C83" s="32">
        <v>6.7461103771929771</v>
      </c>
    </row>
    <row r="84" spans="1:3" x14ac:dyDescent="0.25">
      <c r="A84" s="28">
        <v>57</v>
      </c>
      <c r="B84" s="32">
        <v>87.484708573306207</v>
      </c>
      <c r="C84" s="32">
        <v>6.0152914266937927</v>
      </c>
    </row>
    <row r="85" spans="1:3" x14ac:dyDescent="0.25">
      <c r="A85" s="28">
        <v>58</v>
      </c>
      <c r="B85" s="32">
        <v>80.582889019719346</v>
      </c>
      <c r="C85" s="32">
        <v>-1.3828890197193431</v>
      </c>
    </row>
    <row r="86" spans="1:3" x14ac:dyDescent="0.25">
      <c r="A86" s="28">
        <v>59</v>
      </c>
      <c r="B86" s="32">
        <v>78.728124616368731</v>
      </c>
      <c r="C86" s="32">
        <v>7.7718753836312686</v>
      </c>
    </row>
    <row r="87" spans="1:3" x14ac:dyDescent="0.25">
      <c r="A87" s="28">
        <v>60</v>
      </c>
      <c r="B87" s="32">
        <v>73.40785232999896</v>
      </c>
      <c r="C87" s="32">
        <v>6.3921476700010373</v>
      </c>
    </row>
    <row r="88" spans="1:3" x14ac:dyDescent="0.25">
      <c r="A88" s="28">
        <v>61</v>
      </c>
      <c r="B88" s="32">
        <v>62.200299334833993</v>
      </c>
      <c r="C88" s="32">
        <v>-4.8002993348339942</v>
      </c>
    </row>
    <row r="89" spans="1:3" x14ac:dyDescent="0.25">
      <c r="A89" s="28">
        <v>62</v>
      </c>
      <c r="B89" s="32">
        <v>81.045792261977212</v>
      </c>
      <c r="C89" s="32">
        <v>-11.745792261977215</v>
      </c>
    </row>
    <row r="90" spans="1:3" x14ac:dyDescent="0.25">
      <c r="A90" s="28">
        <v>63</v>
      </c>
      <c r="B90" s="32">
        <v>83.708672129786635</v>
      </c>
      <c r="C90" s="32">
        <v>3.1913278702133709</v>
      </c>
    </row>
    <row r="91" spans="1:3" x14ac:dyDescent="0.25">
      <c r="A91" s="28">
        <v>64</v>
      </c>
      <c r="B91" s="32">
        <v>72.114791898695557</v>
      </c>
      <c r="C91" s="32">
        <v>8.6852081013044398</v>
      </c>
    </row>
    <row r="92" spans="1:3" x14ac:dyDescent="0.25">
      <c r="A92" s="28">
        <v>65</v>
      </c>
      <c r="B92" s="32">
        <v>94.322171081596565</v>
      </c>
      <c r="C92" s="32">
        <v>-4.9221710815965594</v>
      </c>
    </row>
    <row r="93" spans="1:3" x14ac:dyDescent="0.25">
      <c r="A93" s="28">
        <v>66</v>
      </c>
      <c r="B93" s="32">
        <v>75.566301828981324</v>
      </c>
      <c r="C93" s="32">
        <v>-11.566301828981324</v>
      </c>
    </row>
    <row r="94" spans="1:3" x14ac:dyDescent="0.25">
      <c r="A94" s="28">
        <v>67</v>
      </c>
      <c r="B94" s="32">
        <v>83.54880948713901</v>
      </c>
      <c r="C94" s="32">
        <v>7.1511905128609925</v>
      </c>
    </row>
    <row r="95" spans="1:3" x14ac:dyDescent="0.25">
      <c r="A95" s="28">
        <v>68</v>
      </c>
      <c r="B95" s="32">
        <v>88.110585379510468</v>
      </c>
      <c r="C95" s="32">
        <v>-1.410585379510465</v>
      </c>
    </row>
    <row r="96" spans="1:3" x14ac:dyDescent="0.25">
      <c r="A96" s="28">
        <v>69</v>
      </c>
      <c r="B96" s="32">
        <v>80.720375646759976</v>
      </c>
      <c r="C96" s="32">
        <v>3.6796243532400297</v>
      </c>
    </row>
    <row r="97" spans="1:3" x14ac:dyDescent="0.25">
      <c r="A97" s="28">
        <v>70</v>
      </c>
      <c r="B97" s="32">
        <v>85.986759359674835</v>
      </c>
      <c r="C97" s="32">
        <v>-8.3867593596748407</v>
      </c>
    </row>
    <row r="98" spans="1:3" x14ac:dyDescent="0.25">
      <c r="A98" s="28">
        <v>71</v>
      </c>
      <c r="B98" s="32">
        <v>58.290377185227705</v>
      </c>
      <c r="C98" s="32">
        <v>7.5096228147722925</v>
      </c>
    </row>
    <row r="99" spans="1:3" x14ac:dyDescent="0.25">
      <c r="A99" s="28">
        <v>72</v>
      </c>
      <c r="B99" s="32">
        <v>87.501973155973317</v>
      </c>
      <c r="C99" s="32">
        <v>2.2980268440266798</v>
      </c>
    </row>
    <row r="100" spans="1:3" x14ac:dyDescent="0.25">
      <c r="A100" s="28">
        <v>73</v>
      </c>
      <c r="B100" s="32">
        <v>78.904301557146255</v>
      </c>
      <c r="C100" s="32">
        <v>-1.1043015571462576</v>
      </c>
    </row>
    <row r="101" spans="1:3" x14ac:dyDescent="0.25">
      <c r="A101" s="28">
        <v>74</v>
      </c>
      <c r="B101" s="32">
        <v>79.195805000546216</v>
      </c>
      <c r="C101" s="32">
        <v>1.5041949994537873</v>
      </c>
    </row>
    <row r="102" spans="1:3" x14ac:dyDescent="0.25">
      <c r="A102" s="28">
        <v>75</v>
      </c>
      <c r="B102" s="32">
        <v>66.641918994139871</v>
      </c>
      <c r="C102" s="32">
        <v>-5.0419189941398699</v>
      </c>
    </row>
    <row r="103" spans="1:3" x14ac:dyDescent="0.25">
      <c r="A103" s="28">
        <v>76</v>
      </c>
      <c r="B103" s="32">
        <v>75.173107042167558</v>
      </c>
      <c r="C103" s="32">
        <v>9.1268929578324389</v>
      </c>
    </row>
    <row r="104" spans="1:3" x14ac:dyDescent="0.25">
      <c r="A104" s="28">
        <v>77</v>
      </c>
      <c r="B104" s="32">
        <v>80.070522415635921</v>
      </c>
      <c r="C104" s="32">
        <v>2.3294775843640849</v>
      </c>
    </row>
    <row r="105" spans="1:3" x14ac:dyDescent="0.25">
      <c r="A105" s="28">
        <v>78</v>
      </c>
      <c r="B105" s="32">
        <v>90.545824433075722</v>
      </c>
      <c r="C105" s="32">
        <v>-4.5458244330757225</v>
      </c>
    </row>
    <row r="106" spans="1:3" x14ac:dyDescent="0.25">
      <c r="A106" s="28">
        <v>79</v>
      </c>
      <c r="B106" s="32">
        <v>72.110790875413386</v>
      </c>
      <c r="C106" s="32">
        <v>-3.5107908754133916</v>
      </c>
    </row>
    <row r="107" spans="1:3" ht="15.75" thickBot="1" x14ac:dyDescent="0.3">
      <c r="A107" s="29">
        <v>80</v>
      </c>
      <c r="B107" s="33">
        <v>72.97775184990067</v>
      </c>
      <c r="C107" s="33">
        <v>-6.377751849900676</v>
      </c>
    </row>
  </sheetData>
  <mergeCells count="1">
    <mergeCell ref="AA5:A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RawData</vt:lpstr>
      <vt:lpstr>SimpleReg</vt:lpstr>
      <vt:lpstr>ToolPakReg</vt:lpstr>
      <vt:lpstr>MultiReg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IICL Faculty</dc:creator>
  <cp:lastModifiedBy>Batch3</cp:lastModifiedBy>
  <dcterms:created xsi:type="dcterms:W3CDTF">2026-05-20T10:39:00Z</dcterms:created>
  <dcterms:modified xsi:type="dcterms:W3CDTF">2026-05-25T11:22:54Z</dcterms:modified>
</cp:coreProperties>
</file>