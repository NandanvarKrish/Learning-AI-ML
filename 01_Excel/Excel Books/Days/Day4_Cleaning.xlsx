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rish\01_Excel\Excel Books\"/>
    </mc:Choice>
  </mc:AlternateContent>
  <xr:revisionPtr revIDLastSave="0" documentId="13_ncr:1_{CCA8A5B5-7415-4A52-977C-9B21F9D0A123}" xr6:coauthVersionLast="47" xr6:coauthVersionMax="47" xr10:uidLastSave="{00000000-0000-0000-0000-000000000000}"/>
  <bookViews>
    <workbookView xWindow="-120" yWindow="-120" windowWidth="24240" windowHeight="13140" activeTab="2" xr2:uid="{F4D490C7-8264-44EE-869E-D6B3539E71FC}"/>
  </bookViews>
  <sheets>
    <sheet name="DirtyData" sheetId="1" r:id="rId1"/>
    <sheet name="DirtyData (2)" sheetId="6" r:id="rId2"/>
    <sheet name="Clean Data" sheetId="2" r:id="rId3"/>
    <sheet name="DedupLab" sheetId="5" r:id="rId4"/>
    <sheet name="Encodelab" sheetId="8" r:id="rId5"/>
  </sheets>
  <definedNames>
    <definedName name="ExternalData_1" localSheetId="1" hidden="1">'DirtyData (2)'!$A$1:$I$61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4" i="2" l="1"/>
  <c r="D64" i="2"/>
  <c r="C64" i="2"/>
  <c r="A64" i="2"/>
  <c r="I63" i="2"/>
  <c r="H63" i="2"/>
  <c r="G63" i="2"/>
  <c r="F63" i="2"/>
  <c r="E63" i="2"/>
  <c r="D63" i="2"/>
  <c r="C63" i="2"/>
  <c r="B63" i="2"/>
  <c r="A63" i="2"/>
  <c r="F61" i="8"/>
  <c r="C61" i="8"/>
  <c r="I61" i="8" s="1"/>
  <c r="F60" i="8"/>
  <c r="C60" i="8"/>
  <c r="I60" i="8" s="1"/>
  <c r="F59" i="8"/>
  <c r="C59" i="8"/>
  <c r="I59" i="8" s="1"/>
  <c r="F58" i="8"/>
  <c r="C58" i="8"/>
  <c r="I58" i="8" s="1"/>
  <c r="F57" i="8"/>
  <c r="C57" i="8"/>
  <c r="I57" i="8" s="1"/>
  <c r="F56" i="8"/>
  <c r="C56" i="8"/>
  <c r="I56" i="8" s="1"/>
  <c r="F55" i="8"/>
  <c r="C55" i="8"/>
  <c r="I55" i="8" s="1"/>
  <c r="F54" i="8"/>
  <c r="C54" i="8"/>
  <c r="I54" i="8" s="1"/>
  <c r="F53" i="8"/>
  <c r="C53" i="8"/>
  <c r="I53" i="8" s="1"/>
  <c r="F52" i="8"/>
  <c r="C52" i="8"/>
  <c r="I52" i="8" s="1"/>
  <c r="F51" i="8"/>
  <c r="C51" i="8"/>
  <c r="I51" i="8" s="1"/>
  <c r="F50" i="8"/>
  <c r="C50" i="8"/>
  <c r="I50" i="8" s="1"/>
  <c r="F49" i="8"/>
  <c r="C49" i="8"/>
  <c r="I49" i="8" s="1"/>
  <c r="F48" i="8"/>
  <c r="C48" i="8"/>
  <c r="I48" i="8" s="1"/>
  <c r="F47" i="8"/>
  <c r="C47" i="8"/>
  <c r="I47" i="8" s="1"/>
  <c r="F46" i="8"/>
  <c r="C46" i="8"/>
  <c r="I46" i="8" s="1"/>
  <c r="F45" i="8"/>
  <c r="C45" i="8"/>
  <c r="I45" i="8" s="1"/>
  <c r="F44" i="8"/>
  <c r="C44" i="8"/>
  <c r="I44" i="8" s="1"/>
  <c r="F43" i="8"/>
  <c r="C43" i="8"/>
  <c r="I43" i="8" s="1"/>
  <c r="F42" i="8"/>
  <c r="C42" i="8"/>
  <c r="I42" i="8" s="1"/>
  <c r="F41" i="8"/>
  <c r="C41" i="8"/>
  <c r="I41" i="8" s="1"/>
  <c r="F40" i="8"/>
  <c r="C40" i="8"/>
  <c r="I40" i="8" s="1"/>
  <c r="F39" i="8"/>
  <c r="C39" i="8"/>
  <c r="I39" i="8" s="1"/>
  <c r="F38" i="8"/>
  <c r="C38" i="8"/>
  <c r="I38" i="8" s="1"/>
  <c r="F37" i="8"/>
  <c r="C37" i="8"/>
  <c r="I37" i="8" s="1"/>
  <c r="F36" i="8"/>
  <c r="C36" i="8"/>
  <c r="I36" i="8" s="1"/>
  <c r="F35" i="8"/>
  <c r="C35" i="8"/>
  <c r="I35" i="8" s="1"/>
  <c r="F34" i="8"/>
  <c r="C34" i="8"/>
  <c r="I34" i="8" s="1"/>
  <c r="F33" i="8"/>
  <c r="C33" i="8"/>
  <c r="I33" i="8" s="1"/>
  <c r="F32" i="8"/>
  <c r="C32" i="8"/>
  <c r="I32" i="8" s="1"/>
  <c r="F31" i="8"/>
  <c r="C31" i="8"/>
  <c r="I31" i="8" s="1"/>
  <c r="F30" i="8"/>
  <c r="C30" i="8"/>
  <c r="I30" i="8" s="1"/>
  <c r="F29" i="8"/>
  <c r="C29" i="8"/>
  <c r="I29" i="8" s="1"/>
  <c r="F28" i="8"/>
  <c r="C28" i="8"/>
  <c r="I28" i="8" s="1"/>
  <c r="F27" i="8"/>
  <c r="C27" i="8"/>
  <c r="I27" i="8" s="1"/>
  <c r="F26" i="8"/>
  <c r="C26" i="8"/>
  <c r="I26" i="8" s="1"/>
  <c r="F25" i="8"/>
  <c r="C25" i="8"/>
  <c r="I25" i="8" s="1"/>
  <c r="F24" i="8"/>
  <c r="C24" i="8"/>
  <c r="I24" i="8" s="1"/>
  <c r="F23" i="8"/>
  <c r="C23" i="8"/>
  <c r="I23" i="8" s="1"/>
  <c r="F22" i="8"/>
  <c r="C22" i="8"/>
  <c r="I22" i="8" s="1"/>
  <c r="F21" i="8"/>
  <c r="C21" i="8"/>
  <c r="I21" i="8" s="1"/>
  <c r="F20" i="8"/>
  <c r="C20" i="8"/>
  <c r="I20" i="8" s="1"/>
  <c r="F19" i="8"/>
  <c r="C19" i="8"/>
  <c r="I19" i="8" s="1"/>
  <c r="F18" i="8"/>
  <c r="C18" i="8"/>
  <c r="I18" i="8" s="1"/>
  <c r="F17" i="8"/>
  <c r="C17" i="8"/>
  <c r="I17" i="8" s="1"/>
  <c r="F16" i="8"/>
  <c r="C16" i="8"/>
  <c r="I16" i="8" s="1"/>
  <c r="F15" i="8"/>
  <c r="C15" i="8"/>
  <c r="I15" i="8" s="1"/>
  <c r="F14" i="8"/>
  <c r="C14" i="8"/>
  <c r="I14" i="8" s="1"/>
  <c r="F13" i="8"/>
  <c r="C13" i="8"/>
  <c r="I13" i="8" s="1"/>
  <c r="F12" i="8"/>
  <c r="C12" i="8"/>
  <c r="I12" i="8" s="1"/>
  <c r="F11" i="8"/>
  <c r="C11" i="8"/>
  <c r="I11" i="8" s="1"/>
  <c r="F10" i="8"/>
  <c r="C10" i="8"/>
  <c r="I10" i="8" s="1"/>
  <c r="F9" i="8"/>
  <c r="C9" i="8"/>
  <c r="I9" i="8" s="1"/>
  <c r="F8" i="8"/>
  <c r="C8" i="8"/>
  <c r="I8" i="8" s="1"/>
  <c r="F7" i="8"/>
  <c r="C7" i="8"/>
  <c r="I7" i="8" s="1"/>
  <c r="F6" i="8"/>
  <c r="C6" i="8"/>
  <c r="I6" i="8" s="1"/>
  <c r="F5" i="8"/>
  <c r="C5" i="8"/>
  <c r="I5" i="8" s="1"/>
  <c r="F4" i="8"/>
  <c r="C4" i="8"/>
  <c r="I4" i="8" s="1"/>
  <c r="F3" i="8"/>
  <c r="C3" i="8"/>
  <c r="I3" i="8" s="1"/>
  <c r="F2" i="8"/>
  <c r="C2" i="8"/>
  <c r="I2" i="8" s="1"/>
  <c r="J2" i="6" a="1"/>
  <c r="J2" i="6" s="1"/>
  <c r="J3" i="6" a="1"/>
  <c r="J3" i="6" s="1"/>
  <c r="J4" i="6" a="1"/>
  <c r="J4" i="6" s="1"/>
  <c r="J5" i="6" a="1"/>
  <c r="J5" i="6" s="1"/>
  <c r="J6" i="6" a="1"/>
  <c r="J6" i="6" s="1"/>
  <c r="J7" i="6" a="1"/>
  <c r="J7" i="6" s="1"/>
  <c r="J8" i="6" a="1"/>
  <c r="J8" i="6" s="1"/>
  <c r="J9" i="6" a="1"/>
  <c r="J9" i="6" s="1"/>
  <c r="J10" i="6" a="1"/>
  <c r="J10" i="6" s="1"/>
  <c r="J11" i="6" a="1"/>
  <c r="J11" i="6" s="1"/>
  <c r="J12" i="6" a="1"/>
  <c r="J12" i="6" s="1"/>
  <c r="J13" i="6" a="1"/>
  <c r="J13" i="6" s="1"/>
  <c r="J14" i="6" a="1"/>
  <c r="J14" i="6" s="1"/>
  <c r="J15" i="6" a="1"/>
  <c r="J15" i="6" s="1"/>
  <c r="J16" i="6" a="1"/>
  <c r="J16" i="6" s="1"/>
  <c r="J17" i="6" a="1"/>
  <c r="J17" i="6" s="1"/>
  <c r="J18" i="6" a="1"/>
  <c r="J18" i="6" s="1"/>
  <c r="J19" i="6" a="1"/>
  <c r="J19" i="6" s="1"/>
  <c r="J20" i="6" a="1"/>
  <c r="J20" i="6" s="1"/>
  <c r="J21" i="6" a="1"/>
  <c r="J21" i="6" s="1"/>
  <c r="J22" i="6" a="1"/>
  <c r="J22" i="6" s="1"/>
  <c r="J23" i="6" a="1"/>
  <c r="J23" i="6" s="1"/>
  <c r="J24" i="6" a="1"/>
  <c r="J24" i="6" s="1"/>
  <c r="J25" i="6" a="1"/>
  <c r="J25" i="6" s="1"/>
  <c r="J26" i="6" a="1"/>
  <c r="J26" i="6" s="1"/>
  <c r="J27" i="6" a="1"/>
  <c r="J27" i="6" s="1"/>
  <c r="J28" i="6" a="1"/>
  <c r="J28" i="6" s="1"/>
  <c r="J29" i="6" a="1"/>
  <c r="J29" i="6" s="1"/>
  <c r="J30" i="6" a="1"/>
  <c r="J30" i="6" s="1"/>
  <c r="J31" i="6" a="1"/>
  <c r="J31" i="6" s="1"/>
  <c r="J32" i="6" a="1"/>
  <c r="J32" i="6" s="1"/>
  <c r="J33" i="6" a="1"/>
  <c r="J33" i="6" s="1"/>
  <c r="J34" i="6" a="1"/>
  <c r="J34" i="6" s="1"/>
  <c r="J35" i="6" a="1"/>
  <c r="J35" i="6" s="1"/>
  <c r="J36" i="6" a="1"/>
  <c r="J36" i="6" s="1"/>
  <c r="J37" i="6" a="1"/>
  <c r="J37" i="6" s="1"/>
  <c r="J38" i="6" a="1"/>
  <c r="J38" i="6" s="1"/>
  <c r="J39" i="6" a="1"/>
  <c r="J39" i="6" s="1"/>
  <c r="J40" i="6" a="1"/>
  <c r="J40" i="6" s="1"/>
  <c r="J41" i="6" a="1"/>
  <c r="J41" i="6" s="1"/>
  <c r="J42" i="6" a="1"/>
  <c r="J42" i="6" s="1"/>
  <c r="J43" i="6" a="1"/>
  <c r="J43" i="6" s="1"/>
  <c r="J44" i="6" a="1"/>
  <c r="J44" i="6" s="1"/>
  <c r="J45" i="6" a="1"/>
  <c r="J45" i="6" s="1"/>
  <c r="J46" i="6" a="1"/>
  <c r="J46" i="6" s="1"/>
  <c r="J47" i="6" a="1"/>
  <c r="J47" i="6" s="1"/>
  <c r="J48" i="6" a="1"/>
  <c r="J48" i="6" s="1"/>
  <c r="J49" i="6" a="1"/>
  <c r="J49" i="6" s="1"/>
  <c r="J50" i="6" a="1"/>
  <c r="J50" i="6" s="1"/>
  <c r="J51" i="6" a="1"/>
  <c r="J51" i="6" s="1"/>
  <c r="J52" i="6" a="1"/>
  <c r="J52" i="6" s="1"/>
  <c r="J53" i="6" a="1"/>
  <c r="J53" i="6" s="1"/>
  <c r="J54" i="6" a="1"/>
  <c r="J54" i="6" s="1"/>
  <c r="J55" i="6" a="1"/>
  <c r="J55" i="6" s="1"/>
  <c r="J56" i="6" a="1"/>
  <c r="J56" i="6" s="1"/>
  <c r="J57" i="6" a="1"/>
  <c r="J57" i="6" s="1"/>
  <c r="J58" i="6" a="1"/>
  <c r="J58" i="6" s="1"/>
  <c r="J59" i="6" a="1"/>
  <c r="J59" i="6" s="1"/>
  <c r="J60" i="6" a="1"/>
  <c r="J60" i="6" s="1"/>
  <c r="J61" i="6" a="1"/>
  <c r="J61" i="6" s="1"/>
  <c r="F61" i="5"/>
  <c r="E61" i="5"/>
  <c r="C61" i="5"/>
  <c r="I61" i="5" s="1"/>
  <c r="F60" i="5"/>
  <c r="E60" i="5"/>
  <c r="C60" i="5"/>
  <c r="I60" i="5" s="1"/>
  <c r="F59" i="5"/>
  <c r="E59" i="5"/>
  <c r="C59" i="5"/>
  <c r="I59" i="5" s="1"/>
  <c r="F58" i="5"/>
  <c r="E58" i="5"/>
  <c r="C58" i="5"/>
  <c r="I58" i="5" s="1"/>
  <c r="F57" i="5"/>
  <c r="E57" i="5"/>
  <c r="C57" i="5"/>
  <c r="I57" i="5" s="1"/>
  <c r="F56" i="5"/>
  <c r="E56" i="5"/>
  <c r="C56" i="5"/>
  <c r="I56" i="5" s="1"/>
  <c r="F55" i="5"/>
  <c r="E55" i="5"/>
  <c r="C55" i="5"/>
  <c r="I55" i="5" s="1"/>
  <c r="F54" i="5"/>
  <c r="E54" i="5"/>
  <c r="C54" i="5"/>
  <c r="I54" i="5" s="1"/>
  <c r="F53" i="5"/>
  <c r="E53" i="5"/>
  <c r="C53" i="5"/>
  <c r="I53" i="5" s="1"/>
  <c r="F52" i="5"/>
  <c r="E52" i="5"/>
  <c r="C52" i="5"/>
  <c r="I52" i="5" s="1"/>
  <c r="F51" i="5"/>
  <c r="E51" i="5"/>
  <c r="C51" i="5"/>
  <c r="I51" i="5" s="1"/>
  <c r="F50" i="5"/>
  <c r="E50" i="5"/>
  <c r="C50" i="5"/>
  <c r="I50" i="5" s="1"/>
  <c r="F49" i="5"/>
  <c r="E49" i="5"/>
  <c r="C49" i="5"/>
  <c r="I49" i="5" s="1"/>
  <c r="F48" i="5"/>
  <c r="E48" i="5"/>
  <c r="C48" i="5"/>
  <c r="I48" i="5" s="1"/>
  <c r="F47" i="5"/>
  <c r="E47" i="5"/>
  <c r="C47" i="5"/>
  <c r="I47" i="5" s="1"/>
  <c r="F46" i="5"/>
  <c r="E46" i="5"/>
  <c r="C46" i="5"/>
  <c r="I46" i="5" s="1"/>
  <c r="F45" i="5"/>
  <c r="E45" i="5"/>
  <c r="C45" i="5"/>
  <c r="I45" i="5" s="1"/>
  <c r="F44" i="5"/>
  <c r="E44" i="5"/>
  <c r="C44" i="5"/>
  <c r="I44" i="5" s="1"/>
  <c r="F43" i="5"/>
  <c r="E43" i="5"/>
  <c r="C43" i="5"/>
  <c r="I43" i="5" s="1"/>
  <c r="F42" i="5"/>
  <c r="E42" i="5"/>
  <c r="C42" i="5"/>
  <c r="I42" i="5" s="1"/>
  <c r="F41" i="5"/>
  <c r="E41" i="5"/>
  <c r="C41" i="5"/>
  <c r="I41" i="5" s="1"/>
  <c r="F40" i="5"/>
  <c r="E40" i="5"/>
  <c r="C40" i="5"/>
  <c r="I40" i="5" s="1"/>
  <c r="F39" i="5"/>
  <c r="E39" i="5"/>
  <c r="C39" i="5"/>
  <c r="I39" i="5" s="1"/>
  <c r="F38" i="5"/>
  <c r="E38" i="5"/>
  <c r="C38" i="5"/>
  <c r="I38" i="5" s="1"/>
  <c r="F37" i="5"/>
  <c r="E37" i="5"/>
  <c r="C37" i="5"/>
  <c r="I37" i="5" s="1"/>
  <c r="F36" i="5"/>
  <c r="E36" i="5"/>
  <c r="C36" i="5"/>
  <c r="I36" i="5" s="1"/>
  <c r="F35" i="5"/>
  <c r="E35" i="5"/>
  <c r="C35" i="5"/>
  <c r="I35" i="5" s="1"/>
  <c r="F34" i="5"/>
  <c r="E34" i="5"/>
  <c r="C34" i="5"/>
  <c r="I34" i="5" s="1"/>
  <c r="F33" i="5"/>
  <c r="E33" i="5"/>
  <c r="C33" i="5"/>
  <c r="I33" i="5" s="1"/>
  <c r="F32" i="5"/>
  <c r="E32" i="5"/>
  <c r="C32" i="5"/>
  <c r="I32" i="5" s="1"/>
  <c r="F31" i="5"/>
  <c r="E31" i="5"/>
  <c r="C31" i="5"/>
  <c r="I31" i="5" s="1"/>
  <c r="F30" i="5"/>
  <c r="E30" i="5"/>
  <c r="C30" i="5"/>
  <c r="I30" i="5" s="1"/>
  <c r="F29" i="5"/>
  <c r="E29" i="5"/>
  <c r="C29" i="5"/>
  <c r="I29" i="5" s="1"/>
  <c r="F28" i="5"/>
  <c r="E28" i="5"/>
  <c r="C28" i="5"/>
  <c r="I28" i="5" s="1"/>
  <c r="F27" i="5"/>
  <c r="E27" i="5"/>
  <c r="C27" i="5"/>
  <c r="I27" i="5" s="1"/>
  <c r="F26" i="5"/>
  <c r="E26" i="5"/>
  <c r="C26" i="5"/>
  <c r="I26" i="5" s="1"/>
  <c r="F25" i="5"/>
  <c r="E25" i="5"/>
  <c r="C25" i="5"/>
  <c r="I25" i="5" s="1"/>
  <c r="F24" i="5"/>
  <c r="E24" i="5"/>
  <c r="C24" i="5"/>
  <c r="I24" i="5" s="1"/>
  <c r="F23" i="5"/>
  <c r="E23" i="5"/>
  <c r="C23" i="5"/>
  <c r="I23" i="5" s="1"/>
  <c r="F22" i="5"/>
  <c r="E22" i="5"/>
  <c r="C22" i="5"/>
  <c r="I22" i="5" s="1"/>
  <c r="F21" i="5"/>
  <c r="E21" i="5"/>
  <c r="C21" i="5"/>
  <c r="I21" i="5" s="1"/>
  <c r="F20" i="5"/>
  <c r="E20" i="5"/>
  <c r="C20" i="5"/>
  <c r="I20" i="5" s="1"/>
  <c r="F19" i="5"/>
  <c r="E19" i="5"/>
  <c r="C19" i="5"/>
  <c r="I19" i="5" s="1"/>
  <c r="F18" i="5"/>
  <c r="E18" i="5"/>
  <c r="C18" i="5"/>
  <c r="I18" i="5" s="1"/>
  <c r="F17" i="5"/>
  <c r="E17" i="5"/>
  <c r="C17" i="5"/>
  <c r="I17" i="5" s="1"/>
  <c r="F16" i="5"/>
  <c r="E16" i="5"/>
  <c r="C16" i="5"/>
  <c r="I16" i="5" s="1"/>
  <c r="F15" i="5"/>
  <c r="E15" i="5"/>
  <c r="C15" i="5"/>
  <c r="I15" i="5" s="1"/>
  <c r="F14" i="5"/>
  <c r="E14" i="5"/>
  <c r="C14" i="5"/>
  <c r="I14" i="5" s="1"/>
  <c r="F13" i="5"/>
  <c r="E13" i="5"/>
  <c r="C13" i="5"/>
  <c r="I13" i="5" s="1"/>
  <c r="F12" i="5"/>
  <c r="E12" i="5"/>
  <c r="C12" i="5"/>
  <c r="I12" i="5" s="1"/>
  <c r="F11" i="5"/>
  <c r="E11" i="5"/>
  <c r="C11" i="5"/>
  <c r="I11" i="5" s="1"/>
  <c r="F10" i="5"/>
  <c r="E10" i="5"/>
  <c r="C10" i="5"/>
  <c r="I10" i="5" s="1"/>
  <c r="F9" i="5"/>
  <c r="E9" i="5"/>
  <c r="C9" i="5"/>
  <c r="I9" i="5" s="1"/>
  <c r="F8" i="5"/>
  <c r="E8" i="5"/>
  <c r="C8" i="5"/>
  <c r="I8" i="5" s="1"/>
  <c r="F7" i="5"/>
  <c r="E7" i="5"/>
  <c r="C7" i="5"/>
  <c r="I7" i="5" s="1"/>
  <c r="F6" i="5"/>
  <c r="E6" i="5"/>
  <c r="C6" i="5"/>
  <c r="I6" i="5" s="1"/>
  <c r="F5" i="5"/>
  <c r="E5" i="5"/>
  <c r="C5" i="5"/>
  <c r="I5" i="5" s="1"/>
  <c r="F4" i="5"/>
  <c r="E4" i="5"/>
  <c r="C4" i="5"/>
  <c r="I4" i="5" s="1"/>
  <c r="F3" i="5"/>
  <c r="E3" i="5"/>
  <c r="C3" i="5"/>
  <c r="I3" i="5" s="1"/>
  <c r="F2" i="5"/>
  <c r="E2" i="5"/>
  <c r="C2" i="5"/>
  <c r="I2" i="5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3" i="2"/>
  <c r="I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H64" i="1"/>
  <c r="H65" i="1" s="1"/>
  <c r="G64" i="1"/>
  <c r="G65" i="1" s="1"/>
  <c r="F64" i="1"/>
  <c r="F65" i="1" s="1"/>
  <c r="E64" i="1"/>
  <c r="E65" i="1" s="1"/>
  <c r="D64" i="1"/>
  <c r="D65" i="1" s="1"/>
  <c r="B64" i="1"/>
  <c r="B65" i="1" s="1"/>
  <c r="H63" i="1"/>
  <c r="G63" i="1"/>
  <c r="F63" i="1"/>
  <c r="E63" i="1"/>
  <c r="D63" i="1"/>
  <c r="B63" i="1"/>
  <c r="A65" i="1"/>
  <c r="A64" i="1"/>
  <c r="A63" i="1"/>
  <c r="C63" i="1"/>
  <c r="C64" i="1"/>
  <c r="C65" i="1" s="1"/>
  <c r="J2" i="8"/>
  <c r="L2" i="8"/>
  <c r="M2" i="8"/>
  <c r="K2" i="8"/>
  <c r="J6" i="8"/>
  <c r="M6" i="8"/>
  <c r="K6" i="8"/>
  <c r="L6" i="8"/>
  <c r="M10" i="8"/>
  <c r="K10" i="8"/>
  <c r="J10" i="8"/>
  <c r="N10" i="8" s="1"/>
  <c r="L10" i="8"/>
  <c r="J14" i="8"/>
  <c r="L14" i="8"/>
  <c r="M14" i="8"/>
  <c r="K14" i="8"/>
  <c r="J18" i="8"/>
  <c r="K18" i="8"/>
  <c r="M18" i="8"/>
  <c r="L18" i="8"/>
  <c r="M22" i="8"/>
  <c r="L22" i="8"/>
  <c r="K22" i="8"/>
  <c r="J22" i="8"/>
  <c r="K26" i="8"/>
  <c r="L26" i="8"/>
  <c r="M26" i="8"/>
  <c r="J26" i="8"/>
  <c r="J30" i="8"/>
  <c r="M30" i="8"/>
  <c r="L30" i="8"/>
  <c r="K30" i="8"/>
  <c r="M34" i="8"/>
  <c r="L34" i="8"/>
  <c r="J34" i="8"/>
  <c r="N34" i="8" s="1"/>
  <c r="K34" i="8"/>
  <c r="M38" i="8"/>
  <c r="K38" i="8"/>
  <c r="L38" i="8"/>
  <c r="J38" i="8"/>
  <c r="J42" i="8"/>
  <c r="K42" i="8"/>
  <c r="L42" i="8"/>
  <c r="M42" i="8"/>
  <c r="J46" i="8"/>
  <c r="L46" i="8"/>
  <c r="M46" i="8"/>
  <c r="K46" i="8"/>
  <c r="L50" i="8"/>
  <c r="K50" i="8"/>
  <c r="M50" i="8"/>
  <c r="J50" i="8"/>
  <c r="M54" i="8"/>
  <c r="L54" i="8"/>
  <c r="K54" i="8"/>
  <c r="J54" i="8"/>
  <c r="J58" i="8"/>
  <c r="L58" i="8"/>
  <c r="M58" i="8"/>
  <c r="K58" i="8"/>
  <c r="J3" i="8"/>
  <c r="M3" i="8"/>
  <c r="L3" i="8"/>
  <c r="K3" i="8"/>
  <c r="K7" i="8"/>
  <c r="J7" i="8"/>
  <c r="L7" i="8"/>
  <c r="M7" i="8"/>
  <c r="J11" i="8"/>
  <c r="M11" i="8"/>
  <c r="K11" i="8"/>
  <c r="L11" i="8"/>
  <c r="M15" i="8"/>
  <c r="K15" i="8"/>
  <c r="J15" i="8"/>
  <c r="N15" i="8" s="1"/>
  <c r="L15" i="8"/>
  <c r="J19" i="8"/>
  <c r="K19" i="8"/>
  <c r="M19" i="8"/>
  <c r="L19" i="8"/>
  <c r="J23" i="8"/>
  <c r="M23" i="8"/>
  <c r="K23" i="8"/>
  <c r="L23" i="8"/>
  <c r="M27" i="8"/>
  <c r="J27" i="8"/>
  <c r="L27" i="8"/>
  <c r="K27" i="8"/>
  <c r="K31" i="8"/>
  <c r="L31" i="8"/>
  <c r="J31" i="8"/>
  <c r="N31" i="8" s="1"/>
  <c r="M31" i="8"/>
  <c r="J35" i="8"/>
  <c r="M35" i="8"/>
  <c r="L35" i="8"/>
  <c r="K35" i="8"/>
  <c r="M39" i="8"/>
  <c r="L39" i="8"/>
  <c r="J39" i="8"/>
  <c r="N39" i="8" s="1"/>
  <c r="K39" i="8"/>
  <c r="M43" i="8"/>
  <c r="K43" i="8"/>
  <c r="L43" i="8"/>
  <c r="J43" i="8"/>
  <c r="J47" i="8"/>
  <c r="K47" i="8"/>
  <c r="L47" i="8"/>
  <c r="M47" i="8"/>
  <c r="J51" i="8"/>
  <c r="L51" i="8"/>
  <c r="M51" i="8"/>
  <c r="K51" i="8"/>
  <c r="L55" i="8"/>
  <c r="K55" i="8"/>
  <c r="M55" i="8"/>
  <c r="J55" i="8"/>
  <c r="M59" i="8"/>
  <c r="L59" i="8"/>
  <c r="K59" i="8"/>
  <c r="J59" i="8"/>
  <c r="J9" i="8"/>
  <c r="M9" i="8"/>
  <c r="L9" i="8"/>
  <c r="N9" i="8" s="1"/>
  <c r="K9" i="8"/>
  <c r="J4" i="8"/>
  <c r="M4" i="8"/>
  <c r="L4" i="8"/>
  <c r="N4" i="8" s="1"/>
  <c r="K4" i="8"/>
  <c r="K8" i="8"/>
  <c r="J8" i="8"/>
  <c r="L8" i="8"/>
  <c r="M8" i="8"/>
  <c r="J12" i="8"/>
  <c r="M12" i="8"/>
  <c r="K12" i="8"/>
  <c r="N12" i="8" s="1"/>
  <c r="L12" i="8"/>
  <c r="M16" i="8"/>
  <c r="K16" i="8"/>
  <c r="J16" i="8"/>
  <c r="N16" i="8" s="1"/>
  <c r="L16" i="8"/>
  <c r="K20" i="8"/>
  <c r="M20" i="8"/>
  <c r="L20" i="8"/>
  <c r="N20" i="8" s="1"/>
  <c r="J20" i="8"/>
  <c r="J24" i="8"/>
  <c r="M24" i="8"/>
  <c r="K24" i="8"/>
  <c r="N24" i="8" s="1"/>
  <c r="L24" i="8"/>
  <c r="M28" i="8"/>
  <c r="L28" i="8"/>
  <c r="J28" i="8"/>
  <c r="N28" i="8" s="1"/>
  <c r="K28" i="8"/>
  <c r="L32" i="8"/>
  <c r="J32" i="8"/>
  <c r="K32" i="8"/>
  <c r="M32" i="8"/>
  <c r="J36" i="8"/>
  <c r="M36" i="8"/>
  <c r="L36" i="8"/>
  <c r="N36" i="8" s="1"/>
  <c r="K36" i="8"/>
  <c r="M40" i="8"/>
  <c r="L40" i="8"/>
  <c r="J40" i="8"/>
  <c r="N40" i="8" s="1"/>
  <c r="K40" i="8"/>
  <c r="K44" i="8"/>
  <c r="M44" i="8"/>
  <c r="L44" i="8"/>
  <c r="N44" i="8" s="1"/>
  <c r="J44" i="8"/>
  <c r="K48" i="8"/>
  <c r="L48" i="8"/>
  <c r="J48" i="8"/>
  <c r="N48" i="8" s="1"/>
  <c r="M48" i="8"/>
  <c r="L52" i="8"/>
  <c r="J52" i="8"/>
  <c r="M52" i="8"/>
  <c r="K52" i="8"/>
  <c r="M56" i="8"/>
  <c r="K56" i="8"/>
  <c r="L56" i="8"/>
  <c r="J56" i="8"/>
  <c r="L60" i="8"/>
  <c r="K60" i="8"/>
  <c r="M60" i="8"/>
  <c r="J60" i="8"/>
  <c r="J5" i="8"/>
  <c r="L5" i="8"/>
  <c r="M5" i="8"/>
  <c r="N5" i="8" s="1"/>
  <c r="K5" i="8"/>
  <c r="M13" i="8"/>
  <c r="J13" i="8"/>
  <c r="K13" i="8"/>
  <c r="N13" i="8" s="1"/>
  <c r="L13" i="8"/>
  <c r="L17" i="8"/>
  <c r="M17" i="8"/>
  <c r="J17" i="8"/>
  <c r="N17" i="8" s="1"/>
  <c r="K17" i="8"/>
  <c r="M21" i="8"/>
  <c r="L21" i="8"/>
  <c r="J21" i="8"/>
  <c r="N21" i="8" s="1"/>
  <c r="K21" i="8"/>
  <c r="K25" i="8"/>
  <c r="M25" i="8"/>
  <c r="L25" i="8"/>
  <c r="N25" i="8" s="1"/>
  <c r="J25" i="8"/>
  <c r="K29" i="8"/>
  <c r="M29" i="8"/>
  <c r="J29" i="8"/>
  <c r="N29" i="8" s="1"/>
  <c r="L29" i="8"/>
  <c r="L37" i="8"/>
  <c r="K37" i="8"/>
  <c r="J37" i="8"/>
  <c r="N37" i="8" s="1"/>
  <c r="M37" i="8"/>
  <c r="J41" i="8"/>
  <c r="L41" i="8"/>
  <c r="M41" i="8"/>
  <c r="N41" i="8" s="1"/>
  <c r="K41" i="8"/>
  <c r="K45" i="8"/>
  <c r="M45" i="8"/>
  <c r="L45" i="8"/>
  <c r="N45" i="8" s="1"/>
  <c r="J45" i="8"/>
  <c r="L49" i="8"/>
  <c r="K49" i="8"/>
  <c r="M49" i="8"/>
  <c r="N49" i="8" s="1"/>
  <c r="J49" i="8"/>
  <c r="M53" i="8"/>
  <c r="K53" i="8"/>
  <c r="L53" i="8"/>
  <c r="N53" i="8" s="1"/>
  <c r="J53" i="8"/>
  <c r="L57" i="8"/>
  <c r="M57" i="8"/>
  <c r="K57" i="8"/>
  <c r="N57" i="8" s="1"/>
  <c r="J57" i="8"/>
  <c r="L61" i="8"/>
  <c r="K61" i="8"/>
  <c r="M61" i="8"/>
  <c r="N61" i="8" s="1"/>
  <c r="J61" i="8"/>
  <c r="L33" i="8"/>
  <c r="J33" i="8"/>
  <c r="K33" i="8"/>
  <c r="N33" i="8" s="1"/>
  <c r="M33" i="8"/>
  <c r="N60" i="8" l="1"/>
  <c r="N56" i="8"/>
  <c r="N52" i="8"/>
  <c r="N32" i="8"/>
  <c r="N8" i="8"/>
  <c r="N27" i="8"/>
  <c r="N7" i="8"/>
  <c r="N51" i="8"/>
  <c r="N47" i="8"/>
  <c r="N35" i="8"/>
  <c r="N23" i="8"/>
  <c r="N19" i="8"/>
  <c r="N11" i="8"/>
  <c r="N3" i="8"/>
  <c r="N58" i="8"/>
  <c r="N46" i="8"/>
  <c r="N42" i="8"/>
  <c r="N30" i="8"/>
  <c r="N18" i="8"/>
  <c r="N14" i="8"/>
  <c r="N6" i="8"/>
  <c r="N2" i="8"/>
  <c r="N59" i="8"/>
  <c r="N55" i="8"/>
  <c r="N43" i="8"/>
  <c r="N54" i="8"/>
  <c r="N50" i="8"/>
  <c r="N38" i="8"/>
  <c r="N26" i="8"/>
  <c r="N22" i="8"/>
  <c r="H61" i="8"/>
  <c r="H48" i="8"/>
  <c r="H13" i="8"/>
  <c r="H20" i="8"/>
  <c r="H23" i="8"/>
  <c r="H47" i="8"/>
  <c r="H58" i="8"/>
  <c r="H53" i="8"/>
  <c r="H26" i="8"/>
  <c r="H16" i="8"/>
  <c r="H12" i="8"/>
  <c r="H5" i="8"/>
  <c r="H41" i="8"/>
  <c r="H22" i="8"/>
  <c r="H57" i="8"/>
  <c r="H46" i="8"/>
  <c r="H52" i="8"/>
  <c r="H3" i="8"/>
  <c r="H49" i="8"/>
  <c r="H50" i="8"/>
  <c r="H9" i="8"/>
  <c r="H34" i="8"/>
  <c r="H18" i="8"/>
  <c r="H45" i="8"/>
  <c r="H38" i="8"/>
  <c r="H28" i="8"/>
  <c r="H42" i="8"/>
  <c r="H19" i="8"/>
  <c r="H25" i="8"/>
  <c r="H24" i="8"/>
  <c r="H56" i="8"/>
  <c r="H2" i="8"/>
  <c r="H10" i="8"/>
  <c r="H44" i="8"/>
  <c r="H35" i="8"/>
  <c r="H11" i="8"/>
  <c r="H32" i="8"/>
  <c r="H54" i="8"/>
  <c r="H55" i="8"/>
  <c r="H6" i="8"/>
  <c r="H8" i="8"/>
  <c r="H27" i="8"/>
  <c r="H15" i="8"/>
  <c r="H14" i="8"/>
  <c r="H43" i="8"/>
  <c r="H40" i="8"/>
  <c r="H60" i="8"/>
  <c r="H31" i="8"/>
  <c r="H51" i="8"/>
  <c r="H59" i="8"/>
  <c r="H39" i="8"/>
  <c r="H36" i="8"/>
  <c r="H7" i="8"/>
  <c r="H33" i="8"/>
  <c r="H29" i="8"/>
  <c r="H17" i="8"/>
  <c r="H30" i="8"/>
  <c r="H37" i="8"/>
  <c r="H21" i="8"/>
  <c r="H4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6FC9CB-31FB-45DC-A453-9237890F5B02}" keepAlive="1" name="Query - DirtyData" description="Connection to the 'DirtyData' query in the workbook." type="5" refreshedVersion="8" background="1" saveData="1">
    <dbPr connection="Provider=Microsoft.Mashup.OleDb.1;Data Source=$Workbook$;Location=DirtyData;Extended Properties=&quot;&quot;" command="SELECT * FROM [Dirty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<sst xmlns="http://schemas.openxmlformats.org/spreadsheetml/2006/main" count="497" uniqueCount="78">
  <si>
    <t>CustomerID</t>
  </si>
  <si>
    <t>Name</t>
  </si>
  <si>
    <t>Age</t>
  </si>
  <si>
    <t>Income</t>
  </si>
  <si>
    <t>Department</t>
  </si>
  <si>
    <t>Score</t>
  </si>
  <si>
    <t>JoinDate</t>
  </si>
  <si>
    <t>Churned (Yes/No)</t>
  </si>
  <si>
    <t>Liam</t>
  </si>
  <si>
    <t>Noah</t>
  </si>
  <si>
    <t>Oliver</t>
  </si>
  <si>
    <t>James</t>
  </si>
  <si>
    <t>Ethan</t>
  </si>
  <si>
    <t>Lucas</t>
  </si>
  <si>
    <t>Mason</t>
  </si>
  <si>
    <t>Logan</t>
  </si>
  <si>
    <t>Aiden</t>
  </si>
  <si>
    <t>Carter</t>
  </si>
  <si>
    <t>Jayden</t>
  </si>
  <si>
    <t>Elijah</t>
  </si>
  <si>
    <t>Ryan</t>
  </si>
  <si>
    <t>Nathan</t>
  </si>
  <si>
    <t>Dylan</t>
  </si>
  <si>
    <t>Emma</t>
  </si>
  <si>
    <t>Olivia</t>
  </si>
  <si>
    <t>Ava</t>
  </si>
  <si>
    <t>Isabella</t>
  </si>
  <si>
    <t>Sophia</t>
  </si>
  <si>
    <t>Mia</t>
  </si>
  <si>
    <t>Charlotte</t>
  </si>
  <si>
    <t>Amelia</t>
  </si>
  <si>
    <t>Harper</t>
  </si>
  <si>
    <t>Evelyn</t>
  </si>
  <si>
    <t>Luna</t>
  </si>
  <si>
    <t>Ella</t>
  </si>
  <si>
    <t>Chloe</t>
  </si>
  <si>
    <t>Grace</t>
  </si>
  <si>
    <t>Lily</t>
  </si>
  <si>
    <t>Alice Johnson</t>
  </si>
  <si>
    <t>Bob Smith</t>
  </si>
  <si>
    <t>Cara Lee</t>
  </si>
  <si>
    <t>David Park</t>
  </si>
  <si>
    <t>Emma Wilson</t>
  </si>
  <si>
    <t>Frank Nguyen</t>
  </si>
  <si>
    <t>Grace Kim</t>
  </si>
  <si>
    <t>Harry Brown</t>
  </si>
  <si>
    <t>Isla Torres</t>
  </si>
  <si>
    <t>Jake Martin</t>
  </si>
  <si>
    <t>Kara Davis</t>
  </si>
  <si>
    <t>Liam Garcia</t>
  </si>
  <si>
    <t>Mia Chen</t>
  </si>
  <si>
    <t>Noah Evans</t>
  </si>
  <si>
    <t>Olivia Hall</t>
  </si>
  <si>
    <t>Peter Adams</t>
  </si>
  <si>
    <t>Quinn Baker</t>
  </si>
  <si>
    <t>Ryan Clark</t>
  </si>
  <si>
    <t>Sara Murphy</t>
  </si>
  <si>
    <t>Tom Nelson</t>
  </si>
  <si>
    <t>Uma Patel</t>
  </si>
  <si>
    <t>Victor Ross</t>
  </si>
  <si>
    <t>Wendy Scott</t>
  </si>
  <si>
    <t>Xander Lee</t>
  </si>
  <si>
    <t>Yara Khan</t>
  </si>
  <si>
    <t>Zoe Turner</t>
  </si>
  <si>
    <t>Aaron James</t>
  </si>
  <si>
    <t>Bella White</t>
  </si>
  <si>
    <t>Carlos Diaz</t>
  </si>
  <si>
    <t>Engineer</t>
  </si>
  <si>
    <t>Scientist</t>
  </si>
  <si>
    <t>Analyst</t>
  </si>
  <si>
    <t>Developer</t>
  </si>
  <si>
    <t>Was_Imputed</t>
  </si>
  <si>
    <t>Age_Group</t>
  </si>
  <si>
    <t>Is_Eng</t>
  </si>
  <si>
    <t>Is_Analyst</t>
  </si>
  <si>
    <t>Is_Dev</t>
  </si>
  <si>
    <t>Is_Sci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</si>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</sst>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12121"/>
      <name val="Calibri"/>
      <family val="2"/>
      <scheme val="minor"/>
    </font>
    <font>
      <sz val="10"/>
      <color rgb="FF18243A"/>
      <name val="Calibri"/>
      <family val="2"/>
      <scheme val="minor"/>
    </font>
    <font>
      <b/>
      <i/>
      <sz val="10"/>
      <color rgb="FF18243A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18243A"/>
      <name val="Arial"/>
      <family val="2"/>
    </font>
    <font>
      <sz val="10"/>
      <color rgb="FF18243A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4" fillId="0" borderId="0" xfId="0" applyFont="1" applyAlignment="1">
      <alignment horizontal="center"/>
    </xf>
    <xf numFmtId="9" fontId="4" fillId="0" borderId="0" xfId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NumberFormat="1"/>
    <xf numFmtId="22" fontId="0" fillId="0" borderId="0" xfId="0" applyNumberFormat="1"/>
    <xf numFmtId="0" fontId="0" fillId="0" borderId="0" xfId="0" applyNumberFormat="1" applyFont="1" applyAlignment="1">
      <alignment horizontal="center" vertical="center"/>
    </xf>
    <xf numFmtId="0" fontId="8" fillId="0" borderId="0" xfId="0" applyFont="1"/>
  </cellXfs>
  <cellStyles count="2">
    <cellStyle name="Normal" xfId="0" builtinId="0"/>
    <cellStyle name="Percent" xfId="1" builtinId="5"/>
  </cellStyles>
  <dxfs count="53"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8243A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8243A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8243A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Calibri"/>
        <family val="2"/>
        <scheme val="minor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8243A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8243A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8243A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Calibri"/>
        <family val="2"/>
        <scheme val="minor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8243A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8243A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8243A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Calibri"/>
        <family val="2"/>
        <scheme val="minor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Calibri"/>
        <family val="2"/>
        <scheme val="minor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0886F1-3957-4226-913D-A9575DC3FB6B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CustomerID" tableColumnId="1"/>
      <queryTableField id="2" name="Name" tableColumnId="2"/>
      <queryTableField id="3" name="Age" tableColumnId="3"/>
      <queryTableField id="4" name="Income" tableColumnId="4"/>
      <queryTableField id="5" name="Department" tableColumnId="5"/>
      <queryTableField id="6" name="Score" tableColumnId="6"/>
      <queryTableField id="7" name="JoinDate" tableColumnId="7"/>
      <queryTableField id="8" name="Churned (Yes/No)" tableColumnId="8"/>
      <queryTableField id="9" name="Was_Imputed" tableColumnId="9"/>
      <queryTableField id="10" dataBound="0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578C4-92E8-4CDF-AB7B-7DAE739FEE6D}" name="DirtyData" displayName="DirtyData" ref="A1:I61" totalsRowShown="0" headerRowDxfId="52" dataDxfId="51">
  <autoFilter ref="A1:I61" xr:uid="{F68578C4-92E8-4CDF-AB7B-7DAE739FEE6D}"/>
  <tableColumns count="9">
    <tableColumn id="1" xr3:uid="{BD4148CA-4AB3-440A-A059-89ED1E17D81D}" name="CustomerID" dataDxfId="50"/>
    <tableColumn id="2" xr3:uid="{A2BB7C92-D5DE-45E1-99F4-408EF4F7A47E}" name="Name" dataDxfId="49"/>
    <tableColumn id="3" xr3:uid="{D93B8ADC-FC06-4EC5-9F6F-F4CFB67194CD}" name="Age" dataDxfId="48"/>
    <tableColumn id="4" xr3:uid="{761F7363-6CAF-49D8-89FF-1CD37E7832AD}" name="Income" dataDxfId="47"/>
    <tableColumn id="5" xr3:uid="{9209A48D-002F-4F39-9964-05A0890E0B5F}" name="Department" dataDxfId="46"/>
    <tableColumn id="6" xr3:uid="{2D91B573-1948-4784-987A-D1908216B671}" name="Score" dataDxfId="45"/>
    <tableColumn id="7" xr3:uid="{4BD7B83E-EDCB-4916-834D-9DD24FAA155D}" name="JoinDate" dataDxfId="44"/>
    <tableColumn id="8" xr3:uid="{E9BE97EB-13F4-4155-B876-79968F258CF8}" name="Churned (Yes/No)" dataDxfId="43"/>
    <tableColumn id="9" xr3:uid="{7D74CB0E-9D9D-41A2-9470-718FD5A862BD}" name="Was_Imputed" dataDxfId="42">
      <calculatedColumnFormula>IF(ISBLANK(DirtyData[[#This Row],[Age]]),1,0)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EEFB2B-0F5D-40F8-9CAC-95981D149F45}" name="DirtyData_1" displayName="DirtyData_1" ref="A1:J61" tableType="queryTable" totalsRowShown="0">
  <autoFilter ref="A1:J61" xr:uid="{F2EEFB2B-0F5D-40F8-9CAC-95981D149F45}"/>
  <tableColumns count="10">
    <tableColumn id="1" xr3:uid="{7EA88ED6-9CF9-41DE-9866-F49311FAF97B}" uniqueName="1" name="CustomerID" queryTableFieldId="1"/>
    <tableColumn id="2" xr3:uid="{5AB69042-1ACB-4697-8858-6A89B1718B7D}" uniqueName="2" name="Name" queryTableFieldId="2" dataDxfId="19"/>
    <tableColumn id="3" xr3:uid="{516C1F95-4985-41E1-920E-F1DF3729E8ED}" uniqueName="3" name="Age" queryTableFieldId="3"/>
    <tableColumn id="4" xr3:uid="{59F8235F-3709-4602-A1C9-6A6109B9957D}" uniqueName="4" name="Income" queryTableFieldId="4"/>
    <tableColumn id="5" xr3:uid="{1CB9126F-08C3-4345-A94C-E2CE33300FEB}" uniqueName="5" name="Department" queryTableFieldId="5" dataDxfId="18"/>
    <tableColumn id="6" xr3:uid="{4495CE45-8DB4-4C2C-B9B6-744C8DFE94A5}" uniqueName="6" name="Score" queryTableFieldId="6"/>
    <tableColumn id="7" xr3:uid="{E17E84CB-D261-40A6-864D-99398107A512}" uniqueName="7" name="JoinDate" queryTableFieldId="7" dataDxfId="17"/>
    <tableColumn id="8" xr3:uid="{6D815EFC-04C7-4177-B92D-B7F4A23FB649}" uniqueName="8" name="Churned (Yes/No)" queryTableFieldId="8"/>
    <tableColumn id="9" xr3:uid="{83326A61-CA9B-4E95-A93E-9CA653326824}" uniqueName="9" name="Was_Imputed" queryTableFieldId="9"/>
    <tableColumn id="10" xr3:uid="{436C8627-629E-4CC9-8CA6-F4315E1AC2CF}" uniqueName="10" name="Age_Group" queryTableFieldId="10" dataDxfId="16">
      <calculatedColumnFormula array="1">_xlfn.IFS(DirtyData_1[[#This Row],[Age]]&lt;30,"Young",DirtyData_1[[#This Row],[Age]]&lt;50,"Mid",DirtyData_1[[#This Row],[Age]]&gt;=50,"Senior")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98104F-AED2-4590-9F21-EFEAF01DC9DA}" name="DirtyData3" displayName="DirtyData3" ref="A1:I61" totalsRowShown="0" headerRowDxfId="32" dataDxfId="31">
  <autoFilter ref="A1:I61" xr:uid="{F798104F-AED2-4590-9F21-EFEAF01DC9DA}"/>
  <tableColumns count="9">
    <tableColumn id="1" xr3:uid="{00EEA125-A6EE-4AEE-8E62-4AF9FA245614}" name="CustomerID" dataDxfId="41"/>
    <tableColumn id="2" xr3:uid="{99479776-CBF1-46AD-A2E6-304033A332A7}" name="Name" dataDxfId="40"/>
    <tableColumn id="3" xr3:uid="{AF6567F1-4E31-48C9-9C0A-0E7222B25625}" name="Age" dataDxfId="39">
      <calculatedColumnFormula>IF(ISBLANK(DirtyData[[#This Row],[Age]]), AVERAGE(DirtyData[Age]),DirtyData[[#This Row],[Age]])</calculatedColumnFormula>
    </tableColumn>
    <tableColumn id="4" xr3:uid="{F7916BDF-C21C-486B-A4E4-D788C0FB38D5}" name="Income" dataDxfId="38"/>
    <tableColumn id="5" xr3:uid="{839CB92D-3C26-4176-A804-BEBACED0E605}" name="Department" dataDxfId="37">
      <calculatedColumnFormula>IF(ISBLANK(DirtyData[[#This Row],[Department]]),"Unknown",DirtyData[[#This Row],[Department]])</calculatedColumnFormula>
    </tableColumn>
    <tableColumn id="6" xr3:uid="{E104F723-335C-4536-8CAF-296B04230B1A}" name="Score" dataDxfId="36">
      <calculatedColumnFormula>IF(ISBLANK(DirtyData[[#This Row],[Score]]),AVERAGE(DirtyData[Score]),DirtyData[[#This Row],[Score]])</calculatedColumnFormula>
    </tableColumn>
    <tableColumn id="7" xr3:uid="{FD08721B-E14E-4115-82FB-93C93E235D5C}" name="JoinDate" dataDxfId="35"/>
    <tableColumn id="8" xr3:uid="{10999AB3-A724-44DD-8DE9-29EE509E9892}" name="Churned (Yes/No)" dataDxfId="34"/>
    <tableColumn id="9" xr3:uid="{B042A32D-99EF-4AC4-9326-4FDA3E1DCE3A}" name="Was_Imputed" dataDxfId="33">
      <calculatedColumnFormula>IF(ISBLANK(DirtyData3[[#This Row],[Age]]),1,0)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DA74F1-08F0-4467-9A6C-05CAA5F5565A}" name="DirtyData35" displayName="DirtyData35" ref="A1:I61" totalsRowShown="0" headerRowDxfId="30" dataDxfId="29">
  <autoFilter ref="A1:I61" xr:uid="{5EDA74F1-08F0-4467-9A6C-05CAA5F5565A}"/>
  <tableColumns count="9">
    <tableColumn id="1" xr3:uid="{1426BC21-07CD-4CC1-99C0-15DE438A859C}" name="CustomerID" dataDxfId="28"/>
    <tableColumn id="2" xr3:uid="{5FB8A393-7764-410E-9A75-2F9F194478A5}" name="Name" dataDxfId="27"/>
    <tableColumn id="3" xr3:uid="{A0BCC601-2662-44DE-BC44-4A5E82A18E2F}" name="Age" dataDxfId="26">
      <calculatedColumnFormula>IF(ISBLANK(DirtyData[[#This Row],[Age]]), AVERAGE(DirtyData[Age]),DirtyData[[#This Row],[Age]])</calculatedColumnFormula>
    </tableColumn>
    <tableColumn id="4" xr3:uid="{8908575A-8945-4A05-9460-770C7A34A449}" name="Income" dataDxfId="25"/>
    <tableColumn id="5" xr3:uid="{C9CABE86-DC38-4EE6-AC78-6A31C216BA83}" name="Department" dataDxfId="24">
      <calculatedColumnFormula>IF(ISBLANK(DirtyData[[#This Row],[Department]]),"Unknown",DirtyData[[#This Row],[Department]])</calculatedColumnFormula>
    </tableColumn>
    <tableColumn id="6" xr3:uid="{99E53BDA-222C-4264-9E3D-E36DB3D93A55}" name="Score" dataDxfId="23">
      <calculatedColumnFormula>IF(ISBLANK(DirtyData[[#This Row],[Score]]),AVERAGE(DirtyData[Score]),DirtyData[[#This Row],[Score]])</calculatedColumnFormula>
    </tableColumn>
    <tableColumn id="7" xr3:uid="{B813A998-4D58-48A8-8C11-1A0B16BCB54C}" name="JoinDate" dataDxfId="22"/>
    <tableColumn id="8" xr3:uid="{51A79A9E-505D-4DC2-9D0A-ED3FAD2006BD}" name="Churned (Yes/No)" dataDxfId="21"/>
    <tableColumn id="9" xr3:uid="{92C3571B-C49D-44DE-9385-463BDA2D6608}" name="Was_Imputed" dataDxfId="20">
      <calculatedColumnFormula>IF(ISBLANK(DirtyData35[[#This Row],[Age]]),1,0)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B3F71D-BFC7-4E40-A927-B09836082A4B}" name="DirtyData37" displayName="DirtyData37" ref="A1:N61" totalsRowShown="0" headerRowDxfId="15" dataDxfId="14">
  <autoFilter ref="A1:N61" xr:uid="{23B3F71D-BFC7-4E40-A927-B09836082A4B}"/>
  <tableColumns count="14">
    <tableColumn id="1" xr3:uid="{8F1529FE-3D1A-433A-BF7F-5CE28D3DD861}" name="CustomerID" dataDxfId="13"/>
    <tableColumn id="2" xr3:uid="{11375421-BB6F-4432-9799-5D91381B425B}" name="Name" dataDxfId="12"/>
    <tableColumn id="3" xr3:uid="{6C52813B-8902-43A2-A2FF-A00BFB69808B}" name="Age" dataDxfId="11">
      <calculatedColumnFormula>IF(ISBLANK(DirtyData[[#This Row],[Age]]), AVERAGE(DirtyData[Age]),DirtyData[[#This Row],[Age]])</calculatedColumnFormula>
    </tableColumn>
    <tableColumn id="4" xr3:uid="{8B9FA403-5C8E-4C69-874A-52D999B7A775}" name="Income" dataDxfId="10"/>
    <tableColumn id="5" xr3:uid="{EBB0163B-F667-4A34-97F2-32216C740991}" name="Department" dataDxfId="2"/>
    <tableColumn id="6" xr3:uid="{102E493C-27E8-44C9-BD77-848C5314C8EC}" name="Score" dataDxfId="9">
      <calculatedColumnFormula>IF(ISBLANK(DirtyData[[#This Row],[Score]]),AVERAGE(DirtyData[Score]),DirtyData[[#This Row],[Score]])</calculatedColumnFormula>
    </tableColumn>
    <tableColumn id="7" xr3:uid="{8149C1DC-CB3C-4773-8CBA-3D825771C719}" name="JoinDate" dataDxfId="8"/>
    <tableColumn id="8" xr3:uid="{0EE67653-4709-4631-9141-22BCBACC6739}" name="Churned (Yes/No)" dataDxfId="0">
      <calculatedColumnFormula>IF(DirtyData37[[#This Row],[Churned (Yes/No)]]=1,"Yes","No")</calculatedColumnFormula>
    </tableColumn>
    <tableColumn id="9" xr3:uid="{910D1DFA-C3A0-45BA-8899-04642423CB17}" name="Was_Imputed" dataDxfId="7">
      <calculatedColumnFormula>IF(ISBLANK(DirtyData37[[#This Row],[Age]]),1,0)</calculatedColumnFormula>
    </tableColumn>
    <tableColumn id="10" xr3:uid="{2DF05228-D2C8-4505-BE3E-E9FCAB3DCF53}" name="Is_Eng" dataDxfId="6">
      <calculatedColumnFormula>IF(DirtyData37[[#This Row],[Department]]="Engineer",1,0)</calculatedColumnFormula>
    </tableColumn>
    <tableColumn id="11" xr3:uid="{C693028B-F33E-4166-90C6-47F73306C751}" name="Is_Analyst" dataDxfId="3">
      <calculatedColumnFormula>IF(DirtyData37[[#This Row],[Department]]="Analyst",1,0)</calculatedColumnFormula>
    </tableColumn>
    <tableColumn id="12" xr3:uid="{7824BF91-6659-4EEE-884E-3916A17A2F62}" name="Is_Dev" dataDxfId="5">
      <calculatedColumnFormula>IF(DirtyData37[[#This Row],[Department]]="Developer",1,0)</calculatedColumnFormula>
    </tableColumn>
    <tableColumn id="13" xr3:uid="{83E3E2DA-9888-40F9-8F73-01A42B67121E}" name="Is_Sci" dataDxfId="4">
      <calculatedColumnFormula>IF(DirtyData37[[#This Row],[Department]]="Scientist",1,0)</calculatedColumnFormula>
    </tableColumn>
    <tableColumn id="15" xr3:uid="{7B6BCEE1-D5A8-401B-861A-3BE7702C3B33}" name="Check" dataDxfId="1">
      <calculatedColumnFormula>DirtyData37[[#This Row],[Is_Eng]]+DirtyData37[[#This Row],[Is_Analyst]]+DirtyData37[[#This Row],[Is_Dev]]+DirtyData37[[#This Row],[Is_Sci]]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2700-DDB8-4CAB-8C35-45E2A95A7BFA}">
  <dimension ref="A1:I65"/>
  <sheetViews>
    <sheetView zoomScaleNormal="100" workbookViewId="0">
      <selection activeCell="A41" sqref="A41"/>
    </sheetView>
  </sheetViews>
  <sheetFormatPr defaultRowHeight="15" x14ac:dyDescent="0.25"/>
  <cols>
    <col min="1" max="1" width="16" style="1" bestFit="1" customWidth="1"/>
    <col min="2" max="2" width="12.7109375" style="1" bestFit="1" customWidth="1"/>
    <col min="3" max="3" width="9" style="1" bestFit="1" customWidth="1"/>
    <col min="4" max="4" width="12.140625" style="1" bestFit="1" customWidth="1"/>
    <col min="5" max="5" width="16.28515625" style="1" bestFit="1" customWidth="1"/>
    <col min="6" max="6" width="10.42578125" style="1" bestFit="1" customWidth="1"/>
    <col min="7" max="7" width="13.28515625" style="1" bestFit="1" customWidth="1"/>
    <col min="8" max="8" width="21.85546875" style="1" bestFit="1" customWidth="1"/>
    <col min="9" max="16384" width="9.140625" style="1"/>
  </cols>
  <sheetData>
    <row r="1" spans="1:9" s="9" customFormat="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8" t="s">
        <v>71</v>
      </c>
    </row>
    <row r="2" spans="1:9" x14ac:dyDescent="0.25">
      <c r="A2" s="1">
        <v>101</v>
      </c>
      <c r="B2" s="2" t="s">
        <v>8</v>
      </c>
      <c r="C2" s="1">
        <v>25</v>
      </c>
      <c r="D2" s="1">
        <v>99169</v>
      </c>
      <c r="F2" s="1">
        <v>65</v>
      </c>
      <c r="G2" s="3">
        <v>46052</v>
      </c>
      <c r="H2" s="1">
        <v>1</v>
      </c>
      <c r="I2" s="11">
        <f>IF(ISBLANK(DirtyData[[#This Row],[Age]]),1,0)</f>
        <v>0</v>
      </c>
    </row>
    <row r="3" spans="1:9" x14ac:dyDescent="0.25">
      <c r="A3" s="1">
        <v>102</v>
      </c>
      <c r="B3" s="4" t="s">
        <v>9</v>
      </c>
      <c r="D3" s="1">
        <v>89524</v>
      </c>
      <c r="E3" s="1" t="s">
        <v>67</v>
      </c>
      <c r="F3" s="1">
        <v>98</v>
      </c>
      <c r="G3" s="3">
        <v>46052</v>
      </c>
      <c r="H3" s="1">
        <v>0</v>
      </c>
      <c r="I3" s="11">
        <f>IF(ISBLANK(DirtyData[[#This Row],[Age]]),1,0)</f>
        <v>1</v>
      </c>
    </row>
    <row r="4" spans="1:9" x14ac:dyDescent="0.25">
      <c r="A4" s="1">
        <v>103</v>
      </c>
      <c r="B4" s="2" t="s">
        <v>10</v>
      </c>
      <c r="C4" s="1">
        <v>29</v>
      </c>
      <c r="E4" s="1" t="s">
        <v>69</v>
      </c>
      <c r="F4" s="1">
        <v>92</v>
      </c>
      <c r="G4" s="3">
        <v>46052</v>
      </c>
      <c r="H4" s="1">
        <v>1</v>
      </c>
      <c r="I4" s="11">
        <f>IF(ISBLANK(DirtyData[[#This Row],[Age]]),1,0)</f>
        <v>0</v>
      </c>
    </row>
    <row r="5" spans="1:9" x14ac:dyDescent="0.25">
      <c r="A5" s="1">
        <v>104</v>
      </c>
      <c r="B5" s="4" t="s">
        <v>11</v>
      </c>
      <c r="C5" s="1">
        <v>25</v>
      </c>
      <c r="D5" s="1">
        <v>99194</v>
      </c>
      <c r="E5" s="1" t="s">
        <v>70</v>
      </c>
      <c r="F5" s="1">
        <v>63</v>
      </c>
      <c r="G5" s="3">
        <v>46052</v>
      </c>
      <c r="H5" s="1">
        <v>0</v>
      </c>
      <c r="I5" s="11">
        <f>IF(ISBLANK(DirtyData[[#This Row],[Age]]),1,0)</f>
        <v>0</v>
      </c>
    </row>
    <row r="6" spans="1:9" x14ac:dyDescent="0.25">
      <c r="A6" s="1">
        <v>105</v>
      </c>
      <c r="B6" s="2" t="s">
        <v>12</v>
      </c>
      <c r="C6" s="1">
        <v>25</v>
      </c>
      <c r="D6" s="1">
        <v>71480</v>
      </c>
      <c r="E6" s="1" t="s">
        <v>70</v>
      </c>
      <c r="G6" s="3">
        <v>46052</v>
      </c>
      <c r="H6" s="1">
        <v>1</v>
      </c>
      <c r="I6" s="11">
        <f>IF(ISBLANK(DirtyData[[#This Row],[Age]]),1,0)</f>
        <v>0</v>
      </c>
    </row>
    <row r="7" spans="1:9" x14ac:dyDescent="0.25">
      <c r="A7" s="1">
        <v>106</v>
      </c>
      <c r="B7" s="4" t="s">
        <v>13</v>
      </c>
      <c r="C7" s="1">
        <v>18</v>
      </c>
      <c r="E7" s="1" t="s">
        <v>67</v>
      </c>
      <c r="G7" s="3">
        <v>46052</v>
      </c>
      <c r="H7" s="1">
        <v>0</v>
      </c>
      <c r="I7" s="11">
        <f>IF(ISBLANK(DirtyData[[#This Row],[Age]]),1,0)</f>
        <v>0</v>
      </c>
    </row>
    <row r="8" spans="1:9" x14ac:dyDescent="0.25">
      <c r="A8" s="1">
        <v>107</v>
      </c>
      <c r="B8" s="2" t="s">
        <v>14</v>
      </c>
      <c r="C8" s="1">
        <v>28</v>
      </c>
      <c r="D8" s="1">
        <v>80839</v>
      </c>
      <c r="E8" s="1" t="s">
        <v>68</v>
      </c>
      <c r="F8" s="1">
        <v>33</v>
      </c>
      <c r="G8" s="3">
        <v>46052</v>
      </c>
      <c r="H8" s="1">
        <v>0</v>
      </c>
      <c r="I8" s="11">
        <f>IF(ISBLANK(DirtyData[[#This Row],[Age]]),1,0)</f>
        <v>0</v>
      </c>
    </row>
    <row r="9" spans="1:9" x14ac:dyDescent="0.25">
      <c r="A9" s="1">
        <v>108</v>
      </c>
      <c r="B9" s="4" t="s">
        <v>15</v>
      </c>
      <c r="C9" s="1">
        <v>21</v>
      </c>
      <c r="D9" s="1">
        <v>60827</v>
      </c>
      <c r="G9" s="3">
        <v>46052</v>
      </c>
      <c r="H9" s="1">
        <v>0</v>
      </c>
      <c r="I9" s="11">
        <f>IF(ISBLANK(DirtyData[[#This Row],[Age]]),1,0)</f>
        <v>0</v>
      </c>
    </row>
    <row r="10" spans="1:9" x14ac:dyDescent="0.25">
      <c r="A10" s="1">
        <v>109</v>
      </c>
      <c r="B10" s="2" t="s">
        <v>16</v>
      </c>
      <c r="D10" s="1">
        <v>90022</v>
      </c>
      <c r="E10" s="1" t="s">
        <v>68</v>
      </c>
      <c r="F10" s="1">
        <v>54</v>
      </c>
      <c r="G10" s="3">
        <v>46052</v>
      </c>
      <c r="H10" s="1">
        <v>1</v>
      </c>
      <c r="I10" s="11">
        <f>IF(ISBLANK(DirtyData[[#This Row],[Age]]),1,0)</f>
        <v>1</v>
      </c>
    </row>
    <row r="11" spans="1:9" x14ac:dyDescent="0.25">
      <c r="A11" s="1">
        <v>110</v>
      </c>
      <c r="B11" s="4" t="s">
        <v>17</v>
      </c>
      <c r="C11" s="1">
        <v>21</v>
      </c>
      <c r="D11" s="1">
        <v>97746</v>
      </c>
      <c r="E11" s="1" t="s">
        <v>70</v>
      </c>
      <c r="F11" s="1">
        <v>50</v>
      </c>
      <c r="G11" s="3">
        <v>46052</v>
      </c>
      <c r="H11" s="1">
        <v>1</v>
      </c>
      <c r="I11" s="11">
        <f>IF(ISBLANK(DirtyData[[#This Row],[Age]]),1,0)</f>
        <v>0</v>
      </c>
    </row>
    <row r="12" spans="1:9" x14ac:dyDescent="0.25">
      <c r="A12" s="1">
        <v>111</v>
      </c>
      <c r="B12" s="2" t="s">
        <v>18</v>
      </c>
      <c r="C12" s="1">
        <v>29</v>
      </c>
      <c r="D12" s="1">
        <v>82991</v>
      </c>
      <c r="E12" s="1" t="s">
        <v>69</v>
      </c>
      <c r="F12" s="1">
        <v>82</v>
      </c>
      <c r="G12" s="3">
        <v>46052</v>
      </c>
      <c r="H12" s="1">
        <v>0</v>
      </c>
      <c r="I12" s="11">
        <f>IF(ISBLANK(DirtyData[[#This Row],[Age]]),1,0)</f>
        <v>0</v>
      </c>
    </row>
    <row r="13" spans="1:9" x14ac:dyDescent="0.25">
      <c r="A13" s="1">
        <v>112</v>
      </c>
      <c r="B13" s="4" t="s">
        <v>19</v>
      </c>
      <c r="C13" s="1">
        <v>21</v>
      </c>
      <c r="F13" s="1">
        <v>91</v>
      </c>
      <c r="G13" s="3">
        <v>46052</v>
      </c>
      <c r="H13" s="1">
        <v>1</v>
      </c>
      <c r="I13" s="11">
        <f>IF(ISBLANK(DirtyData[[#This Row],[Age]]),1,0)</f>
        <v>0</v>
      </c>
    </row>
    <row r="14" spans="1:9" x14ac:dyDescent="0.25">
      <c r="A14" s="1">
        <v>113</v>
      </c>
      <c r="B14" s="2" t="s">
        <v>20</v>
      </c>
      <c r="C14" s="1">
        <v>23</v>
      </c>
      <c r="D14" s="1">
        <v>71497</v>
      </c>
      <c r="E14" s="1" t="s">
        <v>67</v>
      </c>
      <c r="G14" s="3">
        <v>46052</v>
      </c>
      <c r="H14" s="1">
        <v>0</v>
      </c>
      <c r="I14" s="11">
        <f>IF(ISBLANK(DirtyData[[#This Row],[Age]]),1,0)</f>
        <v>0</v>
      </c>
    </row>
    <row r="15" spans="1:9" x14ac:dyDescent="0.25">
      <c r="A15" s="1">
        <v>114</v>
      </c>
      <c r="B15" s="4" t="s">
        <v>21</v>
      </c>
      <c r="D15" s="1">
        <v>89382</v>
      </c>
      <c r="E15" s="1" t="s">
        <v>70</v>
      </c>
      <c r="F15" s="1">
        <v>94</v>
      </c>
      <c r="G15" s="3">
        <v>46052</v>
      </c>
      <c r="H15" s="1">
        <v>1</v>
      </c>
      <c r="I15" s="11">
        <f>IF(ISBLANK(DirtyData[[#This Row],[Age]]),1,0)</f>
        <v>1</v>
      </c>
    </row>
    <row r="16" spans="1:9" x14ac:dyDescent="0.25">
      <c r="A16" s="1">
        <v>115</v>
      </c>
      <c r="B16" s="2" t="s">
        <v>22</v>
      </c>
      <c r="C16" s="1">
        <v>24</v>
      </c>
      <c r="D16" s="1">
        <v>99263</v>
      </c>
      <c r="E16" s="1" t="s">
        <v>70</v>
      </c>
      <c r="F16" s="1">
        <v>51</v>
      </c>
      <c r="G16" s="3">
        <v>46052</v>
      </c>
      <c r="H16" s="1">
        <v>0</v>
      </c>
      <c r="I16" s="11">
        <f>IF(ISBLANK(DirtyData[[#This Row],[Age]]),1,0)</f>
        <v>0</v>
      </c>
    </row>
    <row r="17" spans="1:9" x14ac:dyDescent="0.25">
      <c r="A17" s="1">
        <v>116</v>
      </c>
      <c r="B17" s="4" t="s">
        <v>23</v>
      </c>
      <c r="C17" s="1">
        <v>20</v>
      </c>
      <c r="D17" s="1">
        <v>72532</v>
      </c>
      <c r="E17" s="1" t="s">
        <v>70</v>
      </c>
      <c r="F17" s="1">
        <v>36</v>
      </c>
      <c r="G17" s="3">
        <v>46052</v>
      </c>
      <c r="H17" s="1">
        <v>1</v>
      </c>
      <c r="I17" s="11">
        <f>IF(ISBLANK(DirtyData[[#This Row],[Age]]),1,0)</f>
        <v>0</v>
      </c>
    </row>
    <row r="18" spans="1:9" x14ac:dyDescent="0.25">
      <c r="A18" s="1">
        <v>117</v>
      </c>
      <c r="B18" s="2" t="s">
        <v>24</v>
      </c>
      <c r="C18" s="1">
        <v>28</v>
      </c>
      <c r="D18" s="1">
        <v>88751</v>
      </c>
      <c r="E18" s="1" t="s">
        <v>69</v>
      </c>
      <c r="F18" s="1">
        <v>98</v>
      </c>
      <c r="G18" s="3">
        <v>46052</v>
      </c>
      <c r="H18" s="1">
        <v>1</v>
      </c>
      <c r="I18" s="11">
        <f>IF(ISBLANK(DirtyData[[#This Row],[Age]]),1,0)</f>
        <v>0</v>
      </c>
    </row>
    <row r="19" spans="1:9" x14ac:dyDescent="0.25">
      <c r="A19" s="1">
        <v>118</v>
      </c>
      <c r="B19" s="4" t="s">
        <v>25</v>
      </c>
      <c r="C19" s="1">
        <v>23</v>
      </c>
      <c r="D19" s="1">
        <v>83907</v>
      </c>
      <c r="E19" s="1" t="s">
        <v>70</v>
      </c>
      <c r="F19" s="1">
        <v>87</v>
      </c>
      <c r="G19" s="3">
        <v>46052</v>
      </c>
      <c r="H19" s="1">
        <v>0</v>
      </c>
      <c r="I19" s="11">
        <f>IF(ISBLANK(DirtyData[[#This Row],[Age]]),1,0)</f>
        <v>0</v>
      </c>
    </row>
    <row r="20" spans="1:9" x14ac:dyDescent="0.25">
      <c r="A20" s="1">
        <v>119</v>
      </c>
      <c r="B20" s="2" t="s">
        <v>26</v>
      </c>
      <c r="D20" s="1">
        <v>92030</v>
      </c>
      <c r="F20" s="1">
        <v>60</v>
      </c>
      <c r="G20" s="3">
        <v>46052</v>
      </c>
      <c r="H20" s="1">
        <v>0</v>
      </c>
      <c r="I20" s="11">
        <f>IF(ISBLANK(DirtyData[[#This Row],[Age]]),1,0)</f>
        <v>1</v>
      </c>
    </row>
    <row r="21" spans="1:9" x14ac:dyDescent="0.25">
      <c r="A21" s="1">
        <v>120</v>
      </c>
      <c r="B21" s="4" t="s">
        <v>27</v>
      </c>
      <c r="C21" s="1">
        <v>25</v>
      </c>
      <c r="D21" s="1">
        <v>76657</v>
      </c>
      <c r="E21" s="1" t="s">
        <v>68</v>
      </c>
      <c r="F21" s="1">
        <v>48</v>
      </c>
      <c r="G21" s="3">
        <v>46052</v>
      </c>
      <c r="H21" s="1">
        <v>0</v>
      </c>
      <c r="I21" s="11">
        <f>IF(ISBLANK(DirtyData[[#This Row],[Age]]),1,0)</f>
        <v>0</v>
      </c>
    </row>
    <row r="22" spans="1:9" x14ac:dyDescent="0.25">
      <c r="A22" s="1">
        <v>121</v>
      </c>
      <c r="B22" s="2" t="s">
        <v>28</v>
      </c>
      <c r="D22" s="1">
        <v>81736</v>
      </c>
      <c r="E22" s="1" t="s">
        <v>67</v>
      </c>
      <c r="F22" s="1">
        <v>93</v>
      </c>
      <c r="G22" s="3">
        <v>46052</v>
      </c>
      <c r="H22" s="1">
        <v>0</v>
      </c>
      <c r="I22" s="11">
        <f>IF(ISBLANK(DirtyData[[#This Row],[Age]]),1,0)</f>
        <v>1</v>
      </c>
    </row>
    <row r="23" spans="1:9" x14ac:dyDescent="0.25">
      <c r="A23" s="1">
        <v>122</v>
      </c>
      <c r="B23" s="4" t="s">
        <v>29</v>
      </c>
      <c r="D23" s="1">
        <v>92482</v>
      </c>
      <c r="E23" s="1" t="s">
        <v>69</v>
      </c>
      <c r="G23" s="3">
        <v>46052</v>
      </c>
      <c r="H23" s="1">
        <v>0</v>
      </c>
      <c r="I23" s="11">
        <f>IF(ISBLANK(DirtyData[[#This Row],[Age]]),1,0)</f>
        <v>1</v>
      </c>
    </row>
    <row r="24" spans="1:9" x14ac:dyDescent="0.25">
      <c r="A24" s="1">
        <v>123</v>
      </c>
      <c r="B24" s="2" t="s">
        <v>30</v>
      </c>
      <c r="C24" s="1">
        <v>30</v>
      </c>
      <c r="D24" s="1">
        <v>76231</v>
      </c>
      <c r="F24" s="1">
        <v>39</v>
      </c>
      <c r="G24" s="3">
        <v>46052</v>
      </c>
      <c r="H24" s="1">
        <v>0</v>
      </c>
      <c r="I24" s="11">
        <f>IF(ISBLANK(DirtyData[[#This Row],[Age]]),1,0)</f>
        <v>0</v>
      </c>
    </row>
    <row r="25" spans="1:9" x14ac:dyDescent="0.25">
      <c r="A25" s="1">
        <v>124</v>
      </c>
      <c r="B25" s="4" t="s">
        <v>31</v>
      </c>
      <c r="D25" s="1">
        <v>93950</v>
      </c>
      <c r="E25" s="1" t="s">
        <v>67</v>
      </c>
      <c r="F25" s="1">
        <v>60</v>
      </c>
      <c r="G25" s="3">
        <v>46052</v>
      </c>
      <c r="H25" s="1">
        <v>1</v>
      </c>
      <c r="I25" s="11">
        <f>IF(ISBLANK(DirtyData[[#This Row],[Age]]),1,0)</f>
        <v>1</v>
      </c>
    </row>
    <row r="26" spans="1:9" x14ac:dyDescent="0.25">
      <c r="A26" s="1">
        <v>125</v>
      </c>
      <c r="B26" s="2" t="s">
        <v>32</v>
      </c>
      <c r="C26" s="1">
        <v>24</v>
      </c>
      <c r="D26" s="1">
        <v>76266</v>
      </c>
      <c r="E26" s="1" t="s">
        <v>67</v>
      </c>
      <c r="F26" s="1">
        <v>50</v>
      </c>
      <c r="G26" s="3">
        <v>46052</v>
      </c>
      <c r="H26" s="1">
        <v>0</v>
      </c>
      <c r="I26" s="11">
        <f>IF(ISBLANK(DirtyData[[#This Row],[Age]]),1,0)</f>
        <v>0</v>
      </c>
    </row>
    <row r="27" spans="1:9" x14ac:dyDescent="0.25">
      <c r="A27" s="1">
        <v>126</v>
      </c>
      <c r="B27" s="4" t="s">
        <v>33</v>
      </c>
      <c r="C27" s="1">
        <v>22</v>
      </c>
      <c r="F27" s="1">
        <v>45</v>
      </c>
      <c r="G27" s="3">
        <v>46052</v>
      </c>
      <c r="H27" s="1">
        <v>0</v>
      </c>
      <c r="I27" s="11">
        <f>IF(ISBLANK(DirtyData[[#This Row],[Age]]),1,0)</f>
        <v>0</v>
      </c>
    </row>
    <row r="28" spans="1:9" x14ac:dyDescent="0.25">
      <c r="A28" s="1">
        <v>127</v>
      </c>
      <c r="B28" s="2" t="s">
        <v>34</v>
      </c>
      <c r="C28" s="1">
        <v>27</v>
      </c>
      <c r="D28" s="1">
        <v>94253</v>
      </c>
      <c r="E28" s="1" t="s">
        <v>67</v>
      </c>
      <c r="G28" s="3">
        <v>46052</v>
      </c>
      <c r="H28" s="1">
        <v>1</v>
      </c>
      <c r="I28" s="11">
        <f>IF(ISBLANK(DirtyData[[#This Row],[Age]]),1,0)</f>
        <v>0</v>
      </c>
    </row>
    <row r="29" spans="1:9" x14ac:dyDescent="0.25">
      <c r="A29" s="1">
        <v>128</v>
      </c>
      <c r="B29" s="4" t="s">
        <v>35</v>
      </c>
      <c r="C29" s="1">
        <v>27</v>
      </c>
      <c r="D29" s="1">
        <v>89483</v>
      </c>
      <c r="F29" s="1">
        <v>65</v>
      </c>
      <c r="G29" s="3">
        <v>46052</v>
      </c>
      <c r="H29" s="1">
        <v>0</v>
      </c>
      <c r="I29" s="11">
        <f>IF(ISBLANK(DirtyData[[#This Row],[Age]]),1,0)</f>
        <v>0</v>
      </c>
    </row>
    <row r="30" spans="1:9" x14ac:dyDescent="0.25">
      <c r="A30" s="1">
        <v>129</v>
      </c>
      <c r="B30" s="2" t="s">
        <v>36</v>
      </c>
      <c r="E30" s="1" t="s">
        <v>67</v>
      </c>
      <c r="F30" s="1">
        <v>53</v>
      </c>
      <c r="G30" s="3">
        <v>46052</v>
      </c>
      <c r="H30" s="1">
        <v>1</v>
      </c>
      <c r="I30" s="11">
        <f>IF(ISBLANK(DirtyData[[#This Row],[Age]]),1,0)</f>
        <v>1</v>
      </c>
    </row>
    <row r="31" spans="1:9" x14ac:dyDescent="0.25">
      <c r="A31" s="1">
        <v>130</v>
      </c>
      <c r="B31" s="4" t="s">
        <v>37</v>
      </c>
      <c r="C31" s="1">
        <v>21</v>
      </c>
      <c r="D31" s="1">
        <v>77384</v>
      </c>
      <c r="E31" s="1" t="s">
        <v>67</v>
      </c>
      <c r="F31" s="1">
        <v>76</v>
      </c>
      <c r="G31" s="3">
        <v>46052</v>
      </c>
      <c r="H31" s="1">
        <v>0</v>
      </c>
      <c r="I31" s="11">
        <f>IF(ISBLANK(DirtyData[[#This Row],[Age]]),1,0)</f>
        <v>0</v>
      </c>
    </row>
    <row r="32" spans="1:9" x14ac:dyDescent="0.25">
      <c r="A32" s="1">
        <v>131</v>
      </c>
      <c r="B32" s="2" t="s">
        <v>38</v>
      </c>
      <c r="C32" s="1">
        <v>28</v>
      </c>
      <c r="D32" s="1">
        <v>61999</v>
      </c>
      <c r="E32" s="1" t="s">
        <v>68</v>
      </c>
      <c r="F32" s="1">
        <v>95</v>
      </c>
      <c r="G32" s="3">
        <v>46052</v>
      </c>
      <c r="H32" s="1">
        <v>1</v>
      </c>
      <c r="I32" s="11">
        <f>IF(ISBLANK(DirtyData[[#This Row],[Age]]),1,0)</f>
        <v>0</v>
      </c>
    </row>
    <row r="33" spans="1:9" x14ac:dyDescent="0.25">
      <c r="A33" s="1">
        <v>132</v>
      </c>
      <c r="B33" s="4" t="s">
        <v>39</v>
      </c>
      <c r="C33" s="1">
        <v>22</v>
      </c>
      <c r="D33" s="1">
        <v>60394</v>
      </c>
      <c r="F33" s="1">
        <v>74</v>
      </c>
      <c r="G33" s="3">
        <v>46052</v>
      </c>
      <c r="H33" s="1">
        <v>0</v>
      </c>
      <c r="I33" s="11">
        <f>IF(ISBLANK(DirtyData[[#This Row],[Age]]),1,0)</f>
        <v>0</v>
      </c>
    </row>
    <row r="34" spans="1:9" x14ac:dyDescent="0.25">
      <c r="A34" s="1">
        <v>133</v>
      </c>
      <c r="B34" s="2" t="s">
        <v>40</v>
      </c>
      <c r="C34" s="1">
        <v>24</v>
      </c>
      <c r="D34" s="1">
        <v>86813</v>
      </c>
      <c r="E34" s="1" t="s">
        <v>67</v>
      </c>
      <c r="F34" s="1">
        <v>77</v>
      </c>
      <c r="G34" s="3">
        <v>46052</v>
      </c>
      <c r="H34" s="1">
        <v>1</v>
      </c>
      <c r="I34" s="11">
        <f>IF(ISBLANK(DirtyData[[#This Row],[Age]]),1,0)</f>
        <v>0</v>
      </c>
    </row>
    <row r="35" spans="1:9" x14ac:dyDescent="0.25">
      <c r="A35" s="1">
        <v>134</v>
      </c>
      <c r="B35" s="4" t="s">
        <v>41</v>
      </c>
      <c r="D35" s="1">
        <v>96037</v>
      </c>
      <c r="E35" s="1" t="s">
        <v>68</v>
      </c>
      <c r="G35" s="3">
        <v>46052</v>
      </c>
      <c r="H35" s="1">
        <v>1</v>
      </c>
      <c r="I35" s="11">
        <f>IF(ISBLANK(DirtyData[[#This Row],[Age]]),1,0)</f>
        <v>1</v>
      </c>
    </row>
    <row r="36" spans="1:9" x14ac:dyDescent="0.25">
      <c r="A36" s="1">
        <v>135</v>
      </c>
      <c r="B36" s="2" t="s">
        <v>42</v>
      </c>
      <c r="C36" s="1">
        <v>21</v>
      </c>
      <c r="D36" s="1">
        <v>78861</v>
      </c>
      <c r="F36" s="1">
        <v>63</v>
      </c>
      <c r="G36" s="3">
        <v>46052</v>
      </c>
      <c r="H36" s="1">
        <v>0</v>
      </c>
      <c r="I36" s="11">
        <f>IF(ISBLANK(DirtyData[[#This Row],[Age]]),1,0)</f>
        <v>0</v>
      </c>
    </row>
    <row r="37" spans="1:9" x14ac:dyDescent="0.25">
      <c r="A37" s="1">
        <v>136</v>
      </c>
      <c r="B37" s="4" t="s">
        <v>43</v>
      </c>
      <c r="C37" s="1">
        <v>29</v>
      </c>
      <c r="E37" s="1" t="s">
        <v>69</v>
      </c>
      <c r="F37" s="1">
        <v>31</v>
      </c>
      <c r="G37" s="3">
        <v>46052</v>
      </c>
      <c r="H37" s="1">
        <v>1</v>
      </c>
      <c r="I37" s="11">
        <f>IF(ISBLANK(DirtyData[[#This Row],[Age]]),1,0)</f>
        <v>0</v>
      </c>
    </row>
    <row r="38" spans="1:9" x14ac:dyDescent="0.25">
      <c r="A38" s="1">
        <v>137</v>
      </c>
      <c r="B38" s="2" t="s">
        <v>44</v>
      </c>
      <c r="C38" s="1">
        <v>19</v>
      </c>
      <c r="D38" s="1">
        <v>83598</v>
      </c>
      <c r="G38" s="3">
        <v>46052</v>
      </c>
      <c r="H38" s="1">
        <v>1</v>
      </c>
      <c r="I38" s="11">
        <f>IF(ISBLANK(DirtyData[[#This Row],[Age]]),1,0)</f>
        <v>0</v>
      </c>
    </row>
    <row r="39" spans="1:9" x14ac:dyDescent="0.25">
      <c r="A39" s="1">
        <v>138</v>
      </c>
      <c r="B39" s="4" t="s">
        <v>45</v>
      </c>
      <c r="C39" s="1">
        <v>29</v>
      </c>
      <c r="D39" s="1">
        <v>78343</v>
      </c>
      <c r="E39" s="1" t="s">
        <v>67</v>
      </c>
      <c r="F39" s="1">
        <v>84</v>
      </c>
      <c r="G39" s="3">
        <v>46052</v>
      </c>
      <c r="H39" s="1">
        <v>0</v>
      </c>
      <c r="I39" s="11">
        <f>IF(ISBLANK(DirtyData[[#This Row],[Age]]),1,0)</f>
        <v>0</v>
      </c>
    </row>
    <row r="40" spans="1:9" x14ac:dyDescent="0.25">
      <c r="A40" s="1">
        <v>139</v>
      </c>
      <c r="B40" s="2" t="s">
        <v>46</v>
      </c>
      <c r="C40" s="1">
        <v>22</v>
      </c>
      <c r="D40" s="1">
        <v>63204</v>
      </c>
      <c r="E40" s="1" t="s">
        <v>67</v>
      </c>
      <c r="F40" s="1">
        <v>95</v>
      </c>
      <c r="G40" s="3">
        <v>46052</v>
      </c>
      <c r="H40" s="1">
        <v>0</v>
      </c>
      <c r="I40" s="11">
        <f>IF(ISBLANK(DirtyData[[#This Row],[Age]]),1,0)</f>
        <v>0</v>
      </c>
    </row>
    <row r="41" spans="1:9" x14ac:dyDescent="0.25">
      <c r="A41" s="1">
        <v>140</v>
      </c>
      <c r="B41" s="4" t="s">
        <v>47</v>
      </c>
      <c r="C41" s="1">
        <v>28</v>
      </c>
      <c r="E41" s="1" t="s">
        <v>67</v>
      </c>
      <c r="F41" s="1">
        <v>93</v>
      </c>
      <c r="G41" s="3">
        <v>46052</v>
      </c>
      <c r="H41" s="1">
        <v>0</v>
      </c>
      <c r="I41" s="11">
        <f>IF(ISBLANK(DirtyData[[#This Row],[Age]]),1,0)</f>
        <v>0</v>
      </c>
    </row>
    <row r="42" spans="1:9" x14ac:dyDescent="0.25">
      <c r="A42" s="1">
        <v>141</v>
      </c>
      <c r="B42" s="2" t="s">
        <v>48</v>
      </c>
      <c r="C42" s="1">
        <v>23</v>
      </c>
      <c r="D42" s="1">
        <v>81422</v>
      </c>
      <c r="G42" s="3">
        <v>46052</v>
      </c>
      <c r="H42" s="1">
        <v>0</v>
      </c>
      <c r="I42" s="11">
        <f>IF(ISBLANK(DirtyData[[#This Row],[Age]]),1,0)</f>
        <v>0</v>
      </c>
    </row>
    <row r="43" spans="1:9" x14ac:dyDescent="0.25">
      <c r="A43" s="1">
        <v>142</v>
      </c>
      <c r="B43" s="4" t="s">
        <v>49</v>
      </c>
      <c r="D43" s="1">
        <v>76882</v>
      </c>
      <c r="E43" s="1" t="s">
        <v>70</v>
      </c>
      <c r="F43" s="1">
        <v>42</v>
      </c>
      <c r="G43" s="3">
        <v>46052</v>
      </c>
      <c r="H43" s="1">
        <v>0</v>
      </c>
      <c r="I43" s="11">
        <f>IF(ISBLANK(DirtyData[[#This Row],[Age]]),1,0)</f>
        <v>1</v>
      </c>
    </row>
    <row r="44" spans="1:9" x14ac:dyDescent="0.25">
      <c r="A44" s="1">
        <v>143</v>
      </c>
      <c r="B44" s="2" t="s">
        <v>50</v>
      </c>
      <c r="C44" s="1">
        <v>20</v>
      </c>
      <c r="D44" s="1">
        <v>67479</v>
      </c>
      <c r="F44" s="1">
        <v>46</v>
      </c>
      <c r="G44" s="3">
        <v>46052</v>
      </c>
      <c r="H44" s="1">
        <v>1</v>
      </c>
      <c r="I44" s="11">
        <f>IF(ISBLANK(DirtyData[[#This Row],[Age]]),1,0)</f>
        <v>0</v>
      </c>
    </row>
    <row r="45" spans="1:9" x14ac:dyDescent="0.25">
      <c r="A45" s="1">
        <v>144</v>
      </c>
      <c r="B45" s="4" t="s">
        <v>51</v>
      </c>
      <c r="C45" s="1">
        <v>27</v>
      </c>
      <c r="D45" s="1">
        <v>60126</v>
      </c>
      <c r="E45" s="1" t="s">
        <v>70</v>
      </c>
      <c r="F45" s="1">
        <v>57</v>
      </c>
      <c r="G45" s="3">
        <v>46052</v>
      </c>
      <c r="H45" s="1">
        <v>1</v>
      </c>
      <c r="I45" s="11">
        <f>IF(ISBLANK(DirtyData[[#This Row],[Age]]),1,0)</f>
        <v>0</v>
      </c>
    </row>
    <row r="46" spans="1:9" x14ac:dyDescent="0.25">
      <c r="A46" s="1">
        <v>145</v>
      </c>
      <c r="B46" s="2" t="s">
        <v>52</v>
      </c>
      <c r="C46" s="1">
        <v>24</v>
      </c>
      <c r="D46" s="1">
        <v>63626</v>
      </c>
      <c r="E46" s="1" t="s">
        <v>70</v>
      </c>
      <c r="F46" s="1">
        <v>94</v>
      </c>
      <c r="G46" s="3">
        <v>46052</v>
      </c>
      <c r="H46" s="1">
        <v>1</v>
      </c>
      <c r="I46" s="11">
        <f>IF(ISBLANK(DirtyData[[#This Row],[Age]]),1,0)</f>
        <v>0</v>
      </c>
    </row>
    <row r="47" spans="1:9" x14ac:dyDescent="0.25">
      <c r="A47" s="1">
        <v>146</v>
      </c>
      <c r="B47" s="4" t="s">
        <v>53</v>
      </c>
      <c r="C47" s="1">
        <v>27</v>
      </c>
      <c r="F47" s="1">
        <v>39</v>
      </c>
      <c r="G47" s="3">
        <v>46052</v>
      </c>
      <c r="H47" s="1">
        <v>0</v>
      </c>
      <c r="I47" s="11">
        <f>IF(ISBLANK(DirtyData[[#This Row],[Age]]),1,0)</f>
        <v>0</v>
      </c>
    </row>
    <row r="48" spans="1:9" x14ac:dyDescent="0.25">
      <c r="A48" s="1">
        <v>147</v>
      </c>
      <c r="B48" s="2" t="s">
        <v>54</v>
      </c>
      <c r="C48" s="1">
        <v>24</v>
      </c>
      <c r="E48" s="1" t="s">
        <v>70</v>
      </c>
      <c r="F48" s="1">
        <v>83</v>
      </c>
      <c r="G48" s="3">
        <v>46052</v>
      </c>
      <c r="H48" s="1">
        <v>0</v>
      </c>
      <c r="I48" s="11">
        <f>IF(ISBLANK(DirtyData[[#This Row],[Age]]),1,0)</f>
        <v>0</v>
      </c>
    </row>
    <row r="49" spans="1:9" x14ac:dyDescent="0.25">
      <c r="A49" s="1">
        <v>148</v>
      </c>
      <c r="B49" s="4" t="s">
        <v>55</v>
      </c>
      <c r="D49" s="1">
        <v>65633</v>
      </c>
      <c r="G49" s="3">
        <v>46052</v>
      </c>
      <c r="H49" s="1">
        <v>1</v>
      </c>
      <c r="I49" s="11">
        <f>IF(ISBLANK(DirtyData[[#This Row],[Age]]),1,0)</f>
        <v>1</v>
      </c>
    </row>
    <row r="50" spans="1:9" x14ac:dyDescent="0.25">
      <c r="A50" s="1">
        <v>149</v>
      </c>
      <c r="B50" s="2" t="s">
        <v>56</v>
      </c>
      <c r="C50" s="1">
        <v>27</v>
      </c>
      <c r="D50" s="1">
        <v>85793</v>
      </c>
      <c r="E50" s="1" t="s">
        <v>68</v>
      </c>
      <c r="F50" s="1">
        <v>62</v>
      </c>
      <c r="G50" s="3">
        <v>46052</v>
      </c>
      <c r="H50" s="1">
        <v>0</v>
      </c>
      <c r="I50" s="11">
        <f>IF(ISBLANK(DirtyData[[#This Row],[Age]]),1,0)</f>
        <v>0</v>
      </c>
    </row>
    <row r="51" spans="1:9" x14ac:dyDescent="0.25">
      <c r="A51" s="1">
        <v>150</v>
      </c>
      <c r="B51" s="4" t="s">
        <v>56</v>
      </c>
      <c r="C51" s="1">
        <v>25</v>
      </c>
      <c r="D51" s="1">
        <v>91285</v>
      </c>
      <c r="E51" s="1" t="s">
        <v>68</v>
      </c>
      <c r="F51" s="1">
        <v>87</v>
      </c>
      <c r="G51" s="3">
        <v>46052</v>
      </c>
      <c r="H51" s="1">
        <v>1</v>
      </c>
      <c r="I51" s="11">
        <f>IF(ISBLANK(DirtyData[[#This Row],[Age]]),1,0)</f>
        <v>0</v>
      </c>
    </row>
    <row r="52" spans="1:9" x14ac:dyDescent="0.25">
      <c r="A52" s="1">
        <v>151</v>
      </c>
      <c r="B52" s="2" t="s">
        <v>57</v>
      </c>
      <c r="D52" s="1">
        <v>82320</v>
      </c>
      <c r="E52" s="1" t="s">
        <v>70</v>
      </c>
      <c r="G52" s="3">
        <v>46052</v>
      </c>
      <c r="H52" s="1">
        <v>1</v>
      </c>
      <c r="I52" s="11">
        <f>IF(ISBLANK(DirtyData[[#This Row],[Age]]),1,0)</f>
        <v>1</v>
      </c>
    </row>
    <row r="53" spans="1:9" x14ac:dyDescent="0.25">
      <c r="A53" s="1">
        <v>152</v>
      </c>
      <c r="B53" s="4" t="s">
        <v>58</v>
      </c>
      <c r="C53" s="1">
        <v>19</v>
      </c>
      <c r="D53" s="1">
        <v>78969</v>
      </c>
      <c r="E53" s="1" t="s">
        <v>69</v>
      </c>
      <c r="F53" s="1">
        <v>44</v>
      </c>
      <c r="G53" s="3">
        <v>46052</v>
      </c>
      <c r="H53" s="1">
        <v>0</v>
      </c>
      <c r="I53" s="11">
        <f>IF(ISBLANK(DirtyData[[#This Row],[Age]]),1,0)</f>
        <v>0</v>
      </c>
    </row>
    <row r="54" spans="1:9" x14ac:dyDescent="0.25">
      <c r="A54" s="1">
        <v>153</v>
      </c>
      <c r="B54" s="2" t="s">
        <v>59</v>
      </c>
      <c r="C54" s="1">
        <v>21</v>
      </c>
      <c r="F54" s="1">
        <v>47</v>
      </c>
      <c r="G54" s="3">
        <v>46052</v>
      </c>
      <c r="H54" s="1">
        <v>1</v>
      </c>
      <c r="I54" s="11">
        <f>IF(ISBLANK(DirtyData[[#This Row],[Age]]),1,0)</f>
        <v>0</v>
      </c>
    </row>
    <row r="55" spans="1:9" x14ac:dyDescent="0.25">
      <c r="A55" s="1">
        <v>154</v>
      </c>
      <c r="B55" s="4" t="s">
        <v>60</v>
      </c>
      <c r="C55" s="1">
        <v>25</v>
      </c>
      <c r="D55" s="1">
        <v>89845</v>
      </c>
      <c r="E55" s="1" t="s">
        <v>68</v>
      </c>
      <c r="F55" s="1">
        <v>80</v>
      </c>
      <c r="G55" s="3">
        <v>46052</v>
      </c>
      <c r="H55" s="1">
        <v>0</v>
      </c>
      <c r="I55" s="11">
        <f>IF(ISBLANK(DirtyData[[#This Row],[Age]]),1,0)</f>
        <v>0</v>
      </c>
    </row>
    <row r="56" spans="1:9" x14ac:dyDescent="0.25">
      <c r="A56" s="1">
        <v>155</v>
      </c>
      <c r="B56" s="2" t="s">
        <v>61</v>
      </c>
      <c r="C56" s="1">
        <v>30</v>
      </c>
      <c r="D56" s="1">
        <v>65364</v>
      </c>
      <c r="E56" s="1" t="s">
        <v>68</v>
      </c>
      <c r="G56" s="3">
        <v>46052</v>
      </c>
      <c r="H56" s="1">
        <v>0</v>
      </c>
      <c r="I56" s="11">
        <f>IF(ISBLANK(DirtyData[[#This Row],[Age]]),1,0)</f>
        <v>0</v>
      </c>
    </row>
    <row r="57" spans="1:9" x14ac:dyDescent="0.25">
      <c r="A57" s="1">
        <v>156</v>
      </c>
      <c r="B57" s="4" t="s">
        <v>62</v>
      </c>
      <c r="C57" s="1">
        <v>24</v>
      </c>
      <c r="D57" s="1">
        <v>81150</v>
      </c>
      <c r="E57" s="1" t="s">
        <v>70</v>
      </c>
      <c r="F57" s="1">
        <v>56</v>
      </c>
      <c r="G57" s="3">
        <v>46052</v>
      </c>
      <c r="H57" s="1">
        <v>1</v>
      </c>
      <c r="I57" s="11">
        <f>IF(ISBLANK(DirtyData[[#This Row],[Age]]),1,0)</f>
        <v>0</v>
      </c>
    </row>
    <row r="58" spans="1:9" x14ac:dyDescent="0.25">
      <c r="A58" s="1">
        <v>157</v>
      </c>
      <c r="B58" s="2" t="s">
        <v>63</v>
      </c>
      <c r="C58" s="1">
        <v>20</v>
      </c>
      <c r="F58" s="1">
        <v>43</v>
      </c>
      <c r="G58" s="3">
        <v>46052</v>
      </c>
      <c r="H58" s="1">
        <v>1</v>
      </c>
      <c r="I58" s="11">
        <f>IF(ISBLANK(DirtyData[[#This Row],[Age]]),1,0)</f>
        <v>0</v>
      </c>
    </row>
    <row r="59" spans="1:9" x14ac:dyDescent="0.25">
      <c r="A59" s="1">
        <v>158</v>
      </c>
      <c r="B59" s="4" t="s">
        <v>64</v>
      </c>
      <c r="C59" s="1">
        <v>19</v>
      </c>
      <c r="D59" s="1">
        <v>71295</v>
      </c>
      <c r="E59" s="1" t="s">
        <v>67</v>
      </c>
      <c r="F59" s="1">
        <v>30</v>
      </c>
      <c r="G59" s="3">
        <v>46052</v>
      </c>
      <c r="H59" s="1">
        <v>0</v>
      </c>
      <c r="I59" s="11">
        <f>IF(ISBLANK(DirtyData[[#This Row],[Age]]),1,0)</f>
        <v>0</v>
      </c>
    </row>
    <row r="60" spans="1:9" x14ac:dyDescent="0.25">
      <c r="A60" s="1">
        <v>159</v>
      </c>
      <c r="B60" s="2" t="s">
        <v>65</v>
      </c>
      <c r="D60" s="1">
        <v>67984</v>
      </c>
      <c r="E60" s="1" t="s">
        <v>68</v>
      </c>
      <c r="F60" s="1">
        <v>63</v>
      </c>
      <c r="G60" s="3">
        <v>46052</v>
      </c>
      <c r="H60" s="1">
        <v>1</v>
      </c>
      <c r="I60" s="11">
        <f>IF(ISBLANK(DirtyData[[#This Row],[Age]]),1,0)</f>
        <v>1</v>
      </c>
    </row>
    <row r="61" spans="1:9" x14ac:dyDescent="0.25">
      <c r="A61" s="1">
        <v>160</v>
      </c>
      <c r="B61" s="4" t="s">
        <v>66</v>
      </c>
      <c r="C61" s="1">
        <v>23</v>
      </c>
      <c r="D61" s="1">
        <v>61922</v>
      </c>
      <c r="F61" s="1">
        <v>76</v>
      </c>
      <c r="G61" s="3">
        <v>46052</v>
      </c>
      <c r="H61" s="1">
        <v>0</v>
      </c>
      <c r="I61" s="11">
        <f>IF(ISBLANK(DirtyData[[#This Row],[Age]]),1,0)</f>
        <v>0</v>
      </c>
    </row>
    <row r="63" spans="1:9" x14ac:dyDescent="0.2">
      <c r="A63" s="6">
        <f>COUNTA(A2:A61)</f>
        <v>60</v>
      </c>
      <c r="B63" s="1">
        <f>COUNTA(B2:B61)</f>
        <v>60</v>
      </c>
      <c r="C63" s="1">
        <f>COUNTA(DirtyData[Age])</f>
        <v>47</v>
      </c>
      <c r="D63" s="1">
        <f>COUNTA(DirtyData[Income])</f>
        <v>49</v>
      </c>
      <c r="E63" s="1">
        <f>COUNTA(E2:E60)</f>
        <v>43</v>
      </c>
      <c r="F63" s="1">
        <f>COUNTA(DirtyData[Score])</f>
        <v>48</v>
      </c>
      <c r="G63" s="1">
        <f>COUNTA(DirtyData[JoinDate])</f>
        <v>60</v>
      </c>
      <c r="H63" s="1">
        <f>COUNTA(DirtyData[Churned (Yes/No)])</f>
        <v>60</v>
      </c>
    </row>
    <row r="64" spans="1:9" x14ac:dyDescent="0.2">
      <c r="A64" s="6">
        <f>COUNTBLANK(A2:A61)</f>
        <v>0</v>
      </c>
      <c r="B64" s="1">
        <f>COUNTBLANK(DirtyData[Name])</f>
        <v>0</v>
      </c>
      <c r="C64" s="1">
        <f>COUNTBLANK(DirtyData[Age])</f>
        <v>13</v>
      </c>
      <c r="D64" s="1">
        <f>COUNTBLANK(DirtyData[Income])</f>
        <v>11</v>
      </c>
      <c r="E64" s="1">
        <f>COUNTBLANK(DirtyData[Department])</f>
        <v>17</v>
      </c>
      <c r="F64" s="1">
        <f>COUNTBLANK(DirtyData[Score])</f>
        <v>12</v>
      </c>
      <c r="G64" s="1">
        <f>COUNTBLANK(DirtyData[JoinDate])</f>
        <v>0</v>
      </c>
      <c r="H64" s="1">
        <f>COUNTBLANK(DirtyData[Churned (Yes/No)])</f>
        <v>0</v>
      </c>
    </row>
    <row r="65" spans="1:8" x14ac:dyDescent="0.2">
      <c r="A65" s="7">
        <f>COUNTBLANK(A2:A61)/60</f>
        <v>0</v>
      </c>
      <c r="B65" s="5">
        <f t="shared" ref="B65:H65" si="0">B64/60</f>
        <v>0</v>
      </c>
      <c r="C65" s="5">
        <f t="shared" si="0"/>
        <v>0.21666666666666667</v>
      </c>
      <c r="D65" s="5">
        <f t="shared" si="0"/>
        <v>0.18333333333333332</v>
      </c>
      <c r="E65" s="5">
        <f t="shared" si="0"/>
        <v>0.28333333333333333</v>
      </c>
      <c r="F65" s="5">
        <f t="shared" si="0"/>
        <v>0.2</v>
      </c>
      <c r="G65" s="5">
        <f t="shared" si="0"/>
        <v>0</v>
      </c>
      <c r="H65" s="5">
        <f t="shared" si="0"/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E84C-C096-49E6-A3CD-52F87EBADED1}">
  <dimension ref="A1:J61"/>
  <sheetViews>
    <sheetView topLeftCell="A52" workbookViewId="0">
      <selection activeCell="A62" sqref="A62"/>
    </sheetView>
  </sheetViews>
  <sheetFormatPr defaultRowHeight="15" x14ac:dyDescent="0.25"/>
  <cols>
    <col min="1" max="1" width="13.7109375" bestFit="1" customWidth="1"/>
    <col min="2" max="2" width="13.28515625" bestFit="1" customWidth="1"/>
    <col min="3" max="3" width="6.7109375" bestFit="1" customWidth="1"/>
    <col min="4" max="4" width="9.85546875" bestFit="1" customWidth="1"/>
    <col min="5" max="5" width="14" bestFit="1" customWidth="1"/>
    <col min="6" max="6" width="8.140625" bestFit="1" customWidth="1"/>
    <col min="7" max="7" width="15.5703125" bestFit="1" customWidth="1"/>
    <col min="8" max="8" width="19.5703125" bestFit="1" customWidth="1"/>
    <col min="9" max="9" width="15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71</v>
      </c>
      <c r="J1" s="10" t="s">
        <v>72</v>
      </c>
    </row>
    <row r="2" spans="1:10" x14ac:dyDescent="0.25">
      <c r="A2">
        <v>101</v>
      </c>
      <c r="B2" s="14" t="s">
        <v>8</v>
      </c>
      <c r="C2">
        <v>25</v>
      </c>
      <c r="D2">
        <v>99169</v>
      </c>
      <c r="E2" s="14"/>
      <c r="F2">
        <v>65</v>
      </c>
      <c r="G2" s="15">
        <v>46052</v>
      </c>
      <c r="H2">
        <v>1</v>
      </c>
      <c r="I2">
        <v>0</v>
      </c>
      <c r="J2" t="str" cm="1">
        <f t="array" ref="J2">_xlfn.IFS(DirtyData_1[[#This Row],[Age]]&lt;30,"Young",DirtyData_1[[#This Row],[Age]]&lt;50,"Mid",DirtyData_1[[#This Row],[Age]]&gt;=50,"Senior")</f>
        <v>Young</v>
      </c>
    </row>
    <row r="3" spans="1:10" x14ac:dyDescent="0.25">
      <c r="A3">
        <v>102</v>
      </c>
      <c r="B3" s="14" t="s">
        <v>9</v>
      </c>
      <c r="D3">
        <v>89524</v>
      </c>
      <c r="E3" s="14" t="s">
        <v>67</v>
      </c>
      <c r="F3">
        <v>98</v>
      </c>
      <c r="G3" s="15">
        <v>46052</v>
      </c>
      <c r="H3">
        <v>0</v>
      </c>
      <c r="I3">
        <v>1</v>
      </c>
      <c r="J3" t="str" cm="1">
        <f t="array" ref="J3">_xlfn.IFS(DirtyData_1[[#This Row],[Age]]&lt;30,"Young",DirtyData_1[[#This Row],[Age]]&lt;50,"Mid",DirtyData_1[[#This Row],[Age]]&gt;=50,"Senior")</f>
        <v>Young</v>
      </c>
    </row>
    <row r="4" spans="1:10" x14ac:dyDescent="0.25">
      <c r="A4">
        <v>103</v>
      </c>
      <c r="B4" s="14" t="s">
        <v>10</v>
      </c>
      <c r="C4">
        <v>29</v>
      </c>
      <c r="E4" s="14" t="s">
        <v>69</v>
      </c>
      <c r="F4">
        <v>92</v>
      </c>
      <c r="G4" s="15">
        <v>46052</v>
      </c>
      <c r="H4">
        <v>1</v>
      </c>
      <c r="I4">
        <v>0</v>
      </c>
      <c r="J4" t="str" cm="1">
        <f t="array" ref="J4">_xlfn.IFS(DirtyData_1[[#This Row],[Age]]&lt;30,"Young",DirtyData_1[[#This Row],[Age]]&lt;50,"Mid",DirtyData_1[[#This Row],[Age]]&gt;=50,"Senior")</f>
        <v>Young</v>
      </c>
    </row>
    <row r="5" spans="1:10" x14ac:dyDescent="0.25">
      <c r="A5">
        <v>104</v>
      </c>
      <c r="B5" s="14" t="s">
        <v>11</v>
      </c>
      <c r="C5">
        <v>25</v>
      </c>
      <c r="D5">
        <v>99194</v>
      </c>
      <c r="E5" s="14" t="s">
        <v>70</v>
      </c>
      <c r="F5">
        <v>63</v>
      </c>
      <c r="G5" s="15">
        <v>46052</v>
      </c>
      <c r="H5">
        <v>0</v>
      </c>
      <c r="I5">
        <v>0</v>
      </c>
      <c r="J5" t="str" cm="1">
        <f t="array" ref="J5">_xlfn.IFS(DirtyData_1[[#This Row],[Age]]&lt;30,"Young",DirtyData_1[[#This Row],[Age]]&lt;50,"Mid",DirtyData_1[[#This Row],[Age]]&gt;=50,"Senior")</f>
        <v>Young</v>
      </c>
    </row>
    <row r="6" spans="1:10" x14ac:dyDescent="0.25">
      <c r="A6">
        <v>105</v>
      </c>
      <c r="B6" s="14" t="s">
        <v>12</v>
      </c>
      <c r="C6">
        <v>25</v>
      </c>
      <c r="D6">
        <v>71480</v>
      </c>
      <c r="E6" s="14" t="s">
        <v>70</v>
      </c>
      <c r="G6" s="15">
        <v>46052</v>
      </c>
      <c r="H6">
        <v>1</v>
      </c>
      <c r="I6">
        <v>0</v>
      </c>
      <c r="J6" t="str" cm="1">
        <f t="array" ref="J6">_xlfn.IFS(DirtyData_1[[#This Row],[Age]]&lt;30,"Young",DirtyData_1[[#This Row],[Age]]&lt;50,"Mid",DirtyData_1[[#This Row],[Age]]&gt;=50,"Senior")</f>
        <v>Young</v>
      </c>
    </row>
    <row r="7" spans="1:10" x14ac:dyDescent="0.25">
      <c r="A7">
        <v>106</v>
      </c>
      <c r="B7" s="14" t="s">
        <v>13</v>
      </c>
      <c r="C7">
        <v>18</v>
      </c>
      <c r="E7" s="14" t="s">
        <v>67</v>
      </c>
      <c r="G7" s="15">
        <v>46052</v>
      </c>
      <c r="H7">
        <v>0</v>
      </c>
      <c r="I7">
        <v>0</v>
      </c>
      <c r="J7" t="str" cm="1">
        <f t="array" ref="J7">_xlfn.IFS(DirtyData_1[[#This Row],[Age]]&lt;30,"Young",DirtyData_1[[#This Row],[Age]]&lt;50,"Mid",DirtyData_1[[#This Row],[Age]]&gt;=50,"Senior")</f>
        <v>Young</v>
      </c>
    </row>
    <row r="8" spans="1:10" x14ac:dyDescent="0.25">
      <c r="A8">
        <v>107</v>
      </c>
      <c r="B8" s="14" t="s">
        <v>14</v>
      </c>
      <c r="C8">
        <v>28</v>
      </c>
      <c r="D8">
        <v>80839</v>
      </c>
      <c r="E8" s="14" t="s">
        <v>68</v>
      </c>
      <c r="F8">
        <v>33</v>
      </c>
      <c r="G8" s="15">
        <v>46052</v>
      </c>
      <c r="H8">
        <v>0</v>
      </c>
      <c r="I8">
        <v>0</v>
      </c>
      <c r="J8" t="str" cm="1">
        <f t="array" ref="J8">_xlfn.IFS(DirtyData_1[[#This Row],[Age]]&lt;30,"Young",DirtyData_1[[#This Row],[Age]]&lt;50,"Mid",DirtyData_1[[#This Row],[Age]]&gt;=50,"Senior")</f>
        <v>Young</v>
      </c>
    </row>
    <row r="9" spans="1:10" x14ac:dyDescent="0.25">
      <c r="A9">
        <v>108</v>
      </c>
      <c r="B9" s="14" t="s">
        <v>15</v>
      </c>
      <c r="C9">
        <v>21</v>
      </c>
      <c r="D9">
        <v>60827</v>
      </c>
      <c r="E9" s="14"/>
      <c r="G9" s="15">
        <v>46052</v>
      </c>
      <c r="H9">
        <v>0</v>
      </c>
      <c r="I9">
        <v>0</v>
      </c>
      <c r="J9" t="str" cm="1">
        <f t="array" ref="J9">_xlfn.IFS(DirtyData_1[[#This Row],[Age]]&lt;30,"Young",DirtyData_1[[#This Row],[Age]]&lt;50,"Mid",DirtyData_1[[#This Row],[Age]]&gt;=50,"Senior")</f>
        <v>Young</v>
      </c>
    </row>
    <row r="10" spans="1:10" x14ac:dyDescent="0.25">
      <c r="A10">
        <v>109</v>
      </c>
      <c r="B10" s="14" t="s">
        <v>16</v>
      </c>
      <c r="D10">
        <v>90022</v>
      </c>
      <c r="E10" s="14" t="s">
        <v>68</v>
      </c>
      <c r="F10">
        <v>54</v>
      </c>
      <c r="G10" s="15">
        <v>46052</v>
      </c>
      <c r="H10">
        <v>1</v>
      </c>
      <c r="I10">
        <v>1</v>
      </c>
      <c r="J10" t="str" cm="1">
        <f t="array" ref="J10">_xlfn.IFS(DirtyData_1[[#This Row],[Age]]&lt;30,"Young",DirtyData_1[[#This Row],[Age]]&lt;50,"Mid",DirtyData_1[[#This Row],[Age]]&gt;=50,"Senior")</f>
        <v>Young</v>
      </c>
    </row>
    <row r="11" spans="1:10" x14ac:dyDescent="0.25">
      <c r="A11">
        <v>110</v>
      </c>
      <c r="B11" s="14" t="s">
        <v>17</v>
      </c>
      <c r="C11">
        <v>21</v>
      </c>
      <c r="D11">
        <v>97746</v>
      </c>
      <c r="E11" s="14" t="s">
        <v>70</v>
      </c>
      <c r="F11">
        <v>50</v>
      </c>
      <c r="G11" s="15">
        <v>46052</v>
      </c>
      <c r="H11">
        <v>1</v>
      </c>
      <c r="I11">
        <v>0</v>
      </c>
      <c r="J11" t="str" cm="1">
        <f t="array" ref="J11">_xlfn.IFS(DirtyData_1[[#This Row],[Age]]&lt;30,"Young",DirtyData_1[[#This Row],[Age]]&lt;50,"Mid",DirtyData_1[[#This Row],[Age]]&gt;=50,"Senior")</f>
        <v>Young</v>
      </c>
    </row>
    <row r="12" spans="1:10" x14ac:dyDescent="0.25">
      <c r="A12">
        <v>111</v>
      </c>
      <c r="B12" s="14" t="s">
        <v>18</v>
      </c>
      <c r="C12">
        <v>29</v>
      </c>
      <c r="D12">
        <v>82991</v>
      </c>
      <c r="E12" s="14" t="s">
        <v>69</v>
      </c>
      <c r="F12">
        <v>82</v>
      </c>
      <c r="G12" s="15">
        <v>46052</v>
      </c>
      <c r="H12">
        <v>0</v>
      </c>
      <c r="I12">
        <v>0</v>
      </c>
      <c r="J12" t="str" cm="1">
        <f t="array" ref="J12">_xlfn.IFS(DirtyData_1[[#This Row],[Age]]&lt;30,"Young",DirtyData_1[[#This Row],[Age]]&lt;50,"Mid",DirtyData_1[[#This Row],[Age]]&gt;=50,"Senior")</f>
        <v>Young</v>
      </c>
    </row>
    <row r="13" spans="1:10" x14ac:dyDescent="0.25">
      <c r="A13">
        <v>112</v>
      </c>
      <c r="B13" s="14" t="s">
        <v>19</v>
      </c>
      <c r="C13">
        <v>21</v>
      </c>
      <c r="E13" s="14"/>
      <c r="F13">
        <v>91</v>
      </c>
      <c r="G13" s="15">
        <v>46052</v>
      </c>
      <c r="H13">
        <v>1</v>
      </c>
      <c r="I13">
        <v>0</v>
      </c>
      <c r="J13" t="str" cm="1">
        <f t="array" ref="J13">_xlfn.IFS(DirtyData_1[[#This Row],[Age]]&lt;30,"Young",DirtyData_1[[#This Row],[Age]]&lt;50,"Mid",DirtyData_1[[#This Row],[Age]]&gt;=50,"Senior")</f>
        <v>Young</v>
      </c>
    </row>
    <row r="14" spans="1:10" x14ac:dyDescent="0.25">
      <c r="A14">
        <v>113</v>
      </c>
      <c r="B14" s="14" t="s">
        <v>20</v>
      </c>
      <c r="C14">
        <v>23</v>
      </c>
      <c r="D14">
        <v>71497</v>
      </c>
      <c r="E14" s="14" t="s">
        <v>67</v>
      </c>
      <c r="G14" s="15">
        <v>46052</v>
      </c>
      <c r="H14">
        <v>0</v>
      </c>
      <c r="I14">
        <v>0</v>
      </c>
      <c r="J14" t="str" cm="1">
        <f t="array" ref="J14">_xlfn.IFS(DirtyData_1[[#This Row],[Age]]&lt;30,"Young",DirtyData_1[[#This Row],[Age]]&lt;50,"Mid",DirtyData_1[[#This Row],[Age]]&gt;=50,"Senior")</f>
        <v>Young</v>
      </c>
    </row>
    <row r="15" spans="1:10" x14ac:dyDescent="0.25">
      <c r="A15">
        <v>114</v>
      </c>
      <c r="B15" s="14" t="s">
        <v>21</v>
      </c>
      <c r="D15">
        <v>89382</v>
      </c>
      <c r="E15" s="14" t="s">
        <v>70</v>
      </c>
      <c r="F15">
        <v>94</v>
      </c>
      <c r="G15" s="15">
        <v>46052</v>
      </c>
      <c r="H15">
        <v>1</v>
      </c>
      <c r="I15">
        <v>1</v>
      </c>
      <c r="J15" t="str" cm="1">
        <f t="array" ref="J15">_xlfn.IFS(DirtyData_1[[#This Row],[Age]]&lt;30,"Young",DirtyData_1[[#This Row],[Age]]&lt;50,"Mid",DirtyData_1[[#This Row],[Age]]&gt;=50,"Senior")</f>
        <v>Young</v>
      </c>
    </row>
    <row r="16" spans="1:10" x14ac:dyDescent="0.25">
      <c r="A16">
        <v>115</v>
      </c>
      <c r="B16" s="14" t="s">
        <v>22</v>
      </c>
      <c r="C16">
        <v>24</v>
      </c>
      <c r="D16">
        <v>99263</v>
      </c>
      <c r="E16" s="14" t="s">
        <v>70</v>
      </c>
      <c r="F16">
        <v>51</v>
      </c>
      <c r="G16" s="15">
        <v>46052</v>
      </c>
      <c r="H16">
        <v>0</v>
      </c>
      <c r="I16">
        <v>0</v>
      </c>
      <c r="J16" t="str" cm="1">
        <f t="array" ref="J16">_xlfn.IFS(DirtyData_1[[#This Row],[Age]]&lt;30,"Young",DirtyData_1[[#This Row],[Age]]&lt;50,"Mid",DirtyData_1[[#This Row],[Age]]&gt;=50,"Senior")</f>
        <v>Young</v>
      </c>
    </row>
    <row r="17" spans="1:10" x14ac:dyDescent="0.25">
      <c r="A17">
        <v>116</v>
      </c>
      <c r="B17" s="14" t="s">
        <v>23</v>
      </c>
      <c r="C17">
        <v>20</v>
      </c>
      <c r="D17">
        <v>72532</v>
      </c>
      <c r="E17" s="14" t="s">
        <v>70</v>
      </c>
      <c r="F17">
        <v>36</v>
      </c>
      <c r="G17" s="15">
        <v>46052</v>
      </c>
      <c r="H17">
        <v>1</v>
      </c>
      <c r="I17">
        <v>0</v>
      </c>
      <c r="J17" t="str" cm="1">
        <f t="array" ref="J17">_xlfn.IFS(DirtyData_1[[#This Row],[Age]]&lt;30,"Young",DirtyData_1[[#This Row],[Age]]&lt;50,"Mid",DirtyData_1[[#This Row],[Age]]&gt;=50,"Senior")</f>
        <v>Young</v>
      </c>
    </row>
    <row r="18" spans="1:10" x14ac:dyDescent="0.25">
      <c r="A18">
        <v>117</v>
      </c>
      <c r="B18" s="14" t="s">
        <v>24</v>
      </c>
      <c r="C18">
        <v>28</v>
      </c>
      <c r="D18">
        <v>88751</v>
      </c>
      <c r="E18" s="14" t="s">
        <v>69</v>
      </c>
      <c r="F18">
        <v>98</v>
      </c>
      <c r="G18" s="15">
        <v>46052</v>
      </c>
      <c r="H18">
        <v>1</v>
      </c>
      <c r="I18">
        <v>0</v>
      </c>
      <c r="J18" t="str" cm="1">
        <f t="array" ref="J18">_xlfn.IFS(DirtyData_1[[#This Row],[Age]]&lt;30,"Young",DirtyData_1[[#This Row],[Age]]&lt;50,"Mid",DirtyData_1[[#This Row],[Age]]&gt;=50,"Senior")</f>
        <v>Young</v>
      </c>
    </row>
    <row r="19" spans="1:10" x14ac:dyDescent="0.25">
      <c r="A19">
        <v>118</v>
      </c>
      <c r="B19" s="14" t="s">
        <v>25</v>
      </c>
      <c r="C19">
        <v>23</v>
      </c>
      <c r="D19">
        <v>83907</v>
      </c>
      <c r="E19" s="14" t="s">
        <v>70</v>
      </c>
      <c r="F19">
        <v>87</v>
      </c>
      <c r="G19" s="15">
        <v>46052</v>
      </c>
      <c r="H19">
        <v>0</v>
      </c>
      <c r="I19">
        <v>0</v>
      </c>
      <c r="J19" t="str" cm="1">
        <f t="array" ref="J19">_xlfn.IFS(DirtyData_1[[#This Row],[Age]]&lt;30,"Young",DirtyData_1[[#This Row],[Age]]&lt;50,"Mid",DirtyData_1[[#This Row],[Age]]&gt;=50,"Senior")</f>
        <v>Young</v>
      </c>
    </row>
    <row r="20" spans="1:10" x14ac:dyDescent="0.25">
      <c r="A20">
        <v>119</v>
      </c>
      <c r="B20" s="14" t="s">
        <v>26</v>
      </c>
      <c r="D20">
        <v>92030</v>
      </c>
      <c r="E20" s="14"/>
      <c r="F20">
        <v>60</v>
      </c>
      <c r="G20" s="15">
        <v>46052</v>
      </c>
      <c r="H20">
        <v>0</v>
      </c>
      <c r="I20">
        <v>1</v>
      </c>
      <c r="J20" t="str" cm="1">
        <f t="array" ref="J20">_xlfn.IFS(DirtyData_1[[#This Row],[Age]]&lt;30,"Young",DirtyData_1[[#This Row],[Age]]&lt;50,"Mid",DirtyData_1[[#This Row],[Age]]&gt;=50,"Senior")</f>
        <v>Young</v>
      </c>
    </row>
    <row r="21" spans="1:10" x14ac:dyDescent="0.25">
      <c r="A21">
        <v>120</v>
      </c>
      <c r="B21" s="14" t="s">
        <v>27</v>
      </c>
      <c r="C21">
        <v>25</v>
      </c>
      <c r="D21">
        <v>76657</v>
      </c>
      <c r="E21" s="14" t="s">
        <v>68</v>
      </c>
      <c r="F21">
        <v>48</v>
      </c>
      <c r="G21" s="15">
        <v>46052</v>
      </c>
      <c r="H21">
        <v>0</v>
      </c>
      <c r="I21">
        <v>0</v>
      </c>
      <c r="J21" t="str" cm="1">
        <f t="array" ref="J21">_xlfn.IFS(DirtyData_1[[#This Row],[Age]]&lt;30,"Young",DirtyData_1[[#This Row],[Age]]&lt;50,"Mid",DirtyData_1[[#This Row],[Age]]&gt;=50,"Senior")</f>
        <v>Young</v>
      </c>
    </row>
    <row r="22" spans="1:10" x14ac:dyDescent="0.25">
      <c r="A22">
        <v>121</v>
      </c>
      <c r="B22" s="14" t="s">
        <v>28</v>
      </c>
      <c r="D22">
        <v>81736</v>
      </c>
      <c r="E22" s="14" t="s">
        <v>67</v>
      </c>
      <c r="F22">
        <v>93</v>
      </c>
      <c r="G22" s="15">
        <v>46052</v>
      </c>
      <c r="H22">
        <v>0</v>
      </c>
      <c r="I22">
        <v>1</v>
      </c>
      <c r="J22" t="str" cm="1">
        <f t="array" ref="J22">_xlfn.IFS(DirtyData_1[[#This Row],[Age]]&lt;30,"Young",DirtyData_1[[#This Row],[Age]]&lt;50,"Mid",DirtyData_1[[#This Row],[Age]]&gt;=50,"Senior")</f>
        <v>Young</v>
      </c>
    </row>
    <row r="23" spans="1:10" x14ac:dyDescent="0.25">
      <c r="A23">
        <v>122</v>
      </c>
      <c r="B23" s="14" t="s">
        <v>29</v>
      </c>
      <c r="D23">
        <v>92482</v>
      </c>
      <c r="E23" s="14" t="s">
        <v>69</v>
      </c>
      <c r="G23" s="15">
        <v>46052</v>
      </c>
      <c r="H23">
        <v>0</v>
      </c>
      <c r="I23">
        <v>1</v>
      </c>
      <c r="J23" t="str" cm="1">
        <f t="array" ref="J23">_xlfn.IFS(DirtyData_1[[#This Row],[Age]]&lt;30,"Young",DirtyData_1[[#This Row],[Age]]&lt;50,"Mid",DirtyData_1[[#This Row],[Age]]&gt;=50,"Senior")</f>
        <v>Young</v>
      </c>
    </row>
    <row r="24" spans="1:10" x14ac:dyDescent="0.25">
      <c r="A24">
        <v>123</v>
      </c>
      <c r="B24" s="14" t="s">
        <v>30</v>
      </c>
      <c r="C24">
        <v>30</v>
      </c>
      <c r="D24">
        <v>76231</v>
      </c>
      <c r="E24" s="14"/>
      <c r="F24">
        <v>39</v>
      </c>
      <c r="G24" s="15">
        <v>46052</v>
      </c>
      <c r="H24">
        <v>0</v>
      </c>
      <c r="I24">
        <v>0</v>
      </c>
      <c r="J24" t="str" cm="1">
        <f t="array" ref="J24">_xlfn.IFS(DirtyData_1[[#This Row],[Age]]&lt;30,"Young",DirtyData_1[[#This Row],[Age]]&lt;50,"Mid",DirtyData_1[[#This Row],[Age]]&gt;=50,"Senior")</f>
        <v>Mid</v>
      </c>
    </row>
    <row r="25" spans="1:10" x14ac:dyDescent="0.25">
      <c r="A25">
        <v>124</v>
      </c>
      <c r="B25" s="14" t="s">
        <v>31</v>
      </c>
      <c r="D25">
        <v>93950</v>
      </c>
      <c r="E25" s="14" t="s">
        <v>67</v>
      </c>
      <c r="F25">
        <v>60</v>
      </c>
      <c r="G25" s="15">
        <v>46052</v>
      </c>
      <c r="H25">
        <v>1</v>
      </c>
      <c r="I25">
        <v>1</v>
      </c>
      <c r="J25" t="str" cm="1">
        <f t="array" ref="J25">_xlfn.IFS(DirtyData_1[[#This Row],[Age]]&lt;30,"Young",DirtyData_1[[#This Row],[Age]]&lt;50,"Mid",DirtyData_1[[#This Row],[Age]]&gt;=50,"Senior")</f>
        <v>Young</v>
      </c>
    </row>
    <row r="26" spans="1:10" x14ac:dyDescent="0.25">
      <c r="A26">
        <v>125</v>
      </c>
      <c r="B26" s="14" t="s">
        <v>32</v>
      </c>
      <c r="C26">
        <v>24</v>
      </c>
      <c r="D26">
        <v>76266</v>
      </c>
      <c r="E26" s="14" t="s">
        <v>67</v>
      </c>
      <c r="F26">
        <v>50</v>
      </c>
      <c r="G26" s="15">
        <v>46052</v>
      </c>
      <c r="H26">
        <v>0</v>
      </c>
      <c r="I26">
        <v>0</v>
      </c>
      <c r="J26" t="str" cm="1">
        <f t="array" ref="J26">_xlfn.IFS(DirtyData_1[[#This Row],[Age]]&lt;30,"Young",DirtyData_1[[#This Row],[Age]]&lt;50,"Mid",DirtyData_1[[#This Row],[Age]]&gt;=50,"Senior")</f>
        <v>Young</v>
      </c>
    </row>
    <row r="27" spans="1:10" x14ac:dyDescent="0.25">
      <c r="A27">
        <v>126</v>
      </c>
      <c r="B27" s="14" t="s">
        <v>33</v>
      </c>
      <c r="C27">
        <v>22</v>
      </c>
      <c r="E27" s="14"/>
      <c r="F27">
        <v>45</v>
      </c>
      <c r="G27" s="15">
        <v>46052</v>
      </c>
      <c r="H27">
        <v>0</v>
      </c>
      <c r="I27">
        <v>0</v>
      </c>
      <c r="J27" t="str" cm="1">
        <f t="array" ref="J27">_xlfn.IFS(DirtyData_1[[#This Row],[Age]]&lt;30,"Young",DirtyData_1[[#This Row],[Age]]&lt;50,"Mid",DirtyData_1[[#This Row],[Age]]&gt;=50,"Senior")</f>
        <v>Young</v>
      </c>
    </row>
    <row r="28" spans="1:10" x14ac:dyDescent="0.25">
      <c r="A28">
        <v>127</v>
      </c>
      <c r="B28" s="14" t="s">
        <v>34</v>
      </c>
      <c r="C28">
        <v>27</v>
      </c>
      <c r="D28">
        <v>94253</v>
      </c>
      <c r="E28" s="14" t="s">
        <v>67</v>
      </c>
      <c r="G28" s="15">
        <v>46052</v>
      </c>
      <c r="H28">
        <v>1</v>
      </c>
      <c r="I28">
        <v>0</v>
      </c>
      <c r="J28" t="str" cm="1">
        <f t="array" ref="J28">_xlfn.IFS(DirtyData_1[[#This Row],[Age]]&lt;30,"Young",DirtyData_1[[#This Row],[Age]]&lt;50,"Mid",DirtyData_1[[#This Row],[Age]]&gt;=50,"Senior")</f>
        <v>Young</v>
      </c>
    </row>
    <row r="29" spans="1:10" x14ac:dyDescent="0.25">
      <c r="A29">
        <v>128</v>
      </c>
      <c r="B29" s="14" t="s">
        <v>35</v>
      </c>
      <c r="C29">
        <v>27</v>
      </c>
      <c r="D29">
        <v>89483</v>
      </c>
      <c r="E29" s="14"/>
      <c r="F29">
        <v>65</v>
      </c>
      <c r="G29" s="15">
        <v>46052</v>
      </c>
      <c r="H29">
        <v>0</v>
      </c>
      <c r="I29">
        <v>0</v>
      </c>
      <c r="J29" t="str" cm="1">
        <f t="array" ref="J29">_xlfn.IFS(DirtyData_1[[#This Row],[Age]]&lt;30,"Young",DirtyData_1[[#This Row],[Age]]&lt;50,"Mid",DirtyData_1[[#This Row],[Age]]&gt;=50,"Senior")</f>
        <v>Young</v>
      </c>
    </row>
    <row r="30" spans="1:10" x14ac:dyDescent="0.25">
      <c r="A30">
        <v>129</v>
      </c>
      <c r="B30" s="14" t="s">
        <v>36</v>
      </c>
      <c r="E30" s="14" t="s">
        <v>67</v>
      </c>
      <c r="F30">
        <v>53</v>
      </c>
      <c r="G30" s="15">
        <v>46052</v>
      </c>
      <c r="H30">
        <v>1</v>
      </c>
      <c r="I30">
        <v>1</v>
      </c>
      <c r="J30" t="str" cm="1">
        <f t="array" ref="J30">_xlfn.IFS(DirtyData_1[[#This Row],[Age]]&lt;30,"Young",DirtyData_1[[#This Row],[Age]]&lt;50,"Mid",DirtyData_1[[#This Row],[Age]]&gt;=50,"Senior")</f>
        <v>Young</v>
      </c>
    </row>
    <row r="31" spans="1:10" x14ac:dyDescent="0.25">
      <c r="A31">
        <v>130</v>
      </c>
      <c r="B31" s="14" t="s">
        <v>37</v>
      </c>
      <c r="C31">
        <v>21</v>
      </c>
      <c r="D31">
        <v>77384</v>
      </c>
      <c r="E31" s="14" t="s">
        <v>67</v>
      </c>
      <c r="F31">
        <v>76</v>
      </c>
      <c r="G31" s="15">
        <v>46052</v>
      </c>
      <c r="H31">
        <v>0</v>
      </c>
      <c r="I31">
        <v>0</v>
      </c>
      <c r="J31" t="str" cm="1">
        <f t="array" ref="J31">_xlfn.IFS(DirtyData_1[[#This Row],[Age]]&lt;30,"Young",DirtyData_1[[#This Row],[Age]]&lt;50,"Mid",DirtyData_1[[#This Row],[Age]]&gt;=50,"Senior")</f>
        <v>Young</v>
      </c>
    </row>
    <row r="32" spans="1:10" x14ac:dyDescent="0.25">
      <c r="A32">
        <v>131</v>
      </c>
      <c r="B32" s="14" t="s">
        <v>38</v>
      </c>
      <c r="C32">
        <v>28</v>
      </c>
      <c r="D32">
        <v>61999</v>
      </c>
      <c r="E32" s="14" t="s">
        <v>68</v>
      </c>
      <c r="F32">
        <v>95</v>
      </c>
      <c r="G32" s="15">
        <v>46052</v>
      </c>
      <c r="H32">
        <v>1</v>
      </c>
      <c r="I32">
        <v>0</v>
      </c>
      <c r="J32" t="str" cm="1">
        <f t="array" ref="J32">_xlfn.IFS(DirtyData_1[[#This Row],[Age]]&lt;30,"Young",DirtyData_1[[#This Row],[Age]]&lt;50,"Mid",DirtyData_1[[#This Row],[Age]]&gt;=50,"Senior")</f>
        <v>Young</v>
      </c>
    </row>
    <row r="33" spans="1:10" x14ac:dyDescent="0.25">
      <c r="A33">
        <v>132</v>
      </c>
      <c r="B33" s="14" t="s">
        <v>39</v>
      </c>
      <c r="C33">
        <v>22</v>
      </c>
      <c r="D33">
        <v>60394</v>
      </c>
      <c r="E33" s="14"/>
      <c r="F33">
        <v>74</v>
      </c>
      <c r="G33" s="15">
        <v>46052</v>
      </c>
      <c r="H33">
        <v>0</v>
      </c>
      <c r="I33">
        <v>0</v>
      </c>
      <c r="J33" t="str" cm="1">
        <f t="array" ref="J33">_xlfn.IFS(DirtyData_1[[#This Row],[Age]]&lt;30,"Young",DirtyData_1[[#This Row],[Age]]&lt;50,"Mid",DirtyData_1[[#This Row],[Age]]&gt;=50,"Senior")</f>
        <v>Young</v>
      </c>
    </row>
    <row r="34" spans="1:10" x14ac:dyDescent="0.25">
      <c r="A34">
        <v>133</v>
      </c>
      <c r="B34" s="14" t="s">
        <v>40</v>
      </c>
      <c r="C34">
        <v>24</v>
      </c>
      <c r="D34">
        <v>86813</v>
      </c>
      <c r="E34" s="14" t="s">
        <v>67</v>
      </c>
      <c r="F34">
        <v>77</v>
      </c>
      <c r="G34" s="15">
        <v>46052</v>
      </c>
      <c r="H34">
        <v>1</v>
      </c>
      <c r="I34">
        <v>0</v>
      </c>
      <c r="J34" t="str" cm="1">
        <f t="array" ref="J34">_xlfn.IFS(DirtyData_1[[#This Row],[Age]]&lt;30,"Young",DirtyData_1[[#This Row],[Age]]&lt;50,"Mid",DirtyData_1[[#This Row],[Age]]&gt;=50,"Senior")</f>
        <v>Young</v>
      </c>
    </row>
    <row r="35" spans="1:10" x14ac:dyDescent="0.25">
      <c r="A35">
        <v>134</v>
      </c>
      <c r="B35" s="14" t="s">
        <v>41</v>
      </c>
      <c r="D35">
        <v>96037</v>
      </c>
      <c r="E35" s="14" t="s">
        <v>68</v>
      </c>
      <c r="G35" s="15">
        <v>46052</v>
      </c>
      <c r="H35">
        <v>1</v>
      </c>
      <c r="I35">
        <v>1</v>
      </c>
      <c r="J35" t="str" cm="1">
        <f t="array" ref="J35">_xlfn.IFS(DirtyData_1[[#This Row],[Age]]&lt;30,"Young",DirtyData_1[[#This Row],[Age]]&lt;50,"Mid",DirtyData_1[[#This Row],[Age]]&gt;=50,"Senior")</f>
        <v>Young</v>
      </c>
    </row>
    <row r="36" spans="1:10" x14ac:dyDescent="0.25">
      <c r="A36">
        <v>135</v>
      </c>
      <c r="B36" s="14" t="s">
        <v>42</v>
      </c>
      <c r="C36">
        <v>21</v>
      </c>
      <c r="D36">
        <v>78861</v>
      </c>
      <c r="E36" s="14"/>
      <c r="F36">
        <v>63</v>
      </c>
      <c r="G36" s="15">
        <v>46052</v>
      </c>
      <c r="H36">
        <v>0</v>
      </c>
      <c r="I36">
        <v>0</v>
      </c>
      <c r="J36" t="str" cm="1">
        <f t="array" ref="J36">_xlfn.IFS(DirtyData_1[[#This Row],[Age]]&lt;30,"Young",DirtyData_1[[#This Row],[Age]]&lt;50,"Mid",DirtyData_1[[#This Row],[Age]]&gt;=50,"Senior")</f>
        <v>Young</v>
      </c>
    </row>
    <row r="37" spans="1:10" x14ac:dyDescent="0.25">
      <c r="A37">
        <v>136</v>
      </c>
      <c r="B37" s="14" t="s">
        <v>43</v>
      </c>
      <c r="C37">
        <v>29</v>
      </c>
      <c r="E37" s="14" t="s">
        <v>69</v>
      </c>
      <c r="F37">
        <v>31</v>
      </c>
      <c r="G37" s="15">
        <v>46052</v>
      </c>
      <c r="H37">
        <v>1</v>
      </c>
      <c r="I37">
        <v>0</v>
      </c>
      <c r="J37" t="str" cm="1">
        <f t="array" ref="J37">_xlfn.IFS(DirtyData_1[[#This Row],[Age]]&lt;30,"Young",DirtyData_1[[#This Row],[Age]]&lt;50,"Mid",DirtyData_1[[#This Row],[Age]]&gt;=50,"Senior")</f>
        <v>Young</v>
      </c>
    </row>
    <row r="38" spans="1:10" x14ac:dyDescent="0.25">
      <c r="A38">
        <v>137</v>
      </c>
      <c r="B38" s="14" t="s">
        <v>44</v>
      </c>
      <c r="C38">
        <v>19</v>
      </c>
      <c r="D38">
        <v>83598</v>
      </c>
      <c r="E38" s="14"/>
      <c r="G38" s="15">
        <v>46052</v>
      </c>
      <c r="H38">
        <v>1</v>
      </c>
      <c r="I38">
        <v>0</v>
      </c>
      <c r="J38" t="str" cm="1">
        <f t="array" ref="J38">_xlfn.IFS(DirtyData_1[[#This Row],[Age]]&lt;30,"Young",DirtyData_1[[#This Row],[Age]]&lt;50,"Mid",DirtyData_1[[#This Row],[Age]]&gt;=50,"Senior")</f>
        <v>Young</v>
      </c>
    </row>
    <row r="39" spans="1:10" x14ac:dyDescent="0.25">
      <c r="A39">
        <v>138</v>
      </c>
      <c r="B39" s="14" t="s">
        <v>45</v>
      </c>
      <c r="C39">
        <v>29</v>
      </c>
      <c r="D39">
        <v>78343</v>
      </c>
      <c r="E39" s="14" t="s">
        <v>67</v>
      </c>
      <c r="F39">
        <v>84</v>
      </c>
      <c r="G39" s="15">
        <v>46052</v>
      </c>
      <c r="H39">
        <v>0</v>
      </c>
      <c r="I39">
        <v>0</v>
      </c>
      <c r="J39" t="str" cm="1">
        <f t="array" ref="J39">_xlfn.IFS(DirtyData_1[[#This Row],[Age]]&lt;30,"Young",DirtyData_1[[#This Row],[Age]]&lt;50,"Mid",DirtyData_1[[#This Row],[Age]]&gt;=50,"Senior")</f>
        <v>Young</v>
      </c>
    </row>
    <row r="40" spans="1:10" x14ac:dyDescent="0.25">
      <c r="A40">
        <v>139</v>
      </c>
      <c r="B40" s="14" t="s">
        <v>46</v>
      </c>
      <c r="C40">
        <v>22</v>
      </c>
      <c r="D40">
        <v>63204</v>
      </c>
      <c r="E40" s="14" t="s">
        <v>67</v>
      </c>
      <c r="F40">
        <v>95</v>
      </c>
      <c r="G40" s="15">
        <v>46052</v>
      </c>
      <c r="H40">
        <v>0</v>
      </c>
      <c r="I40">
        <v>0</v>
      </c>
      <c r="J40" t="str" cm="1">
        <f t="array" ref="J40">_xlfn.IFS(DirtyData_1[[#This Row],[Age]]&lt;30,"Young",DirtyData_1[[#This Row],[Age]]&lt;50,"Mid",DirtyData_1[[#This Row],[Age]]&gt;=50,"Senior")</f>
        <v>Young</v>
      </c>
    </row>
    <row r="41" spans="1:10" x14ac:dyDescent="0.25">
      <c r="A41">
        <v>140</v>
      </c>
      <c r="B41" s="14" t="s">
        <v>47</v>
      </c>
      <c r="C41">
        <v>28</v>
      </c>
      <c r="E41" s="14" t="s">
        <v>67</v>
      </c>
      <c r="F41">
        <v>93</v>
      </c>
      <c r="G41" s="15">
        <v>46052</v>
      </c>
      <c r="H41">
        <v>0</v>
      </c>
      <c r="I41">
        <v>0</v>
      </c>
      <c r="J41" t="str" cm="1">
        <f t="array" ref="J41">_xlfn.IFS(DirtyData_1[[#This Row],[Age]]&lt;30,"Young",DirtyData_1[[#This Row],[Age]]&lt;50,"Mid",DirtyData_1[[#This Row],[Age]]&gt;=50,"Senior")</f>
        <v>Young</v>
      </c>
    </row>
    <row r="42" spans="1:10" x14ac:dyDescent="0.25">
      <c r="A42">
        <v>141</v>
      </c>
      <c r="B42" s="14" t="s">
        <v>48</v>
      </c>
      <c r="C42">
        <v>23</v>
      </c>
      <c r="D42">
        <v>81422</v>
      </c>
      <c r="E42" s="14"/>
      <c r="G42" s="15">
        <v>46052</v>
      </c>
      <c r="H42">
        <v>0</v>
      </c>
      <c r="I42">
        <v>0</v>
      </c>
      <c r="J42" t="str" cm="1">
        <f t="array" ref="J42">_xlfn.IFS(DirtyData_1[[#This Row],[Age]]&lt;30,"Young",DirtyData_1[[#This Row],[Age]]&lt;50,"Mid",DirtyData_1[[#This Row],[Age]]&gt;=50,"Senior")</f>
        <v>Young</v>
      </c>
    </row>
    <row r="43" spans="1:10" x14ac:dyDescent="0.25">
      <c r="A43">
        <v>142</v>
      </c>
      <c r="B43" s="14" t="s">
        <v>49</v>
      </c>
      <c r="D43">
        <v>76882</v>
      </c>
      <c r="E43" s="14" t="s">
        <v>70</v>
      </c>
      <c r="F43">
        <v>42</v>
      </c>
      <c r="G43" s="15">
        <v>46052</v>
      </c>
      <c r="H43">
        <v>0</v>
      </c>
      <c r="I43">
        <v>1</v>
      </c>
      <c r="J43" t="str" cm="1">
        <f t="array" ref="J43">_xlfn.IFS(DirtyData_1[[#This Row],[Age]]&lt;30,"Young",DirtyData_1[[#This Row],[Age]]&lt;50,"Mid",DirtyData_1[[#This Row],[Age]]&gt;=50,"Senior")</f>
        <v>Young</v>
      </c>
    </row>
    <row r="44" spans="1:10" x14ac:dyDescent="0.25">
      <c r="A44">
        <v>143</v>
      </c>
      <c r="B44" s="14" t="s">
        <v>50</v>
      </c>
      <c r="C44">
        <v>20</v>
      </c>
      <c r="D44">
        <v>67479</v>
      </c>
      <c r="E44" s="14"/>
      <c r="F44">
        <v>46</v>
      </c>
      <c r="G44" s="15">
        <v>46052</v>
      </c>
      <c r="H44">
        <v>1</v>
      </c>
      <c r="I44">
        <v>0</v>
      </c>
      <c r="J44" t="str" cm="1">
        <f t="array" ref="J44">_xlfn.IFS(DirtyData_1[[#This Row],[Age]]&lt;30,"Young",DirtyData_1[[#This Row],[Age]]&lt;50,"Mid",DirtyData_1[[#This Row],[Age]]&gt;=50,"Senior")</f>
        <v>Young</v>
      </c>
    </row>
    <row r="45" spans="1:10" x14ac:dyDescent="0.25">
      <c r="A45">
        <v>144</v>
      </c>
      <c r="B45" s="14" t="s">
        <v>51</v>
      </c>
      <c r="C45">
        <v>27</v>
      </c>
      <c r="D45">
        <v>60126</v>
      </c>
      <c r="E45" s="14" t="s">
        <v>70</v>
      </c>
      <c r="F45">
        <v>57</v>
      </c>
      <c r="G45" s="15">
        <v>46052</v>
      </c>
      <c r="H45">
        <v>1</v>
      </c>
      <c r="I45">
        <v>0</v>
      </c>
      <c r="J45" t="str" cm="1">
        <f t="array" ref="J45">_xlfn.IFS(DirtyData_1[[#This Row],[Age]]&lt;30,"Young",DirtyData_1[[#This Row],[Age]]&lt;50,"Mid",DirtyData_1[[#This Row],[Age]]&gt;=50,"Senior")</f>
        <v>Young</v>
      </c>
    </row>
    <row r="46" spans="1:10" x14ac:dyDescent="0.25">
      <c r="A46">
        <v>145</v>
      </c>
      <c r="B46" s="14" t="s">
        <v>52</v>
      </c>
      <c r="C46">
        <v>24</v>
      </c>
      <c r="D46">
        <v>63626</v>
      </c>
      <c r="E46" s="14" t="s">
        <v>70</v>
      </c>
      <c r="F46">
        <v>94</v>
      </c>
      <c r="G46" s="15">
        <v>46052</v>
      </c>
      <c r="H46">
        <v>1</v>
      </c>
      <c r="I46">
        <v>0</v>
      </c>
      <c r="J46" t="str" cm="1">
        <f t="array" ref="J46">_xlfn.IFS(DirtyData_1[[#This Row],[Age]]&lt;30,"Young",DirtyData_1[[#This Row],[Age]]&lt;50,"Mid",DirtyData_1[[#This Row],[Age]]&gt;=50,"Senior")</f>
        <v>Young</v>
      </c>
    </row>
    <row r="47" spans="1:10" x14ac:dyDescent="0.25">
      <c r="A47">
        <v>146</v>
      </c>
      <c r="B47" s="14" t="s">
        <v>53</v>
      </c>
      <c r="C47">
        <v>27</v>
      </c>
      <c r="E47" s="14"/>
      <c r="F47">
        <v>39</v>
      </c>
      <c r="G47" s="15">
        <v>46052</v>
      </c>
      <c r="H47">
        <v>0</v>
      </c>
      <c r="I47">
        <v>0</v>
      </c>
      <c r="J47" t="str" cm="1">
        <f t="array" ref="J47">_xlfn.IFS(DirtyData_1[[#This Row],[Age]]&lt;30,"Young",DirtyData_1[[#This Row],[Age]]&lt;50,"Mid",DirtyData_1[[#This Row],[Age]]&gt;=50,"Senior")</f>
        <v>Young</v>
      </c>
    </row>
    <row r="48" spans="1:10" x14ac:dyDescent="0.25">
      <c r="A48">
        <v>147</v>
      </c>
      <c r="B48" s="14" t="s">
        <v>54</v>
      </c>
      <c r="C48">
        <v>24</v>
      </c>
      <c r="E48" s="14" t="s">
        <v>70</v>
      </c>
      <c r="F48">
        <v>83</v>
      </c>
      <c r="G48" s="15">
        <v>46052</v>
      </c>
      <c r="H48">
        <v>0</v>
      </c>
      <c r="I48">
        <v>0</v>
      </c>
      <c r="J48" t="str" cm="1">
        <f t="array" ref="J48">_xlfn.IFS(DirtyData_1[[#This Row],[Age]]&lt;30,"Young",DirtyData_1[[#This Row],[Age]]&lt;50,"Mid",DirtyData_1[[#This Row],[Age]]&gt;=50,"Senior")</f>
        <v>Young</v>
      </c>
    </row>
    <row r="49" spans="1:10" x14ac:dyDescent="0.25">
      <c r="A49">
        <v>148</v>
      </c>
      <c r="B49" s="14" t="s">
        <v>55</v>
      </c>
      <c r="D49">
        <v>65633</v>
      </c>
      <c r="E49" s="14"/>
      <c r="G49" s="15">
        <v>46052</v>
      </c>
      <c r="H49">
        <v>1</v>
      </c>
      <c r="I49">
        <v>1</v>
      </c>
      <c r="J49" t="str" cm="1">
        <f t="array" ref="J49">_xlfn.IFS(DirtyData_1[[#This Row],[Age]]&lt;30,"Young",DirtyData_1[[#This Row],[Age]]&lt;50,"Mid",DirtyData_1[[#This Row],[Age]]&gt;=50,"Senior")</f>
        <v>Young</v>
      </c>
    </row>
    <row r="50" spans="1:10" x14ac:dyDescent="0.25">
      <c r="A50">
        <v>149</v>
      </c>
      <c r="B50" s="14" t="s">
        <v>56</v>
      </c>
      <c r="C50">
        <v>27</v>
      </c>
      <c r="D50">
        <v>85793</v>
      </c>
      <c r="E50" s="14" t="s">
        <v>68</v>
      </c>
      <c r="F50">
        <v>62</v>
      </c>
      <c r="G50" s="15">
        <v>46052</v>
      </c>
      <c r="H50">
        <v>0</v>
      </c>
      <c r="I50">
        <v>0</v>
      </c>
      <c r="J50" t="str" cm="1">
        <f t="array" ref="J50">_xlfn.IFS(DirtyData_1[[#This Row],[Age]]&lt;30,"Young",DirtyData_1[[#This Row],[Age]]&lt;50,"Mid",DirtyData_1[[#This Row],[Age]]&gt;=50,"Senior")</f>
        <v>Young</v>
      </c>
    </row>
    <row r="51" spans="1:10" x14ac:dyDescent="0.25">
      <c r="A51">
        <v>150</v>
      </c>
      <c r="B51" s="14" t="s">
        <v>56</v>
      </c>
      <c r="C51">
        <v>25</v>
      </c>
      <c r="D51">
        <v>91285</v>
      </c>
      <c r="E51" s="14" t="s">
        <v>68</v>
      </c>
      <c r="F51">
        <v>87</v>
      </c>
      <c r="G51" s="15">
        <v>46052</v>
      </c>
      <c r="H51">
        <v>1</v>
      </c>
      <c r="I51">
        <v>0</v>
      </c>
      <c r="J51" t="str" cm="1">
        <f t="array" ref="J51">_xlfn.IFS(DirtyData_1[[#This Row],[Age]]&lt;30,"Young",DirtyData_1[[#This Row],[Age]]&lt;50,"Mid",DirtyData_1[[#This Row],[Age]]&gt;=50,"Senior")</f>
        <v>Young</v>
      </c>
    </row>
    <row r="52" spans="1:10" x14ac:dyDescent="0.25">
      <c r="A52">
        <v>151</v>
      </c>
      <c r="B52" s="14" t="s">
        <v>57</v>
      </c>
      <c r="D52">
        <v>82320</v>
      </c>
      <c r="E52" s="14" t="s">
        <v>70</v>
      </c>
      <c r="G52" s="15">
        <v>46052</v>
      </c>
      <c r="H52">
        <v>1</v>
      </c>
      <c r="I52">
        <v>1</v>
      </c>
      <c r="J52" t="str" cm="1">
        <f t="array" ref="J52">_xlfn.IFS(DirtyData_1[[#This Row],[Age]]&lt;30,"Young",DirtyData_1[[#This Row],[Age]]&lt;50,"Mid",DirtyData_1[[#This Row],[Age]]&gt;=50,"Senior")</f>
        <v>Young</v>
      </c>
    </row>
    <row r="53" spans="1:10" x14ac:dyDescent="0.25">
      <c r="A53">
        <v>152</v>
      </c>
      <c r="B53" s="14" t="s">
        <v>58</v>
      </c>
      <c r="C53">
        <v>19</v>
      </c>
      <c r="D53">
        <v>78969</v>
      </c>
      <c r="E53" s="14" t="s">
        <v>69</v>
      </c>
      <c r="F53">
        <v>44</v>
      </c>
      <c r="G53" s="15">
        <v>46052</v>
      </c>
      <c r="H53">
        <v>0</v>
      </c>
      <c r="I53">
        <v>0</v>
      </c>
      <c r="J53" t="str" cm="1">
        <f t="array" ref="J53">_xlfn.IFS(DirtyData_1[[#This Row],[Age]]&lt;30,"Young",DirtyData_1[[#This Row],[Age]]&lt;50,"Mid",DirtyData_1[[#This Row],[Age]]&gt;=50,"Senior")</f>
        <v>Young</v>
      </c>
    </row>
    <row r="54" spans="1:10" x14ac:dyDescent="0.25">
      <c r="A54">
        <v>153</v>
      </c>
      <c r="B54" s="14" t="s">
        <v>59</v>
      </c>
      <c r="C54">
        <v>21</v>
      </c>
      <c r="E54" s="14"/>
      <c r="F54">
        <v>47</v>
      </c>
      <c r="G54" s="15">
        <v>46052</v>
      </c>
      <c r="H54">
        <v>1</v>
      </c>
      <c r="I54">
        <v>0</v>
      </c>
      <c r="J54" t="str" cm="1">
        <f t="array" ref="J54">_xlfn.IFS(DirtyData_1[[#This Row],[Age]]&lt;30,"Young",DirtyData_1[[#This Row],[Age]]&lt;50,"Mid",DirtyData_1[[#This Row],[Age]]&gt;=50,"Senior")</f>
        <v>Young</v>
      </c>
    </row>
    <row r="55" spans="1:10" x14ac:dyDescent="0.25">
      <c r="A55">
        <v>154</v>
      </c>
      <c r="B55" s="14" t="s">
        <v>60</v>
      </c>
      <c r="C55">
        <v>25</v>
      </c>
      <c r="D55">
        <v>89845</v>
      </c>
      <c r="E55" s="14" t="s">
        <v>68</v>
      </c>
      <c r="F55">
        <v>80</v>
      </c>
      <c r="G55" s="15">
        <v>46052</v>
      </c>
      <c r="H55">
        <v>0</v>
      </c>
      <c r="I55">
        <v>0</v>
      </c>
      <c r="J55" t="str" cm="1">
        <f t="array" ref="J55">_xlfn.IFS(DirtyData_1[[#This Row],[Age]]&lt;30,"Young",DirtyData_1[[#This Row],[Age]]&lt;50,"Mid",DirtyData_1[[#This Row],[Age]]&gt;=50,"Senior")</f>
        <v>Young</v>
      </c>
    </row>
    <row r="56" spans="1:10" x14ac:dyDescent="0.25">
      <c r="A56">
        <v>155</v>
      </c>
      <c r="B56" s="14" t="s">
        <v>61</v>
      </c>
      <c r="C56">
        <v>30</v>
      </c>
      <c r="D56">
        <v>65364</v>
      </c>
      <c r="E56" s="14" t="s">
        <v>68</v>
      </c>
      <c r="G56" s="15">
        <v>46052</v>
      </c>
      <c r="H56">
        <v>0</v>
      </c>
      <c r="I56">
        <v>0</v>
      </c>
      <c r="J56" t="str" cm="1">
        <f t="array" ref="J56">_xlfn.IFS(DirtyData_1[[#This Row],[Age]]&lt;30,"Young",DirtyData_1[[#This Row],[Age]]&lt;50,"Mid",DirtyData_1[[#This Row],[Age]]&gt;=50,"Senior")</f>
        <v>Mid</v>
      </c>
    </row>
    <row r="57" spans="1:10" x14ac:dyDescent="0.25">
      <c r="A57">
        <v>156</v>
      </c>
      <c r="B57" s="14" t="s">
        <v>62</v>
      </c>
      <c r="C57">
        <v>24</v>
      </c>
      <c r="D57">
        <v>81150</v>
      </c>
      <c r="E57" s="14" t="s">
        <v>70</v>
      </c>
      <c r="F57">
        <v>56</v>
      </c>
      <c r="G57" s="15">
        <v>46052</v>
      </c>
      <c r="H57">
        <v>1</v>
      </c>
      <c r="I57">
        <v>0</v>
      </c>
      <c r="J57" t="str" cm="1">
        <f t="array" ref="J57">_xlfn.IFS(DirtyData_1[[#This Row],[Age]]&lt;30,"Young",DirtyData_1[[#This Row],[Age]]&lt;50,"Mid",DirtyData_1[[#This Row],[Age]]&gt;=50,"Senior")</f>
        <v>Young</v>
      </c>
    </row>
    <row r="58" spans="1:10" x14ac:dyDescent="0.25">
      <c r="A58">
        <v>157</v>
      </c>
      <c r="B58" s="14" t="s">
        <v>63</v>
      </c>
      <c r="C58">
        <v>20</v>
      </c>
      <c r="E58" s="14"/>
      <c r="F58">
        <v>43</v>
      </c>
      <c r="G58" s="15">
        <v>46052</v>
      </c>
      <c r="H58">
        <v>1</v>
      </c>
      <c r="I58">
        <v>0</v>
      </c>
      <c r="J58" t="str" cm="1">
        <f t="array" ref="J58">_xlfn.IFS(DirtyData_1[[#This Row],[Age]]&lt;30,"Young",DirtyData_1[[#This Row],[Age]]&lt;50,"Mid",DirtyData_1[[#This Row],[Age]]&gt;=50,"Senior")</f>
        <v>Young</v>
      </c>
    </row>
    <row r="59" spans="1:10" x14ac:dyDescent="0.25">
      <c r="A59">
        <v>158</v>
      </c>
      <c r="B59" s="14" t="s">
        <v>64</v>
      </c>
      <c r="C59">
        <v>19</v>
      </c>
      <c r="D59">
        <v>71295</v>
      </c>
      <c r="E59" s="14" t="s">
        <v>67</v>
      </c>
      <c r="F59">
        <v>30</v>
      </c>
      <c r="G59" s="15">
        <v>46052</v>
      </c>
      <c r="H59">
        <v>0</v>
      </c>
      <c r="I59">
        <v>0</v>
      </c>
      <c r="J59" t="str" cm="1">
        <f t="array" ref="J59">_xlfn.IFS(DirtyData_1[[#This Row],[Age]]&lt;30,"Young",DirtyData_1[[#This Row],[Age]]&lt;50,"Mid",DirtyData_1[[#This Row],[Age]]&gt;=50,"Senior")</f>
        <v>Young</v>
      </c>
    </row>
    <row r="60" spans="1:10" x14ac:dyDescent="0.25">
      <c r="A60">
        <v>159</v>
      </c>
      <c r="B60" s="14" t="s">
        <v>65</v>
      </c>
      <c r="D60">
        <v>67984</v>
      </c>
      <c r="E60" s="14" t="s">
        <v>68</v>
      </c>
      <c r="F60">
        <v>63</v>
      </c>
      <c r="G60" s="15">
        <v>46052</v>
      </c>
      <c r="H60">
        <v>1</v>
      </c>
      <c r="I60">
        <v>1</v>
      </c>
      <c r="J60" t="str" cm="1">
        <f t="array" ref="J60">_xlfn.IFS(DirtyData_1[[#This Row],[Age]]&lt;30,"Young",DirtyData_1[[#This Row],[Age]]&lt;50,"Mid",DirtyData_1[[#This Row],[Age]]&gt;=50,"Senior")</f>
        <v>Young</v>
      </c>
    </row>
    <row r="61" spans="1:10" x14ac:dyDescent="0.25">
      <c r="A61">
        <v>160</v>
      </c>
      <c r="B61" s="14" t="s">
        <v>66</v>
      </c>
      <c r="C61">
        <v>23</v>
      </c>
      <c r="D61">
        <v>61922</v>
      </c>
      <c r="E61" s="14"/>
      <c r="F61">
        <v>76</v>
      </c>
      <c r="G61" s="15">
        <v>46052</v>
      </c>
      <c r="H61">
        <v>0</v>
      </c>
      <c r="I61">
        <v>0</v>
      </c>
      <c r="J61" t="str" cm="1">
        <f t="array" ref="J61">_xlfn.IFS(DirtyData_1[[#This Row],[Age]]&lt;30,"Young",DirtyData_1[[#This Row],[Age]]&lt;50,"Mid",DirtyData_1[[#This Row],[Age]]&gt;=50,"Senior")</f>
        <v>Young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A18E7-A0E1-494F-ABC4-F0A2AE506071}">
  <dimension ref="A1:I65"/>
  <sheetViews>
    <sheetView tabSelected="1" topLeftCell="A43" workbookViewId="0">
      <selection activeCell="B65" sqref="B65"/>
    </sheetView>
  </sheetViews>
  <sheetFormatPr defaultRowHeight="15" x14ac:dyDescent="0.25"/>
  <cols>
    <col min="1" max="1" width="15.140625" style="1" bestFit="1" customWidth="1"/>
    <col min="2" max="2" width="11.85546875" style="1" bestFit="1" customWidth="1"/>
    <col min="3" max="3" width="9.5703125" style="1" bestFit="1" customWidth="1"/>
    <col min="4" max="4" width="12.5703125" style="1" bestFit="1" customWidth="1"/>
    <col min="5" max="5" width="16.7109375" style="1" bestFit="1" customWidth="1"/>
    <col min="6" max="6" width="10.85546875" style="1" bestFit="1" customWidth="1"/>
    <col min="7" max="7" width="13.85546875" style="1" bestFit="1" customWidth="1"/>
    <col min="8" max="8" width="22.28515625" style="1" bestFit="1" customWidth="1"/>
    <col min="9" max="9" width="16.85546875" style="1" bestFit="1" customWidth="1"/>
    <col min="10" max="16384" width="9.140625" style="1"/>
  </cols>
  <sheetData>
    <row r="1" spans="1:9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8" t="s">
        <v>71</v>
      </c>
    </row>
    <row r="2" spans="1:9" x14ac:dyDescent="0.25">
      <c r="A2" s="1">
        <v>101</v>
      </c>
      <c r="B2" s="2" t="s">
        <v>8</v>
      </c>
      <c r="C2" s="12">
        <f>IF(ISBLANK(DirtyData[[#This Row],[Age]]), AVERAGE(DirtyData[Age]),DirtyData[[#This Row],[Age]])</f>
        <v>25</v>
      </c>
      <c r="D2" s="1">
        <v>99169</v>
      </c>
      <c r="E2" s="13" t="str">
        <f>IF(ISBLANK(DirtyData[[#This Row],[Department]]),"Unknown",DirtyData[[#This Row],[Department]])</f>
        <v>Unknown</v>
      </c>
      <c r="F2" s="12">
        <f>IF(ISBLANK(DirtyData[[#This Row],[Score]]),AVERAGE(DirtyData[Score]),DirtyData[[#This Row],[Score]])</f>
        <v>65</v>
      </c>
      <c r="G2" s="3">
        <v>46052</v>
      </c>
      <c r="H2" s="1">
        <v>1</v>
      </c>
      <c r="I2" s="11">
        <f>IF(ISBLANK(DirtyData3[[#This Row],[Age]]),1,0)</f>
        <v>0</v>
      </c>
    </row>
    <row r="3" spans="1:9" x14ac:dyDescent="0.25">
      <c r="A3" s="1">
        <v>102</v>
      </c>
      <c r="B3" s="4" t="s">
        <v>9</v>
      </c>
      <c r="C3" s="12">
        <f>IF(ISBLANK(DirtyData[[#This Row],[Age]]), AVERAGE(DirtyData[Age]),DirtyData[[#This Row],[Age]])</f>
        <v>24.170212765957448</v>
      </c>
      <c r="D3" s="1">
        <v>89524</v>
      </c>
      <c r="E3" s="13" t="str">
        <f>IF(ISBLANK(DirtyData[[#This Row],[Department]]),"Unknown",DirtyData[[#This Row],[Department]])</f>
        <v>Engineer</v>
      </c>
      <c r="F3" s="12">
        <f>IF(ISBLANK(DirtyData[[#This Row],[Score]]),AVERAGE(DirtyData[Score]),DirtyData[[#This Row],[Score]])</f>
        <v>98</v>
      </c>
      <c r="G3" s="3">
        <v>46052</v>
      </c>
      <c r="H3" s="1">
        <v>0</v>
      </c>
      <c r="I3" s="11">
        <f>IF(ISBLANK(DirtyData3[[#This Row],[Age]]),1,0)</f>
        <v>0</v>
      </c>
    </row>
    <row r="4" spans="1:9" x14ac:dyDescent="0.25">
      <c r="A4" s="1">
        <v>103</v>
      </c>
      <c r="B4" s="2" t="s">
        <v>10</v>
      </c>
      <c r="C4" s="12">
        <f>IF(ISBLANK(DirtyData[[#This Row],[Age]]), AVERAGE(DirtyData[Age]),DirtyData[[#This Row],[Age]])</f>
        <v>29</v>
      </c>
      <c r="D4" s="1">
        <v>71295</v>
      </c>
      <c r="E4" s="13" t="str">
        <f>IF(ISBLANK(DirtyData[[#This Row],[Department]]),"Unknown",DirtyData[[#This Row],[Department]])</f>
        <v>Analyst</v>
      </c>
      <c r="F4" s="12">
        <f>IF(ISBLANK(DirtyData[[#This Row],[Score]]),AVERAGE(DirtyData[Score]),DirtyData[[#This Row],[Score]])</f>
        <v>92</v>
      </c>
      <c r="G4" s="3">
        <v>46052</v>
      </c>
      <c r="H4" s="1">
        <v>1</v>
      </c>
      <c r="I4" s="11">
        <f>IF(ISBLANK(DirtyData3[[#This Row],[Age]]),1,0)</f>
        <v>0</v>
      </c>
    </row>
    <row r="5" spans="1:9" x14ac:dyDescent="0.25">
      <c r="A5" s="1">
        <v>104</v>
      </c>
      <c r="B5" s="4" t="s">
        <v>11</v>
      </c>
      <c r="C5" s="12">
        <f>IF(ISBLANK(DirtyData[[#This Row],[Age]]), AVERAGE(DirtyData[Age]),DirtyData[[#This Row],[Age]])</f>
        <v>25</v>
      </c>
      <c r="D5" s="1">
        <v>99194</v>
      </c>
      <c r="E5" s="13" t="str">
        <f>IF(ISBLANK(DirtyData[[#This Row],[Department]]),"Unknown",DirtyData[[#This Row],[Department]])</f>
        <v>Developer</v>
      </c>
      <c r="F5" s="12">
        <f>IF(ISBLANK(DirtyData[[#This Row],[Score]]),AVERAGE(DirtyData[Score]),DirtyData[[#This Row],[Score]])</f>
        <v>63</v>
      </c>
      <c r="G5" s="3">
        <v>46052</v>
      </c>
      <c r="H5" s="1">
        <v>0</v>
      </c>
      <c r="I5" s="11">
        <f>IF(ISBLANK(DirtyData3[[#This Row],[Age]]),1,0)</f>
        <v>0</v>
      </c>
    </row>
    <row r="6" spans="1:9" x14ac:dyDescent="0.25">
      <c r="A6" s="1">
        <v>105</v>
      </c>
      <c r="B6" s="2" t="s">
        <v>12</v>
      </c>
      <c r="C6" s="12">
        <f>IF(ISBLANK(DirtyData[[#This Row],[Age]]), AVERAGE(DirtyData[Age]),DirtyData[[#This Row],[Age]])</f>
        <v>25</v>
      </c>
      <c r="D6" s="1">
        <v>71480</v>
      </c>
      <c r="E6" s="13" t="str">
        <f>IF(ISBLANK(DirtyData[[#This Row],[Department]]),"Unknown",DirtyData[[#This Row],[Department]])</f>
        <v>Developer</v>
      </c>
      <c r="F6" s="12">
        <f>IF(ISBLANK(DirtyData[[#This Row],[Score]]),AVERAGE(DirtyData[Score]),DirtyData[[#This Row],[Score]])</f>
        <v>65.5</v>
      </c>
      <c r="G6" s="3">
        <v>46052</v>
      </c>
      <c r="H6" s="1">
        <v>1</v>
      </c>
      <c r="I6" s="11">
        <f>IF(ISBLANK(DirtyData3[[#This Row],[Age]]),1,0)</f>
        <v>0</v>
      </c>
    </row>
    <row r="7" spans="1:9" x14ac:dyDescent="0.25">
      <c r="A7" s="1">
        <v>106</v>
      </c>
      <c r="B7" s="4" t="s">
        <v>13</v>
      </c>
      <c r="C7" s="12">
        <f>IF(ISBLANK(DirtyData[[#This Row],[Age]]), AVERAGE(DirtyData[Age]),DirtyData[[#This Row],[Age]])</f>
        <v>18</v>
      </c>
      <c r="D7" s="1">
        <v>71480</v>
      </c>
      <c r="E7" s="13" t="str">
        <f>IF(ISBLANK(DirtyData[[#This Row],[Department]]),"Unknown",DirtyData[[#This Row],[Department]])</f>
        <v>Engineer</v>
      </c>
      <c r="F7" s="12">
        <f>IF(ISBLANK(DirtyData[[#This Row],[Score]]),AVERAGE(DirtyData[Score]),DirtyData[[#This Row],[Score]])</f>
        <v>65.5</v>
      </c>
      <c r="G7" s="3">
        <v>46052</v>
      </c>
      <c r="H7" s="1">
        <v>0</v>
      </c>
      <c r="I7" s="11">
        <f>IF(ISBLANK(DirtyData3[[#This Row],[Age]]),1,0)</f>
        <v>0</v>
      </c>
    </row>
    <row r="8" spans="1:9" x14ac:dyDescent="0.25">
      <c r="A8" s="1">
        <v>107</v>
      </c>
      <c r="B8" s="2" t="s">
        <v>14</v>
      </c>
      <c r="C8" s="12">
        <f>IF(ISBLANK(DirtyData[[#This Row],[Age]]), AVERAGE(DirtyData[Age]),DirtyData[[#This Row],[Age]])</f>
        <v>28</v>
      </c>
      <c r="D8" s="1">
        <v>80839</v>
      </c>
      <c r="E8" s="13" t="str">
        <f>IF(ISBLANK(DirtyData[[#This Row],[Department]]),"Unknown",DirtyData[[#This Row],[Department]])</f>
        <v>Scientist</v>
      </c>
      <c r="F8" s="12">
        <f>IF(ISBLANK(DirtyData[[#This Row],[Score]]),AVERAGE(DirtyData[Score]),DirtyData[[#This Row],[Score]])</f>
        <v>33</v>
      </c>
      <c r="G8" s="3">
        <v>46052</v>
      </c>
      <c r="H8" s="1">
        <v>0</v>
      </c>
      <c r="I8" s="11">
        <f>IF(ISBLANK(DirtyData3[[#This Row],[Age]]),1,0)</f>
        <v>0</v>
      </c>
    </row>
    <row r="9" spans="1:9" x14ac:dyDescent="0.25">
      <c r="A9" s="1">
        <v>108</v>
      </c>
      <c r="B9" s="4" t="s">
        <v>15</v>
      </c>
      <c r="C9" s="12">
        <f>IF(ISBLANK(DirtyData[[#This Row],[Age]]), AVERAGE(DirtyData[Age]),DirtyData[[#This Row],[Age]])</f>
        <v>21</v>
      </c>
      <c r="D9" s="1">
        <v>60827</v>
      </c>
      <c r="E9" s="13" t="str">
        <f>IF(ISBLANK(DirtyData[[#This Row],[Department]]),"Unknown",DirtyData[[#This Row],[Department]])</f>
        <v>Unknown</v>
      </c>
      <c r="F9" s="12">
        <f>IF(ISBLANK(DirtyData[[#This Row],[Score]]),AVERAGE(DirtyData[Score]),DirtyData[[#This Row],[Score]])</f>
        <v>65.5</v>
      </c>
      <c r="G9" s="3">
        <v>46052</v>
      </c>
      <c r="H9" s="1">
        <v>0</v>
      </c>
      <c r="I9" s="11">
        <f>IF(ISBLANK(DirtyData3[[#This Row],[Age]]),1,0)</f>
        <v>0</v>
      </c>
    </row>
    <row r="10" spans="1:9" x14ac:dyDescent="0.25">
      <c r="A10" s="1">
        <v>109</v>
      </c>
      <c r="B10" s="2" t="s">
        <v>16</v>
      </c>
      <c r="C10" s="12">
        <f>IF(ISBLANK(DirtyData[[#This Row],[Age]]), AVERAGE(DirtyData[Age]),DirtyData[[#This Row],[Age]])</f>
        <v>24.170212765957448</v>
      </c>
      <c r="D10" s="1">
        <v>90022</v>
      </c>
      <c r="E10" s="13" t="str">
        <f>IF(ISBLANK(DirtyData[[#This Row],[Department]]),"Unknown",DirtyData[[#This Row],[Department]])</f>
        <v>Scientist</v>
      </c>
      <c r="F10" s="12">
        <f>IF(ISBLANK(DirtyData[[#This Row],[Score]]),AVERAGE(DirtyData[Score]),DirtyData[[#This Row],[Score]])</f>
        <v>54</v>
      </c>
      <c r="G10" s="3">
        <v>46052</v>
      </c>
      <c r="H10" s="1">
        <v>1</v>
      </c>
      <c r="I10" s="11">
        <f>IF(ISBLANK(DirtyData3[[#This Row],[Age]]),1,0)</f>
        <v>0</v>
      </c>
    </row>
    <row r="11" spans="1:9" x14ac:dyDescent="0.25">
      <c r="A11" s="1">
        <v>110</v>
      </c>
      <c r="B11" s="4" t="s">
        <v>17</v>
      </c>
      <c r="C11" s="12">
        <f>IF(ISBLANK(DirtyData[[#This Row],[Age]]), AVERAGE(DirtyData[Age]),DirtyData[[#This Row],[Age]])</f>
        <v>21</v>
      </c>
      <c r="D11" s="1">
        <v>97746</v>
      </c>
      <c r="E11" s="13" t="str">
        <f>IF(ISBLANK(DirtyData[[#This Row],[Department]]),"Unknown",DirtyData[[#This Row],[Department]])</f>
        <v>Developer</v>
      </c>
      <c r="F11" s="12">
        <f>IF(ISBLANK(DirtyData[[#This Row],[Score]]),AVERAGE(DirtyData[Score]),DirtyData[[#This Row],[Score]])</f>
        <v>50</v>
      </c>
      <c r="G11" s="3">
        <v>46052</v>
      </c>
      <c r="H11" s="1">
        <v>1</v>
      </c>
      <c r="I11" s="11">
        <f>IF(ISBLANK(DirtyData3[[#This Row],[Age]]),1,0)</f>
        <v>0</v>
      </c>
    </row>
    <row r="12" spans="1:9" x14ac:dyDescent="0.25">
      <c r="A12" s="1">
        <v>111</v>
      </c>
      <c r="B12" s="2" t="s">
        <v>18</v>
      </c>
      <c r="C12" s="12">
        <f>IF(ISBLANK(DirtyData[[#This Row],[Age]]), AVERAGE(DirtyData[Age]),DirtyData[[#This Row],[Age]])</f>
        <v>29</v>
      </c>
      <c r="D12" s="1">
        <v>82991</v>
      </c>
      <c r="E12" s="13" t="str">
        <f>IF(ISBLANK(DirtyData[[#This Row],[Department]]),"Unknown",DirtyData[[#This Row],[Department]])</f>
        <v>Analyst</v>
      </c>
      <c r="F12" s="12">
        <f>IF(ISBLANK(DirtyData[[#This Row],[Score]]),AVERAGE(DirtyData[Score]),DirtyData[[#This Row],[Score]])</f>
        <v>82</v>
      </c>
      <c r="G12" s="3">
        <v>46052</v>
      </c>
      <c r="H12" s="1">
        <v>0</v>
      </c>
      <c r="I12" s="11">
        <f>IF(ISBLANK(DirtyData3[[#This Row],[Age]]),1,0)</f>
        <v>0</v>
      </c>
    </row>
    <row r="13" spans="1:9" x14ac:dyDescent="0.25">
      <c r="A13" s="1">
        <v>112</v>
      </c>
      <c r="B13" s="4" t="s">
        <v>19</v>
      </c>
      <c r="C13" s="12">
        <f>IF(ISBLANK(DirtyData[[#This Row],[Age]]), AVERAGE(DirtyData[Age]),DirtyData[[#This Row],[Age]])</f>
        <v>21</v>
      </c>
      <c r="D13" s="1">
        <v>71480</v>
      </c>
      <c r="E13" s="13" t="str">
        <f>IF(ISBLANK(DirtyData[[#This Row],[Department]]),"Unknown",DirtyData[[#This Row],[Department]])</f>
        <v>Unknown</v>
      </c>
      <c r="F13" s="12">
        <f>IF(ISBLANK(DirtyData[[#This Row],[Score]]),AVERAGE(DirtyData[Score]),DirtyData[[#This Row],[Score]])</f>
        <v>91</v>
      </c>
      <c r="G13" s="3">
        <v>46052</v>
      </c>
      <c r="H13" s="1">
        <v>1</v>
      </c>
      <c r="I13" s="11">
        <f>IF(ISBLANK(DirtyData3[[#This Row],[Age]]),1,0)</f>
        <v>0</v>
      </c>
    </row>
    <row r="14" spans="1:9" x14ac:dyDescent="0.25">
      <c r="A14" s="1">
        <v>113</v>
      </c>
      <c r="B14" s="2" t="s">
        <v>20</v>
      </c>
      <c r="C14" s="12">
        <f>IF(ISBLANK(DirtyData[[#This Row],[Age]]), AVERAGE(DirtyData[Age]),DirtyData[[#This Row],[Age]])</f>
        <v>23</v>
      </c>
      <c r="D14" s="1">
        <v>71497</v>
      </c>
      <c r="E14" s="13" t="str">
        <f>IF(ISBLANK(DirtyData[[#This Row],[Department]]),"Unknown",DirtyData[[#This Row],[Department]])</f>
        <v>Engineer</v>
      </c>
      <c r="F14" s="12">
        <f>IF(ISBLANK(DirtyData[[#This Row],[Score]]),AVERAGE(DirtyData[Score]),DirtyData[[#This Row],[Score]])</f>
        <v>65.5</v>
      </c>
      <c r="G14" s="3">
        <v>46052</v>
      </c>
      <c r="H14" s="1">
        <v>0</v>
      </c>
      <c r="I14" s="11">
        <f>IF(ISBLANK(DirtyData3[[#This Row],[Age]]),1,0)</f>
        <v>0</v>
      </c>
    </row>
    <row r="15" spans="1:9" x14ac:dyDescent="0.25">
      <c r="A15" s="1">
        <v>114</v>
      </c>
      <c r="B15" s="4" t="s">
        <v>21</v>
      </c>
      <c r="C15" s="12">
        <f>IF(ISBLANK(DirtyData[[#This Row],[Age]]), AVERAGE(DirtyData[Age]),DirtyData[[#This Row],[Age]])</f>
        <v>24.170212765957448</v>
      </c>
      <c r="D15" s="1">
        <v>89382</v>
      </c>
      <c r="E15" s="13" t="str">
        <f>IF(ISBLANK(DirtyData[[#This Row],[Department]]),"Unknown",DirtyData[[#This Row],[Department]])</f>
        <v>Developer</v>
      </c>
      <c r="F15" s="12">
        <f>IF(ISBLANK(DirtyData[[#This Row],[Score]]),AVERAGE(DirtyData[Score]),DirtyData[[#This Row],[Score]])</f>
        <v>94</v>
      </c>
      <c r="G15" s="3">
        <v>46052</v>
      </c>
      <c r="H15" s="1">
        <v>1</v>
      </c>
      <c r="I15" s="11">
        <f>IF(ISBLANK(DirtyData3[[#This Row],[Age]]),1,0)</f>
        <v>0</v>
      </c>
    </row>
    <row r="16" spans="1:9" x14ac:dyDescent="0.25">
      <c r="A16" s="1">
        <v>115</v>
      </c>
      <c r="B16" s="2" t="s">
        <v>22</v>
      </c>
      <c r="C16" s="12">
        <f>IF(ISBLANK(DirtyData[[#This Row],[Age]]), AVERAGE(DirtyData[Age]),DirtyData[[#This Row],[Age]])</f>
        <v>24</v>
      </c>
      <c r="D16" s="1">
        <v>99263</v>
      </c>
      <c r="E16" s="13" t="str">
        <f>IF(ISBLANK(DirtyData[[#This Row],[Department]]),"Unknown",DirtyData[[#This Row],[Department]])</f>
        <v>Developer</v>
      </c>
      <c r="F16" s="12">
        <f>IF(ISBLANK(DirtyData[[#This Row],[Score]]),AVERAGE(DirtyData[Score]),DirtyData[[#This Row],[Score]])</f>
        <v>51</v>
      </c>
      <c r="G16" s="3">
        <v>46052</v>
      </c>
      <c r="H16" s="1">
        <v>0</v>
      </c>
      <c r="I16" s="11">
        <f>IF(ISBLANK(DirtyData3[[#This Row],[Age]]),1,0)</f>
        <v>0</v>
      </c>
    </row>
    <row r="17" spans="1:9" x14ac:dyDescent="0.25">
      <c r="A17" s="1">
        <v>116</v>
      </c>
      <c r="B17" s="4" t="s">
        <v>23</v>
      </c>
      <c r="C17" s="12">
        <f>IF(ISBLANK(DirtyData[[#This Row],[Age]]), AVERAGE(DirtyData[Age]),DirtyData[[#This Row],[Age]])</f>
        <v>20</v>
      </c>
      <c r="D17" s="1">
        <v>72532</v>
      </c>
      <c r="E17" s="13" t="str">
        <f>IF(ISBLANK(DirtyData[[#This Row],[Department]]),"Unknown",DirtyData[[#This Row],[Department]])</f>
        <v>Developer</v>
      </c>
      <c r="F17" s="12">
        <f>IF(ISBLANK(DirtyData[[#This Row],[Score]]),AVERAGE(DirtyData[Score]),DirtyData[[#This Row],[Score]])</f>
        <v>36</v>
      </c>
      <c r="G17" s="3">
        <v>46052</v>
      </c>
      <c r="H17" s="1">
        <v>1</v>
      </c>
      <c r="I17" s="11">
        <f>IF(ISBLANK(DirtyData3[[#This Row],[Age]]),1,0)</f>
        <v>0</v>
      </c>
    </row>
    <row r="18" spans="1:9" x14ac:dyDescent="0.25">
      <c r="A18" s="1">
        <v>117</v>
      </c>
      <c r="B18" s="2" t="s">
        <v>24</v>
      </c>
      <c r="C18" s="12">
        <f>IF(ISBLANK(DirtyData[[#This Row],[Age]]), AVERAGE(DirtyData[Age]),DirtyData[[#This Row],[Age]])</f>
        <v>28</v>
      </c>
      <c r="D18" s="1">
        <v>88751</v>
      </c>
      <c r="E18" s="13" t="str">
        <f>IF(ISBLANK(DirtyData[[#This Row],[Department]]),"Unknown",DirtyData[[#This Row],[Department]])</f>
        <v>Analyst</v>
      </c>
      <c r="F18" s="12">
        <f>IF(ISBLANK(DirtyData[[#This Row],[Score]]),AVERAGE(DirtyData[Score]),DirtyData[[#This Row],[Score]])</f>
        <v>98</v>
      </c>
      <c r="G18" s="3">
        <v>46052</v>
      </c>
      <c r="H18" s="1">
        <v>1</v>
      </c>
      <c r="I18" s="11">
        <f>IF(ISBLANK(DirtyData3[[#This Row],[Age]]),1,0)</f>
        <v>0</v>
      </c>
    </row>
    <row r="19" spans="1:9" x14ac:dyDescent="0.25">
      <c r="A19" s="1">
        <v>118</v>
      </c>
      <c r="B19" s="4" t="s">
        <v>25</v>
      </c>
      <c r="C19" s="12">
        <f>IF(ISBLANK(DirtyData[[#This Row],[Age]]), AVERAGE(DirtyData[Age]),DirtyData[[#This Row],[Age]])</f>
        <v>23</v>
      </c>
      <c r="D19" s="1">
        <v>83907</v>
      </c>
      <c r="E19" s="13" t="str">
        <f>IF(ISBLANK(DirtyData[[#This Row],[Department]]),"Unknown",DirtyData[[#This Row],[Department]])</f>
        <v>Developer</v>
      </c>
      <c r="F19" s="12">
        <f>IF(ISBLANK(DirtyData[[#This Row],[Score]]),AVERAGE(DirtyData[Score]),DirtyData[[#This Row],[Score]])</f>
        <v>87</v>
      </c>
      <c r="G19" s="3">
        <v>46052</v>
      </c>
      <c r="H19" s="1">
        <v>0</v>
      </c>
      <c r="I19" s="11">
        <f>IF(ISBLANK(DirtyData3[[#This Row],[Age]]),1,0)</f>
        <v>0</v>
      </c>
    </row>
    <row r="20" spans="1:9" x14ac:dyDescent="0.25">
      <c r="A20" s="1">
        <v>119</v>
      </c>
      <c r="B20" s="2" t="s">
        <v>26</v>
      </c>
      <c r="C20" s="12">
        <f>IF(ISBLANK(DirtyData[[#This Row],[Age]]), AVERAGE(DirtyData[Age]),DirtyData[[#This Row],[Age]])</f>
        <v>24.170212765957448</v>
      </c>
      <c r="D20" s="1">
        <v>92030</v>
      </c>
      <c r="E20" s="13" t="str">
        <f>IF(ISBLANK(DirtyData[[#This Row],[Department]]),"Unknown",DirtyData[[#This Row],[Department]])</f>
        <v>Unknown</v>
      </c>
      <c r="F20" s="12">
        <f>IF(ISBLANK(DirtyData[[#This Row],[Score]]),AVERAGE(DirtyData[Score]),DirtyData[[#This Row],[Score]])</f>
        <v>60</v>
      </c>
      <c r="G20" s="3">
        <v>46052</v>
      </c>
      <c r="H20" s="1">
        <v>0</v>
      </c>
      <c r="I20" s="11">
        <f>IF(ISBLANK(DirtyData3[[#This Row],[Age]]),1,0)</f>
        <v>0</v>
      </c>
    </row>
    <row r="21" spans="1:9" x14ac:dyDescent="0.25">
      <c r="A21" s="1">
        <v>120</v>
      </c>
      <c r="B21" s="4" t="s">
        <v>27</v>
      </c>
      <c r="C21" s="12">
        <f>IF(ISBLANK(DirtyData[[#This Row],[Age]]), AVERAGE(DirtyData[Age]),DirtyData[[#This Row],[Age]])</f>
        <v>25</v>
      </c>
      <c r="D21" s="1">
        <v>76657</v>
      </c>
      <c r="E21" s="13" t="str">
        <f>IF(ISBLANK(DirtyData[[#This Row],[Department]]),"Unknown",DirtyData[[#This Row],[Department]])</f>
        <v>Scientist</v>
      </c>
      <c r="F21" s="12">
        <f>IF(ISBLANK(DirtyData[[#This Row],[Score]]),AVERAGE(DirtyData[Score]),DirtyData[[#This Row],[Score]])</f>
        <v>48</v>
      </c>
      <c r="G21" s="3">
        <v>46052</v>
      </c>
      <c r="H21" s="1">
        <v>0</v>
      </c>
      <c r="I21" s="11">
        <f>IF(ISBLANK(DirtyData3[[#This Row],[Age]]),1,0)</f>
        <v>0</v>
      </c>
    </row>
    <row r="22" spans="1:9" x14ac:dyDescent="0.25">
      <c r="A22" s="1">
        <v>121</v>
      </c>
      <c r="B22" s="2" t="s">
        <v>28</v>
      </c>
      <c r="C22" s="12">
        <f>IF(ISBLANK(DirtyData[[#This Row],[Age]]), AVERAGE(DirtyData[Age]),DirtyData[[#This Row],[Age]])</f>
        <v>24.170212765957448</v>
      </c>
      <c r="D22" s="1">
        <v>81736</v>
      </c>
      <c r="E22" s="13" t="str">
        <f>IF(ISBLANK(DirtyData[[#This Row],[Department]]),"Unknown",DirtyData[[#This Row],[Department]])</f>
        <v>Engineer</v>
      </c>
      <c r="F22" s="12">
        <f>IF(ISBLANK(DirtyData[[#This Row],[Score]]),AVERAGE(DirtyData[Score]),DirtyData[[#This Row],[Score]])</f>
        <v>93</v>
      </c>
      <c r="G22" s="3">
        <v>46052</v>
      </c>
      <c r="H22" s="1">
        <v>0</v>
      </c>
      <c r="I22" s="11">
        <f>IF(ISBLANK(DirtyData3[[#This Row],[Age]]),1,0)</f>
        <v>0</v>
      </c>
    </row>
    <row r="23" spans="1:9" x14ac:dyDescent="0.25">
      <c r="A23" s="1">
        <v>122</v>
      </c>
      <c r="B23" s="4" t="s">
        <v>29</v>
      </c>
      <c r="C23" s="12">
        <f>IF(ISBLANK(DirtyData[[#This Row],[Age]]), AVERAGE(DirtyData[Age]),DirtyData[[#This Row],[Age]])</f>
        <v>24.170212765957448</v>
      </c>
      <c r="D23" s="1">
        <v>92482</v>
      </c>
      <c r="E23" s="13" t="str">
        <f>IF(ISBLANK(DirtyData[[#This Row],[Department]]),"Unknown",DirtyData[[#This Row],[Department]])</f>
        <v>Analyst</v>
      </c>
      <c r="F23" s="12">
        <f>IF(ISBLANK(DirtyData[[#This Row],[Score]]),AVERAGE(DirtyData[Score]),DirtyData[[#This Row],[Score]])</f>
        <v>65.5</v>
      </c>
      <c r="G23" s="3">
        <v>46052</v>
      </c>
      <c r="H23" s="1">
        <v>0</v>
      </c>
      <c r="I23" s="11">
        <f>IF(ISBLANK(DirtyData3[[#This Row],[Age]]),1,0)</f>
        <v>0</v>
      </c>
    </row>
    <row r="24" spans="1:9" x14ac:dyDescent="0.25">
      <c r="A24" s="1">
        <v>123</v>
      </c>
      <c r="B24" s="2" t="s">
        <v>30</v>
      </c>
      <c r="C24" s="12">
        <f>IF(ISBLANK(DirtyData[[#This Row],[Age]]), AVERAGE(DirtyData[Age]),DirtyData[[#This Row],[Age]])</f>
        <v>30</v>
      </c>
      <c r="D24" s="1">
        <v>76231</v>
      </c>
      <c r="E24" s="13" t="str">
        <f>IF(ISBLANK(DirtyData[[#This Row],[Department]]),"Unknown",DirtyData[[#This Row],[Department]])</f>
        <v>Unknown</v>
      </c>
      <c r="F24" s="12">
        <f>IF(ISBLANK(DirtyData[[#This Row],[Score]]),AVERAGE(DirtyData[Score]),DirtyData[[#This Row],[Score]])</f>
        <v>39</v>
      </c>
      <c r="G24" s="3">
        <v>46052</v>
      </c>
      <c r="H24" s="1">
        <v>0</v>
      </c>
      <c r="I24" s="11">
        <f>IF(ISBLANK(DirtyData3[[#This Row],[Age]]),1,0)</f>
        <v>0</v>
      </c>
    </row>
    <row r="25" spans="1:9" x14ac:dyDescent="0.25">
      <c r="A25" s="1">
        <v>124</v>
      </c>
      <c r="B25" s="4" t="s">
        <v>31</v>
      </c>
      <c r="C25" s="12">
        <f>IF(ISBLANK(DirtyData[[#This Row],[Age]]), AVERAGE(DirtyData[Age]),DirtyData[[#This Row],[Age]])</f>
        <v>24.170212765957448</v>
      </c>
      <c r="D25" s="1">
        <v>93950</v>
      </c>
      <c r="E25" s="13" t="str">
        <f>IF(ISBLANK(DirtyData[[#This Row],[Department]]),"Unknown",DirtyData[[#This Row],[Department]])</f>
        <v>Engineer</v>
      </c>
      <c r="F25" s="12">
        <f>IF(ISBLANK(DirtyData[[#This Row],[Score]]),AVERAGE(DirtyData[Score]),DirtyData[[#This Row],[Score]])</f>
        <v>60</v>
      </c>
      <c r="G25" s="3">
        <v>46052</v>
      </c>
      <c r="H25" s="1">
        <v>1</v>
      </c>
      <c r="I25" s="11">
        <f>IF(ISBLANK(DirtyData3[[#This Row],[Age]]),1,0)</f>
        <v>0</v>
      </c>
    </row>
    <row r="26" spans="1:9" x14ac:dyDescent="0.25">
      <c r="A26" s="1">
        <v>125</v>
      </c>
      <c r="B26" s="2" t="s">
        <v>32</v>
      </c>
      <c r="C26" s="12">
        <f>IF(ISBLANK(DirtyData[[#This Row],[Age]]), AVERAGE(DirtyData[Age]),DirtyData[[#This Row],[Age]])</f>
        <v>24</v>
      </c>
      <c r="D26" s="1">
        <v>76266</v>
      </c>
      <c r="E26" s="13" t="str">
        <f>IF(ISBLANK(DirtyData[[#This Row],[Department]]),"Unknown",DirtyData[[#This Row],[Department]])</f>
        <v>Engineer</v>
      </c>
      <c r="F26" s="12">
        <f>IF(ISBLANK(DirtyData[[#This Row],[Score]]),AVERAGE(DirtyData[Score]),DirtyData[[#This Row],[Score]])</f>
        <v>50</v>
      </c>
      <c r="G26" s="3">
        <v>46052</v>
      </c>
      <c r="H26" s="1">
        <v>0</v>
      </c>
      <c r="I26" s="11">
        <f>IF(ISBLANK(DirtyData3[[#This Row],[Age]]),1,0)</f>
        <v>0</v>
      </c>
    </row>
    <row r="27" spans="1:9" x14ac:dyDescent="0.25">
      <c r="A27" s="1">
        <v>126</v>
      </c>
      <c r="B27" s="4" t="s">
        <v>33</v>
      </c>
      <c r="C27" s="12">
        <f>IF(ISBLANK(DirtyData[[#This Row],[Age]]), AVERAGE(DirtyData[Age]),DirtyData[[#This Row],[Age]])</f>
        <v>22</v>
      </c>
      <c r="D27" s="1">
        <v>71480</v>
      </c>
      <c r="E27" s="13" t="str">
        <f>IF(ISBLANK(DirtyData[[#This Row],[Department]]),"Unknown",DirtyData[[#This Row],[Department]])</f>
        <v>Unknown</v>
      </c>
      <c r="F27" s="12">
        <f>IF(ISBLANK(DirtyData[[#This Row],[Score]]),AVERAGE(DirtyData[Score]),DirtyData[[#This Row],[Score]])</f>
        <v>45</v>
      </c>
      <c r="G27" s="3">
        <v>46052</v>
      </c>
      <c r="H27" s="1">
        <v>0</v>
      </c>
      <c r="I27" s="11">
        <f>IF(ISBLANK(DirtyData3[[#This Row],[Age]]),1,0)</f>
        <v>0</v>
      </c>
    </row>
    <row r="28" spans="1:9" x14ac:dyDescent="0.25">
      <c r="A28" s="1">
        <v>127</v>
      </c>
      <c r="B28" s="2" t="s">
        <v>34</v>
      </c>
      <c r="C28" s="12">
        <f>IF(ISBLANK(DirtyData[[#This Row],[Age]]), AVERAGE(DirtyData[Age]),DirtyData[[#This Row],[Age]])</f>
        <v>27</v>
      </c>
      <c r="D28" s="1">
        <v>94253</v>
      </c>
      <c r="E28" s="13" t="str">
        <f>IF(ISBLANK(DirtyData[[#This Row],[Department]]),"Unknown",DirtyData[[#This Row],[Department]])</f>
        <v>Engineer</v>
      </c>
      <c r="F28" s="12">
        <f>IF(ISBLANK(DirtyData[[#This Row],[Score]]),AVERAGE(DirtyData[Score]),DirtyData[[#This Row],[Score]])</f>
        <v>65.5</v>
      </c>
      <c r="G28" s="3">
        <v>46052</v>
      </c>
      <c r="H28" s="1">
        <v>1</v>
      </c>
      <c r="I28" s="11">
        <f>IF(ISBLANK(DirtyData3[[#This Row],[Age]]),1,0)</f>
        <v>0</v>
      </c>
    </row>
    <row r="29" spans="1:9" x14ac:dyDescent="0.25">
      <c r="A29" s="1">
        <v>128</v>
      </c>
      <c r="B29" s="4" t="s">
        <v>35</v>
      </c>
      <c r="C29" s="12">
        <f>IF(ISBLANK(DirtyData[[#This Row],[Age]]), AVERAGE(DirtyData[Age]),DirtyData[[#This Row],[Age]])</f>
        <v>27</v>
      </c>
      <c r="D29" s="1">
        <v>89483</v>
      </c>
      <c r="E29" s="13" t="str">
        <f>IF(ISBLANK(DirtyData[[#This Row],[Department]]),"Unknown",DirtyData[[#This Row],[Department]])</f>
        <v>Unknown</v>
      </c>
      <c r="F29" s="12">
        <f>IF(ISBLANK(DirtyData[[#This Row],[Score]]),AVERAGE(DirtyData[Score]),DirtyData[[#This Row],[Score]])</f>
        <v>65</v>
      </c>
      <c r="G29" s="3">
        <v>46052</v>
      </c>
      <c r="H29" s="1">
        <v>0</v>
      </c>
      <c r="I29" s="11">
        <f>IF(ISBLANK(DirtyData3[[#This Row],[Age]]),1,0)</f>
        <v>0</v>
      </c>
    </row>
    <row r="30" spans="1:9" x14ac:dyDescent="0.25">
      <c r="A30" s="1">
        <v>129</v>
      </c>
      <c r="B30" s="2" t="s">
        <v>36</v>
      </c>
      <c r="C30" s="12">
        <f>IF(ISBLANK(DirtyData[[#This Row],[Age]]), AVERAGE(DirtyData[Age]),DirtyData[[#This Row],[Age]])</f>
        <v>24.170212765957448</v>
      </c>
      <c r="D30" s="1">
        <v>76231</v>
      </c>
      <c r="E30" s="13" t="str">
        <f>IF(ISBLANK(DirtyData[[#This Row],[Department]]),"Unknown",DirtyData[[#This Row],[Department]])</f>
        <v>Engineer</v>
      </c>
      <c r="F30" s="12">
        <f>IF(ISBLANK(DirtyData[[#This Row],[Score]]),AVERAGE(DirtyData[Score]),DirtyData[[#This Row],[Score]])</f>
        <v>53</v>
      </c>
      <c r="G30" s="3">
        <v>46052</v>
      </c>
      <c r="H30" s="1">
        <v>1</v>
      </c>
      <c r="I30" s="11">
        <f>IF(ISBLANK(DirtyData3[[#This Row],[Age]]),1,0)</f>
        <v>0</v>
      </c>
    </row>
    <row r="31" spans="1:9" x14ac:dyDescent="0.25">
      <c r="A31" s="1">
        <v>130</v>
      </c>
      <c r="B31" s="4" t="s">
        <v>37</v>
      </c>
      <c r="C31" s="12">
        <f>IF(ISBLANK(DirtyData[[#This Row],[Age]]), AVERAGE(DirtyData[Age]),DirtyData[[#This Row],[Age]])</f>
        <v>21</v>
      </c>
      <c r="D31" s="1">
        <v>77384</v>
      </c>
      <c r="E31" s="13" t="str">
        <f>IF(ISBLANK(DirtyData[[#This Row],[Department]]),"Unknown",DirtyData[[#This Row],[Department]])</f>
        <v>Engineer</v>
      </c>
      <c r="F31" s="12">
        <f>IF(ISBLANK(DirtyData[[#This Row],[Score]]),AVERAGE(DirtyData[Score]),DirtyData[[#This Row],[Score]])</f>
        <v>76</v>
      </c>
      <c r="G31" s="3">
        <v>46052</v>
      </c>
      <c r="H31" s="1">
        <v>0</v>
      </c>
      <c r="I31" s="11">
        <f>IF(ISBLANK(DirtyData3[[#This Row],[Age]]),1,0)</f>
        <v>0</v>
      </c>
    </row>
    <row r="32" spans="1:9" x14ac:dyDescent="0.25">
      <c r="A32" s="1">
        <v>131</v>
      </c>
      <c r="B32" s="2" t="s">
        <v>38</v>
      </c>
      <c r="C32" s="12">
        <f>IF(ISBLANK(DirtyData[[#This Row],[Age]]), AVERAGE(DirtyData[Age]),DirtyData[[#This Row],[Age]])</f>
        <v>28</v>
      </c>
      <c r="D32" s="1">
        <v>61999</v>
      </c>
      <c r="E32" s="13" t="str">
        <f>IF(ISBLANK(DirtyData[[#This Row],[Department]]),"Unknown",DirtyData[[#This Row],[Department]])</f>
        <v>Scientist</v>
      </c>
      <c r="F32" s="12">
        <f>IF(ISBLANK(DirtyData[[#This Row],[Score]]),AVERAGE(DirtyData[Score]),DirtyData[[#This Row],[Score]])</f>
        <v>95</v>
      </c>
      <c r="G32" s="3">
        <v>46052</v>
      </c>
      <c r="H32" s="1">
        <v>1</v>
      </c>
      <c r="I32" s="11">
        <f>IF(ISBLANK(DirtyData3[[#This Row],[Age]]),1,0)</f>
        <v>0</v>
      </c>
    </row>
    <row r="33" spans="1:9" x14ac:dyDescent="0.25">
      <c r="A33" s="1">
        <v>132</v>
      </c>
      <c r="B33" s="4" t="s">
        <v>39</v>
      </c>
      <c r="C33" s="12">
        <f>IF(ISBLANK(DirtyData[[#This Row],[Age]]), AVERAGE(DirtyData[Age]),DirtyData[[#This Row],[Age]])</f>
        <v>22</v>
      </c>
      <c r="D33" s="1">
        <v>60394</v>
      </c>
      <c r="E33" s="13" t="str">
        <f>IF(ISBLANK(DirtyData[[#This Row],[Department]]),"Unknown",DirtyData[[#This Row],[Department]])</f>
        <v>Unknown</v>
      </c>
      <c r="F33" s="12">
        <f>IF(ISBLANK(DirtyData[[#This Row],[Score]]),AVERAGE(DirtyData[Score]),DirtyData[[#This Row],[Score]])</f>
        <v>74</v>
      </c>
      <c r="G33" s="3">
        <v>46052</v>
      </c>
      <c r="H33" s="1">
        <v>0</v>
      </c>
      <c r="I33" s="11">
        <f>IF(ISBLANK(DirtyData3[[#This Row],[Age]]),1,0)</f>
        <v>0</v>
      </c>
    </row>
    <row r="34" spans="1:9" x14ac:dyDescent="0.25">
      <c r="A34" s="1">
        <v>133</v>
      </c>
      <c r="B34" s="2" t="s">
        <v>40</v>
      </c>
      <c r="C34" s="12">
        <f>IF(ISBLANK(DirtyData[[#This Row],[Age]]), AVERAGE(DirtyData[Age]),DirtyData[[#This Row],[Age]])</f>
        <v>24</v>
      </c>
      <c r="D34" s="1">
        <v>86813</v>
      </c>
      <c r="E34" s="13" t="str">
        <f>IF(ISBLANK(DirtyData[[#This Row],[Department]]),"Unknown",DirtyData[[#This Row],[Department]])</f>
        <v>Engineer</v>
      </c>
      <c r="F34" s="12">
        <f>IF(ISBLANK(DirtyData[[#This Row],[Score]]),AVERAGE(DirtyData[Score]),DirtyData[[#This Row],[Score]])</f>
        <v>77</v>
      </c>
      <c r="G34" s="3">
        <v>46052</v>
      </c>
      <c r="H34" s="1">
        <v>1</v>
      </c>
      <c r="I34" s="11">
        <f>IF(ISBLANK(DirtyData3[[#This Row],[Age]]),1,0)</f>
        <v>0</v>
      </c>
    </row>
    <row r="35" spans="1:9" x14ac:dyDescent="0.25">
      <c r="A35" s="1">
        <v>134</v>
      </c>
      <c r="B35" s="4" t="s">
        <v>41</v>
      </c>
      <c r="C35" s="12">
        <f>IF(ISBLANK(DirtyData[[#This Row],[Age]]), AVERAGE(DirtyData[Age]),DirtyData[[#This Row],[Age]])</f>
        <v>24.170212765957448</v>
      </c>
      <c r="D35" s="1">
        <v>96037</v>
      </c>
      <c r="E35" s="13" t="str">
        <f>IF(ISBLANK(DirtyData[[#This Row],[Department]]),"Unknown",DirtyData[[#This Row],[Department]])</f>
        <v>Scientist</v>
      </c>
      <c r="F35" s="12">
        <f>IF(ISBLANK(DirtyData[[#This Row],[Score]]),AVERAGE(DirtyData[Score]),DirtyData[[#This Row],[Score]])</f>
        <v>65.5</v>
      </c>
      <c r="G35" s="3">
        <v>46052</v>
      </c>
      <c r="H35" s="1">
        <v>1</v>
      </c>
      <c r="I35" s="11">
        <f>IF(ISBLANK(DirtyData3[[#This Row],[Age]]),1,0)</f>
        <v>0</v>
      </c>
    </row>
    <row r="36" spans="1:9" x14ac:dyDescent="0.25">
      <c r="A36" s="1">
        <v>135</v>
      </c>
      <c r="B36" s="2" t="s">
        <v>42</v>
      </c>
      <c r="C36" s="12">
        <f>IF(ISBLANK(DirtyData[[#This Row],[Age]]), AVERAGE(DirtyData[Age]),DirtyData[[#This Row],[Age]])</f>
        <v>21</v>
      </c>
      <c r="D36" s="1">
        <v>78861</v>
      </c>
      <c r="E36" s="13" t="str">
        <f>IF(ISBLANK(DirtyData[[#This Row],[Department]]),"Unknown",DirtyData[[#This Row],[Department]])</f>
        <v>Unknown</v>
      </c>
      <c r="F36" s="12">
        <f>IF(ISBLANK(DirtyData[[#This Row],[Score]]),AVERAGE(DirtyData[Score]),DirtyData[[#This Row],[Score]])</f>
        <v>63</v>
      </c>
      <c r="G36" s="3">
        <v>46052</v>
      </c>
      <c r="H36" s="1">
        <v>0</v>
      </c>
      <c r="I36" s="11">
        <f>IF(ISBLANK(DirtyData3[[#This Row],[Age]]),1,0)</f>
        <v>0</v>
      </c>
    </row>
    <row r="37" spans="1:9" x14ac:dyDescent="0.25">
      <c r="A37" s="1">
        <v>136</v>
      </c>
      <c r="B37" s="4" t="s">
        <v>43</v>
      </c>
      <c r="C37" s="12">
        <f>IF(ISBLANK(DirtyData[[#This Row],[Age]]), AVERAGE(DirtyData[Age]),DirtyData[[#This Row],[Age]])</f>
        <v>29</v>
      </c>
      <c r="D37" s="1">
        <v>76231</v>
      </c>
      <c r="E37" s="13" t="str">
        <f>IF(ISBLANK(DirtyData[[#This Row],[Department]]),"Unknown",DirtyData[[#This Row],[Department]])</f>
        <v>Analyst</v>
      </c>
      <c r="F37" s="12">
        <f>IF(ISBLANK(DirtyData[[#This Row],[Score]]),AVERAGE(DirtyData[Score]),DirtyData[[#This Row],[Score]])</f>
        <v>31</v>
      </c>
      <c r="G37" s="3">
        <v>46052</v>
      </c>
      <c r="H37" s="1">
        <v>1</v>
      </c>
      <c r="I37" s="11">
        <f>IF(ISBLANK(DirtyData3[[#This Row],[Age]]),1,0)</f>
        <v>0</v>
      </c>
    </row>
    <row r="38" spans="1:9" x14ac:dyDescent="0.25">
      <c r="A38" s="1">
        <v>137</v>
      </c>
      <c r="B38" s="2" t="s">
        <v>44</v>
      </c>
      <c r="C38" s="12">
        <f>IF(ISBLANK(DirtyData[[#This Row],[Age]]), AVERAGE(DirtyData[Age]),DirtyData[[#This Row],[Age]])</f>
        <v>19</v>
      </c>
      <c r="D38" s="1">
        <v>83598</v>
      </c>
      <c r="E38" s="13" t="str">
        <f>IF(ISBLANK(DirtyData[[#This Row],[Department]]),"Unknown",DirtyData[[#This Row],[Department]])</f>
        <v>Unknown</v>
      </c>
      <c r="F38" s="12">
        <f>IF(ISBLANK(DirtyData[[#This Row],[Score]]),AVERAGE(DirtyData[Score]),DirtyData[[#This Row],[Score]])</f>
        <v>65.5</v>
      </c>
      <c r="G38" s="3">
        <v>46052</v>
      </c>
      <c r="H38" s="1">
        <v>1</v>
      </c>
      <c r="I38" s="11">
        <f>IF(ISBLANK(DirtyData3[[#This Row],[Age]]),1,0)</f>
        <v>0</v>
      </c>
    </row>
    <row r="39" spans="1:9" x14ac:dyDescent="0.25">
      <c r="A39" s="1">
        <v>138</v>
      </c>
      <c r="B39" s="4" t="s">
        <v>45</v>
      </c>
      <c r="C39" s="12">
        <f>IF(ISBLANK(DirtyData[[#This Row],[Age]]), AVERAGE(DirtyData[Age]),DirtyData[[#This Row],[Age]])</f>
        <v>29</v>
      </c>
      <c r="D39" s="1">
        <v>78343</v>
      </c>
      <c r="E39" s="13" t="str">
        <f>IF(ISBLANK(DirtyData[[#This Row],[Department]]),"Unknown",DirtyData[[#This Row],[Department]])</f>
        <v>Engineer</v>
      </c>
      <c r="F39" s="12">
        <f>IF(ISBLANK(DirtyData[[#This Row],[Score]]),AVERAGE(DirtyData[Score]),DirtyData[[#This Row],[Score]])</f>
        <v>84</v>
      </c>
      <c r="G39" s="3">
        <v>46052</v>
      </c>
      <c r="H39" s="1">
        <v>0</v>
      </c>
      <c r="I39" s="11">
        <f>IF(ISBLANK(DirtyData3[[#This Row],[Age]]),1,0)</f>
        <v>0</v>
      </c>
    </row>
    <row r="40" spans="1:9" x14ac:dyDescent="0.25">
      <c r="A40" s="1">
        <v>139</v>
      </c>
      <c r="B40" s="2" t="s">
        <v>46</v>
      </c>
      <c r="C40" s="12">
        <f>IF(ISBLANK(DirtyData[[#This Row],[Age]]), AVERAGE(DirtyData[Age]),DirtyData[[#This Row],[Age]])</f>
        <v>22</v>
      </c>
      <c r="D40" s="1">
        <v>63204</v>
      </c>
      <c r="E40" s="13" t="str">
        <f>IF(ISBLANK(DirtyData[[#This Row],[Department]]),"Unknown",DirtyData[[#This Row],[Department]])</f>
        <v>Engineer</v>
      </c>
      <c r="F40" s="12">
        <f>IF(ISBLANK(DirtyData[[#This Row],[Score]]),AVERAGE(DirtyData[Score]),DirtyData[[#This Row],[Score]])</f>
        <v>95</v>
      </c>
      <c r="G40" s="3">
        <v>46052</v>
      </c>
      <c r="H40" s="1">
        <v>0</v>
      </c>
      <c r="I40" s="11">
        <f>IF(ISBLANK(DirtyData3[[#This Row],[Age]]),1,0)</f>
        <v>0</v>
      </c>
    </row>
    <row r="41" spans="1:9" x14ac:dyDescent="0.25">
      <c r="A41" s="1">
        <v>140</v>
      </c>
      <c r="B41" s="4" t="s">
        <v>47</v>
      </c>
      <c r="C41" s="12">
        <f>IF(ISBLANK(DirtyData[[#This Row],[Age]]), AVERAGE(DirtyData[Age]),DirtyData[[#This Row],[Age]])</f>
        <v>28</v>
      </c>
      <c r="D41" s="1">
        <v>76231</v>
      </c>
      <c r="E41" s="13" t="str">
        <f>IF(ISBLANK(DirtyData[[#This Row],[Department]]),"Unknown",DirtyData[[#This Row],[Department]])</f>
        <v>Engineer</v>
      </c>
      <c r="F41" s="12">
        <f>IF(ISBLANK(DirtyData[[#This Row],[Score]]),AVERAGE(DirtyData[Score]),DirtyData[[#This Row],[Score]])</f>
        <v>93</v>
      </c>
      <c r="G41" s="3">
        <v>46052</v>
      </c>
      <c r="H41" s="1">
        <v>0</v>
      </c>
      <c r="I41" s="11">
        <f>IF(ISBLANK(DirtyData3[[#This Row],[Age]]),1,0)</f>
        <v>0</v>
      </c>
    </row>
    <row r="42" spans="1:9" x14ac:dyDescent="0.25">
      <c r="A42" s="1">
        <v>141</v>
      </c>
      <c r="B42" s="2" t="s">
        <v>48</v>
      </c>
      <c r="C42" s="12">
        <f>IF(ISBLANK(DirtyData[[#This Row],[Age]]), AVERAGE(DirtyData[Age]),DirtyData[[#This Row],[Age]])</f>
        <v>23</v>
      </c>
      <c r="D42" s="1">
        <v>81422</v>
      </c>
      <c r="E42" s="13" t="str">
        <f>IF(ISBLANK(DirtyData[[#This Row],[Department]]),"Unknown",DirtyData[[#This Row],[Department]])</f>
        <v>Unknown</v>
      </c>
      <c r="F42" s="12">
        <f>IF(ISBLANK(DirtyData[[#This Row],[Score]]),AVERAGE(DirtyData[Score]),DirtyData[[#This Row],[Score]])</f>
        <v>65.5</v>
      </c>
      <c r="G42" s="3">
        <v>46052</v>
      </c>
      <c r="H42" s="1">
        <v>0</v>
      </c>
      <c r="I42" s="11">
        <f>IF(ISBLANK(DirtyData3[[#This Row],[Age]]),1,0)</f>
        <v>0</v>
      </c>
    </row>
    <row r="43" spans="1:9" x14ac:dyDescent="0.25">
      <c r="A43" s="1">
        <v>142</v>
      </c>
      <c r="B43" s="4" t="s">
        <v>49</v>
      </c>
      <c r="C43" s="12">
        <f>IF(ISBLANK(DirtyData[[#This Row],[Age]]), AVERAGE(DirtyData[Age]),DirtyData[[#This Row],[Age]])</f>
        <v>24.170212765957448</v>
      </c>
      <c r="D43" s="1">
        <v>76882</v>
      </c>
      <c r="E43" s="13" t="str">
        <f>IF(ISBLANK(DirtyData[[#This Row],[Department]]),"Unknown",DirtyData[[#This Row],[Department]])</f>
        <v>Developer</v>
      </c>
      <c r="F43" s="12">
        <f>IF(ISBLANK(DirtyData[[#This Row],[Score]]),AVERAGE(DirtyData[Score]),DirtyData[[#This Row],[Score]])</f>
        <v>42</v>
      </c>
      <c r="G43" s="3">
        <v>46052</v>
      </c>
      <c r="H43" s="1">
        <v>0</v>
      </c>
      <c r="I43" s="11">
        <f>IF(ISBLANK(DirtyData3[[#This Row],[Age]]),1,0)</f>
        <v>0</v>
      </c>
    </row>
    <row r="44" spans="1:9" x14ac:dyDescent="0.25">
      <c r="A44" s="1">
        <v>143</v>
      </c>
      <c r="B44" s="2" t="s">
        <v>50</v>
      </c>
      <c r="C44" s="12">
        <f>IF(ISBLANK(DirtyData[[#This Row],[Age]]), AVERAGE(DirtyData[Age]),DirtyData[[#This Row],[Age]])</f>
        <v>20</v>
      </c>
      <c r="D44" s="1">
        <v>67479</v>
      </c>
      <c r="E44" s="13" t="str">
        <f>IF(ISBLANK(DirtyData[[#This Row],[Department]]),"Unknown",DirtyData[[#This Row],[Department]])</f>
        <v>Unknown</v>
      </c>
      <c r="F44" s="12">
        <f>IF(ISBLANK(DirtyData[[#This Row],[Score]]),AVERAGE(DirtyData[Score]),DirtyData[[#This Row],[Score]])</f>
        <v>46</v>
      </c>
      <c r="G44" s="3">
        <v>46052</v>
      </c>
      <c r="H44" s="1">
        <v>1</v>
      </c>
      <c r="I44" s="11">
        <f>IF(ISBLANK(DirtyData3[[#This Row],[Age]]),1,0)</f>
        <v>0</v>
      </c>
    </row>
    <row r="45" spans="1:9" x14ac:dyDescent="0.25">
      <c r="A45" s="1">
        <v>144</v>
      </c>
      <c r="B45" s="4" t="s">
        <v>51</v>
      </c>
      <c r="C45" s="12">
        <f>IF(ISBLANK(DirtyData[[#This Row],[Age]]), AVERAGE(DirtyData[Age]),DirtyData[[#This Row],[Age]])</f>
        <v>27</v>
      </c>
      <c r="D45" s="1">
        <v>60126</v>
      </c>
      <c r="E45" s="13" t="str">
        <f>IF(ISBLANK(DirtyData[[#This Row],[Department]]),"Unknown",DirtyData[[#This Row],[Department]])</f>
        <v>Developer</v>
      </c>
      <c r="F45" s="12">
        <f>IF(ISBLANK(DirtyData[[#This Row],[Score]]),AVERAGE(DirtyData[Score]),DirtyData[[#This Row],[Score]])</f>
        <v>57</v>
      </c>
      <c r="G45" s="3">
        <v>46052</v>
      </c>
      <c r="H45" s="1">
        <v>1</v>
      </c>
      <c r="I45" s="11">
        <f>IF(ISBLANK(DirtyData3[[#This Row],[Age]]),1,0)</f>
        <v>0</v>
      </c>
    </row>
    <row r="46" spans="1:9" x14ac:dyDescent="0.25">
      <c r="A46" s="1">
        <v>145</v>
      </c>
      <c r="B46" s="2" t="s">
        <v>52</v>
      </c>
      <c r="C46" s="12">
        <f>IF(ISBLANK(DirtyData[[#This Row],[Age]]), AVERAGE(DirtyData[Age]),DirtyData[[#This Row],[Age]])</f>
        <v>24</v>
      </c>
      <c r="D46" s="1">
        <v>63626</v>
      </c>
      <c r="E46" s="13" t="str">
        <f>IF(ISBLANK(DirtyData[[#This Row],[Department]]),"Unknown",DirtyData[[#This Row],[Department]])</f>
        <v>Developer</v>
      </c>
      <c r="F46" s="12">
        <f>IF(ISBLANK(DirtyData[[#This Row],[Score]]),AVERAGE(DirtyData[Score]),DirtyData[[#This Row],[Score]])</f>
        <v>94</v>
      </c>
      <c r="G46" s="3">
        <v>46052</v>
      </c>
      <c r="H46" s="1">
        <v>1</v>
      </c>
      <c r="I46" s="11">
        <f>IF(ISBLANK(DirtyData3[[#This Row],[Age]]),1,0)</f>
        <v>0</v>
      </c>
    </row>
    <row r="47" spans="1:9" x14ac:dyDescent="0.25">
      <c r="A47" s="1">
        <v>146</v>
      </c>
      <c r="B47" s="4" t="s">
        <v>53</v>
      </c>
      <c r="C47" s="12">
        <f>IF(ISBLANK(DirtyData[[#This Row],[Age]]), AVERAGE(DirtyData[Age]),DirtyData[[#This Row],[Age]])</f>
        <v>27</v>
      </c>
      <c r="D47" s="1">
        <v>76231</v>
      </c>
      <c r="E47" s="13" t="str">
        <f>IF(ISBLANK(DirtyData[[#This Row],[Department]]),"Unknown",DirtyData[[#This Row],[Department]])</f>
        <v>Unknown</v>
      </c>
      <c r="F47" s="12">
        <f>IF(ISBLANK(DirtyData[[#This Row],[Score]]),AVERAGE(DirtyData[Score]),DirtyData[[#This Row],[Score]])</f>
        <v>39</v>
      </c>
      <c r="G47" s="3">
        <v>46052</v>
      </c>
      <c r="H47" s="1">
        <v>0</v>
      </c>
      <c r="I47" s="11">
        <f>IF(ISBLANK(DirtyData3[[#This Row],[Age]]),1,0)</f>
        <v>0</v>
      </c>
    </row>
    <row r="48" spans="1:9" x14ac:dyDescent="0.25">
      <c r="A48" s="1">
        <v>147</v>
      </c>
      <c r="B48" s="2" t="s">
        <v>54</v>
      </c>
      <c r="C48" s="12">
        <f>IF(ISBLANK(DirtyData[[#This Row],[Age]]), AVERAGE(DirtyData[Age]),DirtyData[[#This Row],[Age]])</f>
        <v>24</v>
      </c>
      <c r="D48" s="1">
        <v>78969</v>
      </c>
      <c r="E48" s="13" t="str">
        <f>IF(ISBLANK(DirtyData[[#This Row],[Department]]),"Unknown",DirtyData[[#This Row],[Department]])</f>
        <v>Developer</v>
      </c>
      <c r="F48" s="12">
        <f>IF(ISBLANK(DirtyData[[#This Row],[Score]]),AVERAGE(DirtyData[Score]),DirtyData[[#This Row],[Score]])</f>
        <v>83</v>
      </c>
      <c r="G48" s="3">
        <v>46052</v>
      </c>
      <c r="H48" s="1">
        <v>0</v>
      </c>
      <c r="I48" s="11">
        <f>IF(ISBLANK(DirtyData3[[#This Row],[Age]]),1,0)</f>
        <v>0</v>
      </c>
    </row>
    <row r="49" spans="1:9" x14ac:dyDescent="0.25">
      <c r="A49" s="1">
        <v>148</v>
      </c>
      <c r="B49" s="4" t="s">
        <v>55</v>
      </c>
      <c r="C49" s="12">
        <f>IF(ISBLANK(DirtyData[[#This Row],[Age]]), AVERAGE(DirtyData[Age]),DirtyData[[#This Row],[Age]])</f>
        <v>24.170212765957448</v>
      </c>
      <c r="D49" s="1">
        <v>65633</v>
      </c>
      <c r="E49" s="13" t="str">
        <f>IF(ISBLANK(DirtyData[[#This Row],[Department]]),"Unknown",DirtyData[[#This Row],[Department]])</f>
        <v>Unknown</v>
      </c>
      <c r="F49" s="12">
        <f>IF(ISBLANK(DirtyData[[#This Row],[Score]]),AVERAGE(DirtyData[Score]),DirtyData[[#This Row],[Score]])</f>
        <v>65.5</v>
      </c>
      <c r="G49" s="3">
        <v>46052</v>
      </c>
      <c r="H49" s="1">
        <v>1</v>
      </c>
      <c r="I49" s="11">
        <f>IF(ISBLANK(DirtyData3[[#This Row],[Age]]),1,0)</f>
        <v>0</v>
      </c>
    </row>
    <row r="50" spans="1:9" x14ac:dyDescent="0.25">
      <c r="A50" s="1">
        <v>149</v>
      </c>
      <c r="B50" s="2" t="s">
        <v>56</v>
      </c>
      <c r="C50" s="12">
        <f>IF(ISBLANK(DirtyData[[#This Row],[Age]]), AVERAGE(DirtyData[Age]),DirtyData[[#This Row],[Age]])</f>
        <v>27</v>
      </c>
      <c r="D50" s="1">
        <v>85793</v>
      </c>
      <c r="E50" s="13" t="str">
        <f>IF(ISBLANK(DirtyData[[#This Row],[Department]]),"Unknown",DirtyData[[#This Row],[Department]])</f>
        <v>Scientist</v>
      </c>
      <c r="F50" s="12">
        <f>IF(ISBLANK(DirtyData[[#This Row],[Score]]),AVERAGE(DirtyData[Score]),DirtyData[[#This Row],[Score]])</f>
        <v>62</v>
      </c>
      <c r="G50" s="3">
        <v>46052</v>
      </c>
      <c r="H50" s="1">
        <v>0</v>
      </c>
      <c r="I50" s="11">
        <f>IF(ISBLANK(DirtyData3[[#This Row],[Age]]),1,0)</f>
        <v>0</v>
      </c>
    </row>
    <row r="51" spans="1:9" x14ac:dyDescent="0.25">
      <c r="A51" s="1">
        <v>150</v>
      </c>
      <c r="B51" s="4" t="s">
        <v>56</v>
      </c>
      <c r="C51" s="12">
        <f>IF(ISBLANK(DirtyData[[#This Row],[Age]]), AVERAGE(DirtyData[Age]),DirtyData[[#This Row],[Age]])</f>
        <v>25</v>
      </c>
      <c r="D51" s="1">
        <v>91285</v>
      </c>
      <c r="E51" s="13" t="str">
        <f>IF(ISBLANK(DirtyData[[#This Row],[Department]]),"Unknown",DirtyData[[#This Row],[Department]])</f>
        <v>Scientist</v>
      </c>
      <c r="F51" s="12">
        <f>IF(ISBLANK(DirtyData[[#This Row],[Score]]),AVERAGE(DirtyData[Score]),DirtyData[[#This Row],[Score]])</f>
        <v>87</v>
      </c>
      <c r="G51" s="3">
        <v>46052</v>
      </c>
      <c r="H51" s="1">
        <v>1</v>
      </c>
      <c r="I51" s="11">
        <f>IF(ISBLANK(DirtyData3[[#This Row],[Age]]),1,0)</f>
        <v>0</v>
      </c>
    </row>
    <row r="52" spans="1:9" x14ac:dyDescent="0.25">
      <c r="A52" s="1">
        <v>151</v>
      </c>
      <c r="B52" s="2" t="s">
        <v>57</v>
      </c>
      <c r="C52" s="12">
        <f>IF(ISBLANK(DirtyData[[#This Row],[Age]]), AVERAGE(DirtyData[Age]),DirtyData[[#This Row],[Age]])</f>
        <v>24.170212765957448</v>
      </c>
      <c r="D52" s="1">
        <v>82320</v>
      </c>
      <c r="E52" s="13" t="str">
        <f>IF(ISBLANK(DirtyData[[#This Row],[Department]]),"Unknown",DirtyData[[#This Row],[Department]])</f>
        <v>Developer</v>
      </c>
      <c r="F52" s="12">
        <f>IF(ISBLANK(DirtyData[[#This Row],[Score]]),AVERAGE(DirtyData[Score]),DirtyData[[#This Row],[Score]])</f>
        <v>65.5</v>
      </c>
      <c r="G52" s="3">
        <v>46052</v>
      </c>
      <c r="H52" s="1">
        <v>1</v>
      </c>
      <c r="I52" s="11">
        <f>IF(ISBLANK(DirtyData3[[#This Row],[Age]]),1,0)</f>
        <v>0</v>
      </c>
    </row>
    <row r="53" spans="1:9" x14ac:dyDescent="0.25">
      <c r="A53" s="1">
        <v>152</v>
      </c>
      <c r="B53" s="4" t="s">
        <v>58</v>
      </c>
      <c r="C53" s="12">
        <f>IF(ISBLANK(DirtyData[[#This Row],[Age]]), AVERAGE(DirtyData[Age]),DirtyData[[#This Row],[Age]])</f>
        <v>19</v>
      </c>
      <c r="D53" s="1">
        <v>78969</v>
      </c>
      <c r="E53" s="13" t="str">
        <f>IF(ISBLANK(DirtyData[[#This Row],[Department]]),"Unknown",DirtyData[[#This Row],[Department]])</f>
        <v>Analyst</v>
      </c>
      <c r="F53" s="12">
        <f>IF(ISBLANK(DirtyData[[#This Row],[Score]]),AVERAGE(DirtyData[Score]),DirtyData[[#This Row],[Score]])</f>
        <v>44</v>
      </c>
      <c r="G53" s="3">
        <v>46052</v>
      </c>
      <c r="H53" s="1">
        <v>0</v>
      </c>
      <c r="I53" s="11">
        <f>IF(ISBLANK(DirtyData3[[#This Row],[Age]]),1,0)</f>
        <v>0</v>
      </c>
    </row>
    <row r="54" spans="1:9" x14ac:dyDescent="0.25">
      <c r="A54" s="1">
        <v>153</v>
      </c>
      <c r="B54" s="2" t="s">
        <v>59</v>
      </c>
      <c r="C54" s="12">
        <f>IF(ISBLANK(DirtyData[[#This Row],[Age]]), AVERAGE(DirtyData[Age]),DirtyData[[#This Row],[Age]])</f>
        <v>21</v>
      </c>
      <c r="D54" s="1">
        <v>71295</v>
      </c>
      <c r="E54" s="13" t="str">
        <f>IF(ISBLANK(DirtyData[[#This Row],[Department]]),"Unknown",DirtyData[[#This Row],[Department]])</f>
        <v>Unknown</v>
      </c>
      <c r="F54" s="12">
        <f>IF(ISBLANK(DirtyData[[#This Row],[Score]]),AVERAGE(DirtyData[Score]),DirtyData[[#This Row],[Score]])</f>
        <v>47</v>
      </c>
      <c r="G54" s="3">
        <v>46052</v>
      </c>
      <c r="H54" s="1">
        <v>1</v>
      </c>
      <c r="I54" s="11">
        <f>IF(ISBLANK(DirtyData3[[#This Row],[Age]]),1,0)</f>
        <v>0</v>
      </c>
    </row>
    <row r="55" spans="1:9" x14ac:dyDescent="0.25">
      <c r="A55" s="1">
        <v>154</v>
      </c>
      <c r="B55" s="4" t="s">
        <v>60</v>
      </c>
      <c r="C55" s="12">
        <f>IF(ISBLANK(DirtyData[[#This Row],[Age]]), AVERAGE(DirtyData[Age]),DirtyData[[#This Row],[Age]])</f>
        <v>25</v>
      </c>
      <c r="D55" s="1">
        <v>89845</v>
      </c>
      <c r="E55" s="13" t="str">
        <f>IF(ISBLANK(DirtyData[[#This Row],[Department]]),"Unknown",DirtyData[[#This Row],[Department]])</f>
        <v>Scientist</v>
      </c>
      <c r="F55" s="12">
        <f>IF(ISBLANK(DirtyData[[#This Row],[Score]]),AVERAGE(DirtyData[Score]),DirtyData[[#This Row],[Score]])</f>
        <v>80</v>
      </c>
      <c r="G55" s="3">
        <v>46052</v>
      </c>
      <c r="H55" s="1">
        <v>0</v>
      </c>
      <c r="I55" s="11">
        <f>IF(ISBLANK(DirtyData3[[#This Row],[Age]]),1,0)</f>
        <v>0</v>
      </c>
    </row>
    <row r="56" spans="1:9" x14ac:dyDescent="0.25">
      <c r="A56" s="1">
        <v>155</v>
      </c>
      <c r="B56" s="2" t="s">
        <v>61</v>
      </c>
      <c r="C56" s="12">
        <f>IF(ISBLANK(DirtyData[[#This Row],[Age]]), AVERAGE(DirtyData[Age]),DirtyData[[#This Row],[Age]])</f>
        <v>30</v>
      </c>
      <c r="D56" s="1">
        <v>65364</v>
      </c>
      <c r="E56" s="13" t="str">
        <f>IF(ISBLANK(DirtyData[[#This Row],[Department]]),"Unknown",DirtyData[[#This Row],[Department]])</f>
        <v>Scientist</v>
      </c>
      <c r="F56" s="12">
        <f>IF(ISBLANK(DirtyData[[#This Row],[Score]]),AVERAGE(DirtyData[Score]),DirtyData[[#This Row],[Score]])</f>
        <v>65.5</v>
      </c>
      <c r="G56" s="3">
        <v>46052</v>
      </c>
      <c r="H56" s="1">
        <v>0</v>
      </c>
      <c r="I56" s="11">
        <f>IF(ISBLANK(DirtyData3[[#This Row],[Age]]),1,0)</f>
        <v>0</v>
      </c>
    </row>
    <row r="57" spans="1:9" x14ac:dyDescent="0.25">
      <c r="A57" s="1">
        <v>156</v>
      </c>
      <c r="B57" s="4" t="s">
        <v>62</v>
      </c>
      <c r="C57" s="12">
        <f>IF(ISBLANK(DirtyData[[#This Row],[Age]]), AVERAGE(DirtyData[Age]),DirtyData[[#This Row],[Age]])</f>
        <v>24</v>
      </c>
      <c r="D57" s="1">
        <v>81150</v>
      </c>
      <c r="E57" s="13" t="str">
        <f>IF(ISBLANK(DirtyData[[#This Row],[Department]]),"Unknown",DirtyData[[#This Row],[Department]])</f>
        <v>Developer</v>
      </c>
      <c r="F57" s="12">
        <f>IF(ISBLANK(DirtyData[[#This Row],[Score]]),AVERAGE(DirtyData[Score]),DirtyData[[#This Row],[Score]])</f>
        <v>56</v>
      </c>
      <c r="G57" s="3">
        <v>46052</v>
      </c>
      <c r="H57" s="1">
        <v>1</v>
      </c>
      <c r="I57" s="11">
        <f>IF(ISBLANK(DirtyData3[[#This Row],[Age]]),1,0)</f>
        <v>0</v>
      </c>
    </row>
    <row r="58" spans="1:9" x14ac:dyDescent="0.25">
      <c r="A58" s="1">
        <v>157</v>
      </c>
      <c r="B58" s="2" t="s">
        <v>63</v>
      </c>
      <c r="C58" s="12">
        <f>IF(ISBLANK(DirtyData[[#This Row],[Age]]), AVERAGE(DirtyData[Age]),DirtyData[[#This Row],[Age]])</f>
        <v>20</v>
      </c>
      <c r="D58" s="1">
        <v>71295</v>
      </c>
      <c r="E58" s="13" t="str">
        <f>IF(ISBLANK(DirtyData[[#This Row],[Department]]),"Unknown",DirtyData[[#This Row],[Department]])</f>
        <v>Unknown</v>
      </c>
      <c r="F58" s="12">
        <f>IF(ISBLANK(DirtyData[[#This Row],[Score]]),AVERAGE(DirtyData[Score]),DirtyData[[#This Row],[Score]])</f>
        <v>43</v>
      </c>
      <c r="G58" s="3">
        <v>46052</v>
      </c>
      <c r="H58" s="1">
        <v>1</v>
      </c>
      <c r="I58" s="11">
        <f>IF(ISBLANK(DirtyData3[[#This Row],[Age]]),1,0)</f>
        <v>0</v>
      </c>
    </row>
    <row r="59" spans="1:9" x14ac:dyDescent="0.25">
      <c r="A59" s="1">
        <v>158</v>
      </c>
      <c r="B59" s="4" t="s">
        <v>64</v>
      </c>
      <c r="C59" s="12">
        <f>IF(ISBLANK(DirtyData[[#This Row],[Age]]), AVERAGE(DirtyData[Age]),DirtyData[[#This Row],[Age]])</f>
        <v>19</v>
      </c>
      <c r="D59" s="1">
        <v>71295</v>
      </c>
      <c r="E59" s="13" t="str">
        <f>IF(ISBLANK(DirtyData[[#This Row],[Department]]),"Unknown",DirtyData[[#This Row],[Department]])</f>
        <v>Engineer</v>
      </c>
      <c r="F59" s="12">
        <f>IF(ISBLANK(DirtyData[[#This Row],[Score]]),AVERAGE(DirtyData[Score]),DirtyData[[#This Row],[Score]])</f>
        <v>30</v>
      </c>
      <c r="G59" s="3">
        <v>46052</v>
      </c>
      <c r="H59" s="1">
        <v>0</v>
      </c>
      <c r="I59" s="11">
        <f>IF(ISBLANK(DirtyData3[[#This Row],[Age]]),1,0)</f>
        <v>0</v>
      </c>
    </row>
    <row r="60" spans="1:9" x14ac:dyDescent="0.25">
      <c r="A60" s="1">
        <v>159</v>
      </c>
      <c r="B60" s="2" t="s">
        <v>65</v>
      </c>
      <c r="C60" s="12">
        <f>IF(ISBLANK(DirtyData[[#This Row],[Age]]), AVERAGE(DirtyData[Age]),DirtyData[[#This Row],[Age]])</f>
        <v>24.170212765957448</v>
      </c>
      <c r="D60" s="1">
        <v>67984</v>
      </c>
      <c r="E60" s="13" t="str">
        <f>IF(ISBLANK(DirtyData[[#This Row],[Department]]),"Unknown",DirtyData[[#This Row],[Department]])</f>
        <v>Scientist</v>
      </c>
      <c r="F60" s="12">
        <f>IF(ISBLANK(DirtyData[[#This Row],[Score]]),AVERAGE(DirtyData[Score]),DirtyData[[#This Row],[Score]])</f>
        <v>63</v>
      </c>
      <c r="G60" s="3">
        <v>46052</v>
      </c>
      <c r="H60" s="1">
        <v>1</v>
      </c>
      <c r="I60" s="11">
        <f>IF(ISBLANK(DirtyData3[[#This Row],[Age]]),1,0)</f>
        <v>0</v>
      </c>
    </row>
    <row r="61" spans="1:9" x14ac:dyDescent="0.25">
      <c r="A61" s="1">
        <v>160</v>
      </c>
      <c r="B61" s="4" t="s">
        <v>66</v>
      </c>
      <c r="C61" s="12">
        <f>IF(ISBLANK(DirtyData[[#This Row],[Age]]), AVERAGE(DirtyData[Age]),DirtyData[[#This Row],[Age]])</f>
        <v>23</v>
      </c>
      <c r="D61" s="1">
        <v>61922</v>
      </c>
      <c r="E61" s="13" t="str">
        <f>IF(ISBLANK(DirtyData[[#This Row],[Department]]),"Unknown",DirtyData[[#This Row],[Department]])</f>
        <v>Unknown</v>
      </c>
      <c r="F61" s="12">
        <f>IF(ISBLANK(DirtyData[[#This Row],[Score]]),AVERAGE(DirtyData[Score]),DirtyData[[#This Row],[Score]])</f>
        <v>76</v>
      </c>
      <c r="G61" s="3">
        <v>46052</v>
      </c>
      <c r="H61" s="1">
        <v>0</v>
      </c>
      <c r="I61" s="11">
        <f>IF(ISBLANK(DirtyData3[[#This Row],[Age]]),1,0)</f>
        <v>0</v>
      </c>
    </row>
    <row r="63" spans="1:9" x14ac:dyDescent="0.25">
      <c r="A63" s="1">
        <f>COUNTBLANK(DirtyData3[CustomerID])</f>
        <v>0</v>
      </c>
      <c r="B63" s="1">
        <f>COUNTBLANK(DirtyData3[Name])</f>
        <v>0</v>
      </c>
      <c r="C63" s="1">
        <f>COUNTBLANK(DirtyData3[Age])</f>
        <v>0</v>
      </c>
      <c r="D63" s="1">
        <f>COUNTBLANK(DirtyData3[Income])</f>
        <v>0</v>
      </c>
      <c r="E63" s="1">
        <f>COUNTBLANK(DirtyData3[Department])</f>
        <v>0</v>
      </c>
      <c r="F63" s="1">
        <f>COUNTBLANK(DirtyData3[Score])</f>
        <v>0</v>
      </c>
      <c r="G63" s="1">
        <f>COUNTBLANK(DirtyData3[JoinDate])</f>
        <v>0</v>
      </c>
      <c r="H63" s="1">
        <f>COUNTBLANK(DirtyData3[Churned (Yes/No)])</f>
        <v>0</v>
      </c>
      <c r="I63" s="1">
        <f>COUNTBLANK(DirtyData3[Was_Imputed])</f>
        <v>0</v>
      </c>
    </row>
    <row r="64" spans="1:9" x14ac:dyDescent="0.25">
      <c r="A64" s="1">
        <f>MIN(DirtyData3[CustomerID])</f>
        <v>101</v>
      </c>
      <c r="C64" s="1">
        <f>MIN(DirtyData3[Age])</f>
        <v>18</v>
      </c>
      <c r="D64" s="1">
        <f>MIN(DirtyData3[Income])</f>
        <v>60126</v>
      </c>
      <c r="F64" s="1">
        <f>MIN(DirtyData3[Score])</f>
        <v>30</v>
      </c>
    </row>
    <row r="65" spans="1:1" x14ac:dyDescent="0.25">
      <c r="A65" s="1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52A7-9398-4E48-8CD1-F0156AB8029F}">
  <dimension ref="A1:I61"/>
  <sheetViews>
    <sheetView workbookViewId="0">
      <selection activeCell="J3" sqref="J3"/>
    </sheetView>
  </sheetViews>
  <sheetFormatPr defaultRowHeight="15" x14ac:dyDescent="0.25"/>
  <cols>
    <col min="1" max="1" width="15.140625" bestFit="1" customWidth="1"/>
    <col min="2" max="2" width="11.85546875" bestFit="1" customWidth="1"/>
    <col min="3" max="3" width="9.5703125" bestFit="1" customWidth="1"/>
    <col min="4" max="4" width="12.5703125" bestFit="1" customWidth="1"/>
    <col min="5" max="5" width="16.7109375" bestFit="1" customWidth="1"/>
    <col min="6" max="6" width="10.85546875" bestFit="1" customWidth="1"/>
    <col min="7" max="7" width="13.85546875" bestFit="1" customWidth="1"/>
    <col min="8" max="8" width="22.28515625" bestFit="1" customWidth="1"/>
    <col min="9" max="9" width="16.85546875" bestFit="1" customWidth="1"/>
  </cols>
  <sheetData>
    <row r="1" spans="1:9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8" t="s">
        <v>71</v>
      </c>
    </row>
    <row r="2" spans="1:9" x14ac:dyDescent="0.25">
      <c r="A2" s="1">
        <v>101</v>
      </c>
      <c r="B2" s="2" t="s">
        <v>8</v>
      </c>
      <c r="C2" s="12">
        <f>IF(ISBLANK(DirtyData[[#This Row],[Age]]), AVERAGE(DirtyData[Age]),DirtyData[[#This Row],[Age]])</f>
        <v>25</v>
      </c>
      <c r="D2" s="1">
        <v>99169</v>
      </c>
      <c r="E2" s="13" t="str">
        <f>IF(ISBLANK(DirtyData[[#This Row],[Department]]),"Unknown",DirtyData[[#This Row],[Department]])</f>
        <v>Unknown</v>
      </c>
      <c r="F2" s="12">
        <f>IF(ISBLANK(DirtyData[[#This Row],[Score]]),AVERAGE(DirtyData[Score]),DirtyData[[#This Row],[Score]])</f>
        <v>65</v>
      </c>
      <c r="G2" s="3">
        <v>46052</v>
      </c>
      <c r="H2" s="1">
        <v>1</v>
      </c>
      <c r="I2" s="11">
        <f>IF(ISBLANK(DirtyData35[[#This Row],[Age]]),1,0)</f>
        <v>0</v>
      </c>
    </row>
    <row r="3" spans="1:9" x14ac:dyDescent="0.25">
      <c r="A3" s="1">
        <v>102</v>
      </c>
      <c r="B3" s="4" t="s">
        <v>9</v>
      </c>
      <c r="C3" s="12">
        <f>IF(ISBLANK(DirtyData[[#This Row],[Age]]), AVERAGE(DirtyData[Age]),DirtyData[[#This Row],[Age]])</f>
        <v>24.170212765957448</v>
      </c>
      <c r="D3" s="1">
        <v>89524</v>
      </c>
      <c r="E3" s="13" t="str">
        <f>IF(ISBLANK(DirtyData[[#This Row],[Department]]),"Unknown",DirtyData[[#This Row],[Department]])</f>
        <v>Engineer</v>
      </c>
      <c r="F3" s="12">
        <f>IF(ISBLANK(DirtyData[[#This Row],[Score]]),AVERAGE(DirtyData[Score]),DirtyData[[#This Row],[Score]])</f>
        <v>98</v>
      </c>
      <c r="G3" s="3">
        <v>46052</v>
      </c>
      <c r="H3" s="1">
        <v>0</v>
      </c>
      <c r="I3" s="11">
        <f>IF(ISBLANK(DirtyData35[[#This Row],[Age]]),1,0)</f>
        <v>0</v>
      </c>
    </row>
    <row r="4" spans="1:9" x14ac:dyDescent="0.25">
      <c r="A4" s="1">
        <v>103</v>
      </c>
      <c r="B4" s="2" t="s">
        <v>10</v>
      </c>
      <c r="C4" s="12">
        <f>IF(ISBLANK(DirtyData[[#This Row],[Age]]), AVERAGE(DirtyData[Age]),DirtyData[[#This Row],[Age]])</f>
        <v>29</v>
      </c>
      <c r="D4" s="1"/>
      <c r="E4" s="13" t="str">
        <f>IF(ISBLANK(DirtyData[[#This Row],[Department]]),"Unknown",DirtyData[[#This Row],[Department]])</f>
        <v>Analyst</v>
      </c>
      <c r="F4" s="12">
        <f>IF(ISBLANK(DirtyData[[#This Row],[Score]]),AVERAGE(DirtyData[Score]),DirtyData[[#This Row],[Score]])</f>
        <v>92</v>
      </c>
      <c r="G4" s="3">
        <v>46052</v>
      </c>
      <c r="H4" s="1">
        <v>1</v>
      </c>
      <c r="I4" s="11">
        <f>IF(ISBLANK(DirtyData35[[#This Row],[Age]]),1,0)</f>
        <v>0</v>
      </c>
    </row>
    <row r="5" spans="1:9" x14ac:dyDescent="0.25">
      <c r="A5" s="1">
        <v>104</v>
      </c>
      <c r="B5" s="4" t="s">
        <v>11</v>
      </c>
      <c r="C5" s="12">
        <f>IF(ISBLANK(DirtyData[[#This Row],[Age]]), AVERAGE(DirtyData[Age]),DirtyData[[#This Row],[Age]])</f>
        <v>25</v>
      </c>
      <c r="D5" s="1">
        <v>99194</v>
      </c>
      <c r="E5" s="13" t="str">
        <f>IF(ISBLANK(DirtyData[[#This Row],[Department]]),"Unknown",DirtyData[[#This Row],[Department]])</f>
        <v>Developer</v>
      </c>
      <c r="F5" s="12">
        <f>IF(ISBLANK(DirtyData[[#This Row],[Score]]),AVERAGE(DirtyData[Score]),DirtyData[[#This Row],[Score]])</f>
        <v>63</v>
      </c>
      <c r="G5" s="3">
        <v>46052</v>
      </c>
      <c r="H5" s="1">
        <v>0</v>
      </c>
      <c r="I5" s="11">
        <f>IF(ISBLANK(DirtyData35[[#This Row],[Age]]),1,0)</f>
        <v>0</v>
      </c>
    </row>
    <row r="6" spans="1:9" x14ac:dyDescent="0.25">
      <c r="A6" s="1">
        <v>105</v>
      </c>
      <c r="B6" s="2" t="s">
        <v>12</v>
      </c>
      <c r="C6" s="12">
        <f>IF(ISBLANK(DirtyData[[#This Row],[Age]]), AVERAGE(DirtyData[Age]),DirtyData[[#This Row],[Age]])</f>
        <v>25</v>
      </c>
      <c r="D6" s="1">
        <v>71480</v>
      </c>
      <c r="E6" s="13" t="str">
        <f>IF(ISBLANK(DirtyData[[#This Row],[Department]]),"Unknown",DirtyData[[#This Row],[Department]])</f>
        <v>Developer</v>
      </c>
      <c r="F6" s="12">
        <f>IF(ISBLANK(DirtyData[[#This Row],[Score]]),AVERAGE(DirtyData[Score]),DirtyData[[#This Row],[Score]])</f>
        <v>65.5</v>
      </c>
      <c r="G6" s="3">
        <v>46052</v>
      </c>
      <c r="H6" s="1">
        <v>1</v>
      </c>
      <c r="I6" s="11">
        <f>IF(ISBLANK(DirtyData35[[#This Row],[Age]]),1,0)</f>
        <v>0</v>
      </c>
    </row>
    <row r="7" spans="1:9" x14ac:dyDescent="0.25">
      <c r="A7" s="1">
        <v>106</v>
      </c>
      <c r="B7" s="4" t="s">
        <v>13</v>
      </c>
      <c r="C7" s="12">
        <f>IF(ISBLANK(DirtyData[[#This Row],[Age]]), AVERAGE(DirtyData[Age]),DirtyData[[#This Row],[Age]])</f>
        <v>18</v>
      </c>
      <c r="D7" s="1"/>
      <c r="E7" s="13" t="str">
        <f>IF(ISBLANK(DirtyData[[#This Row],[Department]]),"Unknown",DirtyData[[#This Row],[Department]])</f>
        <v>Engineer</v>
      </c>
      <c r="F7" s="12">
        <f>IF(ISBLANK(DirtyData[[#This Row],[Score]]),AVERAGE(DirtyData[Score]),DirtyData[[#This Row],[Score]])</f>
        <v>65.5</v>
      </c>
      <c r="G7" s="3">
        <v>46052</v>
      </c>
      <c r="H7" s="1">
        <v>0</v>
      </c>
      <c r="I7" s="11">
        <f>IF(ISBLANK(DirtyData35[[#This Row],[Age]]),1,0)</f>
        <v>0</v>
      </c>
    </row>
    <row r="8" spans="1:9" x14ac:dyDescent="0.25">
      <c r="A8" s="1">
        <v>107</v>
      </c>
      <c r="B8" s="2" t="s">
        <v>14</v>
      </c>
      <c r="C8" s="12">
        <f>IF(ISBLANK(DirtyData[[#This Row],[Age]]), AVERAGE(DirtyData[Age]),DirtyData[[#This Row],[Age]])</f>
        <v>28</v>
      </c>
      <c r="D8" s="1">
        <v>80839</v>
      </c>
      <c r="E8" s="13" t="str">
        <f>IF(ISBLANK(DirtyData[[#This Row],[Department]]),"Unknown",DirtyData[[#This Row],[Department]])</f>
        <v>Scientist</v>
      </c>
      <c r="F8" s="12">
        <f>IF(ISBLANK(DirtyData[[#This Row],[Score]]),AVERAGE(DirtyData[Score]),DirtyData[[#This Row],[Score]])</f>
        <v>33</v>
      </c>
      <c r="G8" s="3">
        <v>46052</v>
      </c>
      <c r="H8" s="1">
        <v>0</v>
      </c>
      <c r="I8" s="11">
        <f>IF(ISBLANK(DirtyData35[[#This Row],[Age]]),1,0)</f>
        <v>0</v>
      </c>
    </row>
    <row r="9" spans="1:9" x14ac:dyDescent="0.25">
      <c r="A9" s="1">
        <v>108</v>
      </c>
      <c r="B9" s="4" t="s">
        <v>15</v>
      </c>
      <c r="C9" s="12">
        <f>IF(ISBLANK(DirtyData[[#This Row],[Age]]), AVERAGE(DirtyData[Age]),DirtyData[[#This Row],[Age]])</f>
        <v>21</v>
      </c>
      <c r="D9" s="1">
        <v>60827</v>
      </c>
      <c r="E9" s="13" t="str">
        <f>IF(ISBLANK(DirtyData[[#This Row],[Department]]),"Unknown",DirtyData[[#This Row],[Department]])</f>
        <v>Unknown</v>
      </c>
      <c r="F9" s="12">
        <f>IF(ISBLANK(DirtyData[[#This Row],[Score]]),AVERAGE(DirtyData[Score]),DirtyData[[#This Row],[Score]])</f>
        <v>65.5</v>
      </c>
      <c r="G9" s="3">
        <v>46052</v>
      </c>
      <c r="H9" s="1">
        <v>0</v>
      </c>
      <c r="I9" s="11">
        <f>IF(ISBLANK(DirtyData35[[#This Row],[Age]]),1,0)</f>
        <v>0</v>
      </c>
    </row>
    <row r="10" spans="1:9" x14ac:dyDescent="0.25">
      <c r="A10" s="1">
        <v>109</v>
      </c>
      <c r="B10" s="2" t="s">
        <v>16</v>
      </c>
      <c r="C10" s="12">
        <f>IF(ISBLANK(DirtyData[[#This Row],[Age]]), AVERAGE(DirtyData[Age]),DirtyData[[#This Row],[Age]])</f>
        <v>24.170212765957448</v>
      </c>
      <c r="D10" s="1">
        <v>90022</v>
      </c>
      <c r="E10" s="13" t="str">
        <f>IF(ISBLANK(DirtyData[[#This Row],[Department]]),"Unknown",DirtyData[[#This Row],[Department]])</f>
        <v>Scientist</v>
      </c>
      <c r="F10" s="12">
        <f>IF(ISBLANK(DirtyData[[#This Row],[Score]]),AVERAGE(DirtyData[Score]),DirtyData[[#This Row],[Score]])</f>
        <v>54</v>
      </c>
      <c r="G10" s="3">
        <v>46052</v>
      </c>
      <c r="H10" s="1">
        <v>1</v>
      </c>
      <c r="I10" s="11">
        <f>IF(ISBLANK(DirtyData35[[#This Row],[Age]]),1,0)</f>
        <v>0</v>
      </c>
    </row>
    <row r="11" spans="1:9" x14ac:dyDescent="0.25">
      <c r="A11" s="1">
        <v>110</v>
      </c>
      <c r="B11" s="4" t="s">
        <v>17</v>
      </c>
      <c r="C11" s="12">
        <f>IF(ISBLANK(DirtyData[[#This Row],[Age]]), AVERAGE(DirtyData[Age]),DirtyData[[#This Row],[Age]])</f>
        <v>21</v>
      </c>
      <c r="D11" s="1">
        <v>97746</v>
      </c>
      <c r="E11" s="13" t="str">
        <f>IF(ISBLANK(DirtyData[[#This Row],[Department]]),"Unknown",DirtyData[[#This Row],[Department]])</f>
        <v>Developer</v>
      </c>
      <c r="F11" s="12">
        <f>IF(ISBLANK(DirtyData[[#This Row],[Score]]),AVERAGE(DirtyData[Score]),DirtyData[[#This Row],[Score]])</f>
        <v>50</v>
      </c>
      <c r="G11" s="3">
        <v>46052</v>
      </c>
      <c r="H11" s="1">
        <v>1</v>
      </c>
      <c r="I11" s="11">
        <f>IF(ISBLANK(DirtyData35[[#This Row],[Age]]),1,0)</f>
        <v>0</v>
      </c>
    </row>
    <row r="12" spans="1:9" x14ac:dyDescent="0.25">
      <c r="A12" s="1">
        <v>111</v>
      </c>
      <c r="B12" s="2" t="s">
        <v>18</v>
      </c>
      <c r="C12" s="12">
        <f>IF(ISBLANK(DirtyData[[#This Row],[Age]]), AVERAGE(DirtyData[Age]),DirtyData[[#This Row],[Age]])</f>
        <v>29</v>
      </c>
      <c r="D12" s="1">
        <v>82991</v>
      </c>
      <c r="E12" s="13" t="str">
        <f>IF(ISBLANK(DirtyData[[#This Row],[Department]]),"Unknown",DirtyData[[#This Row],[Department]])</f>
        <v>Analyst</v>
      </c>
      <c r="F12" s="12">
        <f>IF(ISBLANK(DirtyData[[#This Row],[Score]]),AVERAGE(DirtyData[Score]),DirtyData[[#This Row],[Score]])</f>
        <v>82</v>
      </c>
      <c r="G12" s="3">
        <v>46052</v>
      </c>
      <c r="H12" s="1">
        <v>0</v>
      </c>
      <c r="I12" s="11">
        <f>IF(ISBLANK(DirtyData35[[#This Row],[Age]]),1,0)</f>
        <v>0</v>
      </c>
    </row>
    <row r="13" spans="1:9" x14ac:dyDescent="0.25">
      <c r="A13" s="1">
        <v>112</v>
      </c>
      <c r="B13" s="4" t="s">
        <v>19</v>
      </c>
      <c r="C13" s="12">
        <f>IF(ISBLANK(DirtyData[[#This Row],[Age]]), AVERAGE(DirtyData[Age]),DirtyData[[#This Row],[Age]])</f>
        <v>21</v>
      </c>
      <c r="D13" s="1"/>
      <c r="E13" s="13" t="str">
        <f>IF(ISBLANK(DirtyData[[#This Row],[Department]]),"Unknown",DirtyData[[#This Row],[Department]])</f>
        <v>Unknown</v>
      </c>
      <c r="F13" s="12">
        <f>IF(ISBLANK(DirtyData[[#This Row],[Score]]),AVERAGE(DirtyData[Score]),DirtyData[[#This Row],[Score]])</f>
        <v>91</v>
      </c>
      <c r="G13" s="3">
        <v>46052</v>
      </c>
      <c r="H13" s="1">
        <v>1</v>
      </c>
      <c r="I13" s="11">
        <f>IF(ISBLANK(DirtyData35[[#This Row],[Age]]),1,0)</f>
        <v>0</v>
      </c>
    </row>
    <row r="14" spans="1:9" x14ac:dyDescent="0.25">
      <c r="A14" s="1">
        <v>113</v>
      </c>
      <c r="B14" s="2" t="s">
        <v>20</v>
      </c>
      <c r="C14" s="12">
        <f>IF(ISBLANK(DirtyData[[#This Row],[Age]]), AVERAGE(DirtyData[Age]),DirtyData[[#This Row],[Age]])</f>
        <v>23</v>
      </c>
      <c r="D14" s="1">
        <v>71497</v>
      </c>
      <c r="E14" s="13" t="str">
        <f>IF(ISBLANK(DirtyData[[#This Row],[Department]]),"Unknown",DirtyData[[#This Row],[Department]])</f>
        <v>Engineer</v>
      </c>
      <c r="F14" s="12">
        <f>IF(ISBLANK(DirtyData[[#This Row],[Score]]),AVERAGE(DirtyData[Score]),DirtyData[[#This Row],[Score]])</f>
        <v>65.5</v>
      </c>
      <c r="G14" s="3">
        <v>46052</v>
      </c>
      <c r="H14" s="1">
        <v>0</v>
      </c>
      <c r="I14" s="11">
        <f>IF(ISBLANK(DirtyData35[[#This Row],[Age]]),1,0)</f>
        <v>0</v>
      </c>
    </row>
    <row r="15" spans="1:9" x14ac:dyDescent="0.25">
      <c r="A15" s="1">
        <v>114</v>
      </c>
      <c r="B15" s="4" t="s">
        <v>21</v>
      </c>
      <c r="C15" s="12">
        <f>IF(ISBLANK(DirtyData[[#This Row],[Age]]), AVERAGE(DirtyData[Age]),DirtyData[[#This Row],[Age]])</f>
        <v>24.170212765957448</v>
      </c>
      <c r="D15" s="1">
        <v>89382</v>
      </c>
      <c r="E15" s="13" t="str">
        <f>IF(ISBLANK(DirtyData[[#This Row],[Department]]),"Unknown",DirtyData[[#This Row],[Department]])</f>
        <v>Developer</v>
      </c>
      <c r="F15" s="12">
        <f>IF(ISBLANK(DirtyData[[#This Row],[Score]]),AVERAGE(DirtyData[Score]),DirtyData[[#This Row],[Score]])</f>
        <v>94</v>
      </c>
      <c r="G15" s="3">
        <v>46052</v>
      </c>
      <c r="H15" s="1">
        <v>1</v>
      </c>
      <c r="I15" s="11">
        <f>IF(ISBLANK(DirtyData35[[#This Row],[Age]]),1,0)</f>
        <v>0</v>
      </c>
    </row>
    <row r="16" spans="1:9" x14ac:dyDescent="0.25">
      <c r="A16" s="1">
        <v>115</v>
      </c>
      <c r="B16" s="2" t="s">
        <v>22</v>
      </c>
      <c r="C16" s="12">
        <f>IF(ISBLANK(DirtyData[[#This Row],[Age]]), AVERAGE(DirtyData[Age]),DirtyData[[#This Row],[Age]])</f>
        <v>24</v>
      </c>
      <c r="D16" s="1">
        <v>99263</v>
      </c>
      <c r="E16" s="13" t="str">
        <f>IF(ISBLANK(DirtyData[[#This Row],[Department]]),"Unknown",DirtyData[[#This Row],[Department]])</f>
        <v>Developer</v>
      </c>
      <c r="F16" s="12">
        <f>IF(ISBLANK(DirtyData[[#This Row],[Score]]),AVERAGE(DirtyData[Score]),DirtyData[[#This Row],[Score]])</f>
        <v>51</v>
      </c>
      <c r="G16" s="3">
        <v>46052</v>
      </c>
      <c r="H16" s="1">
        <v>0</v>
      </c>
      <c r="I16" s="11">
        <f>IF(ISBLANK(DirtyData35[[#This Row],[Age]]),1,0)</f>
        <v>0</v>
      </c>
    </row>
    <row r="17" spans="1:9" x14ac:dyDescent="0.25">
      <c r="A17" s="1">
        <v>116</v>
      </c>
      <c r="B17" s="4" t="s">
        <v>23</v>
      </c>
      <c r="C17" s="12">
        <f>IF(ISBLANK(DirtyData[[#This Row],[Age]]), AVERAGE(DirtyData[Age]),DirtyData[[#This Row],[Age]])</f>
        <v>20</v>
      </c>
      <c r="D17" s="1">
        <v>72532</v>
      </c>
      <c r="E17" s="13" t="str">
        <f>IF(ISBLANK(DirtyData[[#This Row],[Department]]),"Unknown",DirtyData[[#This Row],[Department]])</f>
        <v>Developer</v>
      </c>
      <c r="F17" s="12">
        <f>IF(ISBLANK(DirtyData[[#This Row],[Score]]),AVERAGE(DirtyData[Score]),DirtyData[[#This Row],[Score]])</f>
        <v>36</v>
      </c>
      <c r="G17" s="3">
        <v>46052</v>
      </c>
      <c r="H17" s="1">
        <v>1</v>
      </c>
      <c r="I17" s="11">
        <f>IF(ISBLANK(DirtyData35[[#This Row],[Age]]),1,0)</f>
        <v>0</v>
      </c>
    </row>
    <row r="18" spans="1:9" x14ac:dyDescent="0.25">
      <c r="A18" s="1">
        <v>117</v>
      </c>
      <c r="B18" s="2" t="s">
        <v>24</v>
      </c>
      <c r="C18" s="12">
        <f>IF(ISBLANK(DirtyData[[#This Row],[Age]]), AVERAGE(DirtyData[Age]),DirtyData[[#This Row],[Age]])</f>
        <v>28</v>
      </c>
      <c r="D18" s="1">
        <v>88751</v>
      </c>
      <c r="E18" s="13" t="str">
        <f>IF(ISBLANK(DirtyData[[#This Row],[Department]]),"Unknown",DirtyData[[#This Row],[Department]])</f>
        <v>Analyst</v>
      </c>
      <c r="F18" s="12">
        <f>IF(ISBLANK(DirtyData[[#This Row],[Score]]),AVERAGE(DirtyData[Score]),DirtyData[[#This Row],[Score]])</f>
        <v>98</v>
      </c>
      <c r="G18" s="3">
        <v>46052</v>
      </c>
      <c r="H18" s="1">
        <v>1</v>
      </c>
      <c r="I18" s="11">
        <f>IF(ISBLANK(DirtyData35[[#This Row],[Age]]),1,0)</f>
        <v>0</v>
      </c>
    </row>
    <row r="19" spans="1:9" x14ac:dyDescent="0.25">
      <c r="A19" s="1">
        <v>118</v>
      </c>
      <c r="B19" s="4" t="s">
        <v>25</v>
      </c>
      <c r="C19" s="12">
        <f>IF(ISBLANK(DirtyData[[#This Row],[Age]]), AVERAGE(DirtyData[Age]),DirtyData[[#This Row],[Age]])</f>
        <v>23</v>
      </c>
      <c r="D19" s="1">
        <v>83907</v>
      </c>
      <c r="E19" s="13" t="str">
        <f>IF(ISBLANK(DirtyData[[#This Row],[Department]]),"Unknown",DirtyData[[#This Row],[Department]])</f>
        <v>Developer</v>
      </c>
      <c r="F19" s="12">
        <f>IF(ISBLANK(DirtyData[[#This Row],[Score]]),AVERAGE(DirtyData[Score]),DirtyData[[#This Row],[Score]])</f>
        <v>87</v>
      </c>
      <c r="G19" s="3">
        <v>46052</v>
      </c>
      <c r="H19" s="1">
        <v>0</v>
      </c>
      <c r="I19" s="11">
        <f>IF(ISBLANK(DirtyData35[[#This Row],[Age]]),1,0)</f>
        <v>0</v>
      </c>
    </row>
    <row r="20" spans="1:9" x14ac:dyDescent="0.25">
      <c r="A20" s="1">
        <v>119</v>
      </c>
      <c r="B20" s="2" t="s">
        <v>26</v>
      </c>
      <c r="C20" s="12">
        <f>IF(ISBLANK(DirtyData[[#This Row],[Age]]), AVERAGE(DirtyData[Age]),DirtyData[[#This Row],[Age]])</f>
        <v>24.170212765957448</v>
      </c>
      <c r="D20" s="1">
        <v>92030</v>
      </c>
      <c r="E20" s="13" t="str">
        <f>IF(ISBLANK(DirtyData[[#This Row],[Department]]),"Unknown",DirtyData[[#This Row],[Department]])</f>
        <v>Unknown</v>
      </c>
      <c r="F20" s="12">
        <f>IF(ISBLANK(DirtyData[[#This Row],[Score]]),AVERAGE(DirtyData[Score]),DirtyData[[#This Row],[Score]])</f>
        <v>60</v>
      </c>
      <c r="G20" s="3">
        <v>46052</v>
      </c>
      <c r="H20" s="1">
        <v>0</v>
      </c>
      <c r="I20" s="11">
        <f>IF(ISBLANK(DirtyData35[[#This Row],[Age]]),1,0)</f>
        <v>0</v>
      </c>
    </row>
    <row r="21" spans="1:9" x14ac:dyDescent="0.25">
      <c r="A21" s="1">
        <v>120</v>
      </c>
      <c r="B21" s="4" t="s">
        <v>27</v>
      </c>
      <c r="C21" s="12">
        <f>IF(ISBLANK(DirtyData[[#This Row],[Age]]), AVERAGE(DirtyData[Age]),DirtyData[[#This Row],[Age]])</f>
        <v>25</v>
      </c>
      <c r="D21" s="1">
        <v>76657</v>
      </c>
      <c r="E21" s="13" t="str">
        <f>IF(ISBLANK(DirtyData[[#This Row],[Department]]),"Unknown",DirtyData[[#This Row],[Department]])</f>
        <v>Scientist</v>
      </c>
      <c r="F21" s="12">
        <f>IF(ISBLANK(DirtyData[[#This Row],[Score]]),AVERAGE(DirtyData[Score]),DirtyData[[#This Row],[Score]])</f>
        <v>48</v>
      </c>
      <c r="G21" s="3">
        <v>46052</v>
      </c>
      <c r="H21" s="1">
        <v>0</v>
      </c>
      <c r="I21" s="11">
        <f>IF(ISBLANK(DirtyData35[[#This Row],[Age]]),1,0)</f>
        <v>0</v>
      </c>
    </row>
    <row r="22" spans="1:9" x14ac:dyDescent="0.25">
      <c r="A22" s="1">
        <v>121</v>
      </c>
      <c r="B22" s="2" t="s">
        <v>28</v>
      </c>
      <c r="C22" s="12">
        <f>IF(ISBLANK(DirtyData[[#This Row],[Age]]), AVERAGE(DirtyData[Age]),DirtyData[[#This Row],[Age]])</f>
        <v>24.170212765957448</v>
      </c>
      <c r="D22" s="1">
        <v>81736</v>
      </c>
      <c r="E22" s="13" t="str">
        <f>IF(ISBLANK(DirtyData[[#This Row],[Department]]),"Unknown",DirtyData[[#This Row],[Department]])</f>
        <v>Engineer</v>
      </c>
      <c r="F22" s="12">
        <f>IF(ISBLANK(DirtyData[[#This Row],[Score]]),AVERAGE(DirtyData[Score]),DirtyData[[#This Row],[Score]])</f>
        <v>93</v>
      </c>
      <c r="G22" s="3">
        <v>46052</v>
      </c>
      <c r="H22" s="1">
        <v>0</v>
      </c>
      <c r="I22" s="11">
        <f>IF(ISBLANK(DirtyData35[[#This Row],[Age]]),1,0)</f>
        <v>0</v>
      </c>
    </row>
    <row r="23" spans="1:9" x14ac:dyDescent="0.25">
      <c r="A23" s="1">
        <v>122</v>
      </c>
      <c r="B23" s="4" t="s">
        <v>29</v>
      </c>
      <c r="C23" s="12">
        <f>IF(ISBLANK(DirtyData[[#This Row],[Age]]), AVERAGE(DirtyData[Age]),DirtyData[[#This Row],[Age]])</f>
        <v>24.170212765957448</v>
      </c>
      <c r="D23" s="1">
        <v>92482</v>
      </c>
      <c r="E23" s="13" t="str">
        <f>IF(ISBLANK(DirtyData[[#This Row],[Department]]),"Unknown",DirtyData[[#This Row],[Department]])</f>
        <v>Analyst</v>
      </c>
      <c r="F23" s="12">
        <f>IF(ISBLANK(DirtyData[[#This Row],[Score]]),AVERAGE(DirtyData[Score]),DirtyData[[#This Row],[Score]])</f>
        <v>65.5</v>
      </c>
      <c r="G23" s="3">
        <v>46052</v>
      </c>
      <c r="H23" s="1">
        <v>0</v>
      </c>
      <c r="I23" s="11">
        <f>IF(ISBLANK(DirtyData35[[#This Row],[Age]]),1,0)</f>
        <v>0</v>
      </c>
    </row>
    <row r="24" spans="1:9" x14ac:dyDescent="0.25">
      <c r="A24" s="1">
        <v>123</v>
      </c>
      <c r="B24" s="2" t="s">
        <v>30</v>
      </c>
      <c r="C24" s="12">
        <f>IF(ISBLANK(DirtyData[[#This Row],[Age]]), AVERAGE(DirtyData[Age]),DirtyData[[#This Row],[Age]])</f>
        <v>30</v>
      </c>
      <c r="D24" s="1">
        <v>76231</v>
      </c>
      <c r="E24" s="13" t="str">
        <f>IF(ISBLANK(DirtyData[[#This Row],[Department]]),"Unknown",DirtyData[[#This Row],[Department]])</f>
        <v>Unknown</v>
      </c>
      <c r="F24" s="12">
        <f>IF(ISBLANK(DirtyData[[#This Row],[Score]]),AVERAGE(DirtyData[Score]),DirtyData[[#This Row],[Score]])</f>
        <v>39</v>
      </c>
      <c r="G24" s="3">
        <v>46052</v>
      </c>
      <c r="H24" s="1">
        <v>0</v>
      </c>
      <c r="I24" s="11">
        <f>IF(ISBLANK(DirtyData35[[#This Row],[Age]]),1,0)</f>
        <v>0</v>
      </c>
    </row>
    <row r="25" spans="1:9" x14ac:dyDescent="0.25">
      <c r="A25" s="1">
        <v>124</v>
      </c>
      <c r="B25" s="4" t="s">
        <v>31</v>
      </c>
      <c r="C25" s="12">
        <f>IF(ISBLANK(DirtyData[[#This Row],[Age]]), AVERAGE(DirtyData[Age]),DirtyData[[#This Row],[Age]])</f>
        <v>24.170212765957448</v>
      </c>
      <c r="D25" s="1">
        <v>93950</v>
      </c>
      <c r="E25" s="13" t="str">
        <f>IF(ISBLANK(DirtyData[[#This Row],[Department]]),"Unknown",DirtyData[[#This Row],[Department]])</f>
        <v>Engineer</v>
      </c>
      <c r="F25" s="12">
        <f>IF(ISBLANK(DirtyData[[#This Row],[Score]]),AVERAGE(DirtyData[Score]),DirtyData[[#This Row],[Score]])</f>
        <v>60</v>
      </c>
      <c r="G25" s="3">
        <v>46052</v>
      </c>
      <c r="H25" s="1">
        <v>1</v>
      </c>
      <c r="I25" s="11">
        <f>IF(ISBLANK(DirtyData35[[#This Row],[Age]]),1,0)</f>
        <v>0</v>
      </c>
    </row>
    <row r="26" spans="1:9" x14ac:dyDescent="0.25">
      <c r="A26" s="1">
        <v>125</v>
      </c>
      <c r="B26" s="2" t="s">
        <v>32</v>
      </c>
      <c r="C26" s="12">
        <f>IF(ISBLANK(DirtyData[[#This Row],[Age]]), AVERAGE(DirtyData[Age]),DirtyData[[#This Row],[Age]])</f>
        <v>24</v>
      </c>
      <c r="D26" s="1">
        <v>76266</v>
      </c>
      <c r="E26" s="13" t="str">
        <f>IF(ISBLANK(DirtyData[[#This Row],[Department]]),"Unknown",DirtyData[[#This Row],[Department]])</f>
        <v>Engineer</v>
      </c>
      <c r="F26" s="12">
        <f>IF(ISBLANK(DirtyData[[#This Row],[Score]]),AVERAGE(DirtyData[Score]),DirtyData[[#This Row],[Score]])</f>
        <v>50</v>
      </c>
      <c r="G26" s="3">
        <v>46052</v>
      </c>
      <c r="H26" s="1">
        <v>0</v>
      </c>
      <c r="I26" s="11">
        <f>IF(ISBLANK(DirtyData35[[#This Row],[Age]]),1,0)</f>
        <v>0</v>
      </c>
    </row>
    <row r="27" spans="1:9" x14ac:dyDescent="0.25">
      <c r="A27" s="1">
        <v>126</v>
      </c>
      <c r="B27" s="4" t="s">
        <v>33</v>
      </c>
      <c r="C27" s="12">
        <f>IF(ISBLANK(DirtyData[[#This Row],[Age]]), AVERAGE(DirtyData[Age]),DirtyData[[#This Row],[Age]])</f>
        <v>22</v>
      </c>
      <c r="D27" s="1"/>
      <c r="E27" s="13" t="str">
        <f>IF(ISBLANK(DirtyData[[#This Row],[Department]]),"Unknown",DirtyData[[#This Row],[Department]])</f>
        <v>Unknown</v>
      </c>
      <c r="F27" s="12">
        <f>IF(ISBLANK(DirtyData[[#This Row],[Score]]),AVERAGE(DirtyData[Score]),DirtyData[[#This Row],[Score]])</f>
        <v>45</v>
      </c>
      <c r="G27" s="3">
        <v>46052</v>
      </c>
      <c r="H27" s="1">
        <v>0</v>
      </c>
      <c r="I27" s="11">
        <f>IF(ISBLANK(DirtyData35[[#This Row],[Age]]),1,0)</f>
        <v>0</v>
      </c>
    </row>
    <row r="28" spans="1:9" x14ac:dyDescent="0.25">
      <c r="A28" s="1">
        <v>127</v>
      </c>
      <c r="B28" s="2" t="s">
        <v>34</v>
      </c>
      <c r="C28" s="12">
        <f>IF(ISBLANK(DirtyData[[#This Row],[Age]]), AVERAGE(DirtyData[Age]),DirtyData[[#This Row],[Age]])</f>
        <v>27</v>
      </c>
      <c r="D28" s="1">
        <v>94253</v>
      </c>
      <c r="E28" s="13" t="str">
        <f>IF(ISBLANK(DirtyData[[#This Row],[Department]]),"Unknown",DirtyData[[#This Row],[Department]])</f>
        <v>Engineer</v>
      </c>
      <c r="F28" s="12">
        <f>IF(ISBLANK(DirtyData[[#This Row],[Score]]),AVERAGE(DirtyData[Score]),DirtyData[[#This Row],[Score]])</f>
        <v>65.5</v>
      </c>
      <c r="G28" s="3">
        <v>46052</v>
      </c>
      <c r="H28" s="1">
        <v>1</v>
      </c>
      <c r="I28" s="11">
        <f>IF(ISBLANK(DirtyData35[[#This Row],[Age]]),1,0)</f>
        <v>0</v>
      </c>
    </row>
    <row r="29" spans="1:9" x14ac:dyDescent="0.25">
      <c r="A29" s="1">
        <v>128</v>
      </c>
      <c r="B29" s="4" t="s">
        <v>35</v>
      </c>
      <c r="C29" s="12">
        <f>IF(ISBLANK(DirtyData[[#This Row],[Age]]), AVERAGE(DirtyData[Age]),DirtyData[[#This Row],[Age]])</f>
        <v>27</v>
      </c>
      <c r="D29" s="1">
        <v>89483</v>
      </c>
      <c r="E29" s="13" t="str">
        <f>IF(ISBLANK(DirtyData[[#This Row],[Department]]),"Unknown",DirtyData[[#This Row],[Department]])</f>
        <v>Unknown</v>
      </c>
      <c r="F29" s="12">
        <f>IF(ISBLANK(DirtyData[[#This Row],[Score]]),AVERAGE(DirtyData[Score]),DirtyData[[#This Row],[Score]])</f>
        <v>65</v>
      </c>
      <c r="G29" s="3">
        <v>46052</v>
      </c>
      <c r="H29" s="1">
        <v>0</v>
      </c>
      <c r="I29" s="11">
        <f>IF(ISBLANK(DirtyData35[[#This Row],[Age]]),1,0)</f>
        <v>0</v>
      </c>
    </row>
    <row r="30" spans="1:9" x14ac:dyDescent="0.25">
      <c r="A30" s="1">
        <v>129</v>
      </c>
      <c r="B30" s="2" t="s">
        <v>36</v>
      </c>
      <c r="C30" s="12">
        <f>IF(ISBLANK(DirtyData[[#This Row],[Age]]), AVERAGE(DirtyData[Age]),DirtyData[[#This Row],[Age]])</f>
        <v>24.170212765957448</v>
      </c>
      <c r="D30" s="1"/>
      <c r="E30" s="13" t="str">
        <f>IF(ISBLANK(DirtyData[[#This Row],[Department]]),"Unknown",DirtyData[[#This Row],[Department]])</f>
        <v>Engineer</v>
      </c>
      <c r="F30" s="12">
        <f>IF(ISBLANK(DirtyData[[#This Row],[Score]]),AVERAGE(DirtyData[Score]),DirtyData[[#This Row],[Score]])</f>
        <v>53</v>
      </c>
      <c r="G30" s="3">
        <v>46052</v>
      </c>
      <c r="H30" s="1">
        <v>1</v>
      </c>
      <c r="I30" s="11">
        <f>IF(ISBLANK(DirtyData35[[#This Row],[Age]]),1,0)</f>
        <v>0</v>
      </c>
    </row>
    <row r="31" spans="1:9" x14ac:dyDescent="0.25">
      <c r="A31" s="1">
        <v>130</v>
      </c>
      <c r="B31" s="4" t="s">
        <v>37</v>
      </c>
      <c r="C31" s="12">
        <f>IF(ISBLANK(DirtyData[[#This Row],[Age]]), AVERAGE(DirtyData[Age]),DirtyData[[#This Row],[Age]])</f>
        <v>21</v>
      </c>
      <c r="D31" s="1">
        <v>77384</v>
      </c>
      <c r="E31" s="13" t="str">
        <f>IF(ISBLANK(DirtyData[[#This Row],[Department]]),"Unknown",DirtyData[[#This Row],[Department]])</f>
        <v>Engineer</v>
      </c>
      <c r="F31" s="12">
        <f>IF(ISBLANK(DirtyData[[#This Row],[Score]]),AVERAGE(DirtyData[Score]),DirtyData[[#This Row],[Score]])</f>
        <v>76</v>
      </c>
      <c r="G31" s="3">
        <v>46052</v>
      </c>
      <c r="H31" s="1">
        <v>0</v>
      </c>
      <c r="I31" s="11">
        <f>IF(ISBLANK(DirtyData35[[#This Row],[Age]]),1,0)</f>
        <v>0</v>
      </c>
    </row>
    <row r="32" spans="1:9" x14ac:dyDescent="0.25">
      <c r="A32" s="1">
        <v>131</v>
      </c>
      <c r="B32" s="2" t="s">
        <v>38</v>
      </c>
      <c r="C32" s="12">
        <f>IF(ISBLANK(DirtyData[[#This Row],[Age]]), AVERAGE(DirtyData[Age]),DirtyData[[#This Row],[Age]])</f>
        <v>28</v>
      </c>
      <c r="D32" s="1">
        <v>61999</v>
      </c>
      <c r="E32" s="13" t="str">
        <f>IF(ISBLANK(DirtyData[[#This Row],[Department]]),"Unknown",DirtyData[[#This Row],[Department]])</f>
        <v>Scientist</v>
      </c>
      <c r="F32" s="12">
        <f>IF(ISBLANK(DirtyData[[#This Row],[Score]]),AVERAGE(DirtyData[Score]),DirtyData[[#This Row],[Score]])</f>
        <v>95</v>
      </c>
      <c r="G32" s="3">
        <v>46052</v>
      </c>
      <c r="H32" s="1">
        <v>1</v>
      </c>
      <c r="I32" s="11">
        <f>IF(ISBLANK(DirtyData35[[#This Row],[Age]]),1,0)</f>
        <v>0</v>
      </c>
    </row>
    <row r="33" spans="1:9" x14ac:dyDescent="0.25">
      <c r="A33" s="1">
        <v>132</v>
      </c>
      <c r="B33" s="4" t="s">
        <v>39</v>
      </c>
      <c r="C33" s="12">
        <f>IF(ISBLANK(DirtyData[[#This Row],[Age]]), AVERAGE(DirtyData[Age]),DirtyData[[#This Row],[Age]])</f>
        <v>22</v>
      </c>
      <c r="D33" s="1">
        <v>60394</v>
      </c>
      <c r="E33" s="13" t="str">
        <f>IF(ISBLANK(DirtyData[[#This Row],[Department]]),"Unknown",DirtyData[[#This Row],[Department]])</f>
        <v>Unknown</v>
      </c>
      <c r="F33" s="12">
        <f>IF(ISBLANK(DirtyData[[#This Row],[Score]]),AVERAGE(DirtyData[Score]),DirtyData[[#This Row],[Score]])</f>
        <v>74</v>
      </c>
      <c r="G33" s="3">
        <v>46052</v>
      </c>
      <c r="H33" s="1">
        <v>0</v>
      </c>
      <c r="I33" s="11">
        <f>IF(ISBLANK(DirtyData35[[#This Row],[Age]]),1,0)</f>
        <v>0</v>
      </c>
    </row>
    <row r="34" spans="1:9" x14ac:dyDescent="0.25">
      <c r="A34" s="1">
        <v>133</v>
      </c>
      <c r="B34" s="2" t="s">
        <v>40</v>
      </c>
      <c r="C34" s="12">
        <f>IF(ISBLANK(DirtyData[[#This Row],[Age]]), AVERAGE(DirtyData[Age]),DirtyData[[#This Row],[Age]])</f>
        <v>24</v>
      </c>
      <c r="D34" s="1">
        <v>86813</v>
      </c>
      <c r="E34" s="13" t="str">
        <f>IF(ISBLANK(DirtyData[[#This Row],[Department]]),"Unknown",DirtyData[[#This Row],[Department]])</f>
        <v>Engineer</v>
      </c>
      <c r="F34" s="12">
        <f>IF(ISBLANK(DirtyData[[#This Row],[Score]]),AVERAGE(DirtyData[Score]),DirtyData[[#This Row],[Score]])</f>
        <v>77</v>
      </c>
      <c r="G34" s="3">
        <v>46052</v>
      </c>
      <c r="H34" s="1">
        <v>1</v>
      </c>
      <c r="I34" s="11">
        <f>IF(ISBLANK(DirtyData35[[#This Row],[Age]]),1,0)</f>
        <v>0</v>
      </c>
    </row>
    <row r="35" spans="1:9" x14ac:dyDescent="0.25">
      <c r="A35" s="1">
        <v>134</v>
      </c>
      <c r="B35" s="4" t="s">
        <v>41</v>
      </c>
      <c r="C35" s="12">
        <f>IF(ISBLANK(DirtyData[[#This Row],[Age]]), AVERAGE(DirtyData[Age]),DirtyData[[#This Row],[Age]])</f>
        <v>24.170212765957448</v>
      </c>
      <c r="D35" s="1">
        <v>96037</v>
      </c>
      <c r="E35" s="13" t="str">
        <f>IF(ISBLANK(DirtyData[[#This Row],[Department]]),"Unknown",DirtyData[[#This Row],[Department]])</f>
        <v>Scientist</v>
      </c>
      <c r="F35" s="12">
        <f>IF(ISBLANK(DirtyData[[#This Row],[Score]]),AVERAGE(DirtyData[Score]),DirtyData[[#This Row],[Score]])</f>
        <v>65.5</v>
      </c>
      <c r="G35" s="3">
        <v>46052</v>
      </c>
      <c r="H35" s="1">
        <v>1</v>
      </c>
      <c r="I35" s="11">
        <f>IF(ISBLANK(DirtyData35[[#This Row],[Age]]),1,0)</f>
        <v>0</v>
      </c>
    </row>
    <row r="36" spans="1:9" x14ac:dyDescent="0.25">
      <c r="A36" s="1">
        <v>135</v>
      </c>
      <c r="B36" s="2" t="s">
        <v>42</v>
      </c>
      <c r="C36" s="12">
        <f>IF(ISBLANK(DirtyData[[#This Row],[Age]]), AVERAGE(DirtyData[Age]),DirtyData[[#This Row],[Age]])</f>
        <v>21</v>
      </c>
      <c r="D36" s="1">
        <v>78861</v>
      </c>
      <c r="E36" s="13" t="str">
        <f>IF(ISBLANK(DirtyData[[#This Row],[Department]]),"Unknown",DirtyData[[#This Row],[Department]])</f>
        <v>Unknown</v>
      </c>
      <c r="F36" s="12">
        <f>IF(ISBLANK(DirtyData[[#This Row],[Score]]),AVERAGE(DirtyData[Score]),DirtyData[[#This Row],[Score]])</f>
        <v>63</v>
      </c>
      <c r="G36" s="3">
        <v>46052</v>
      </c>
      <c r="H36" s="1">
        <v>0</v>
      </c>
      <c r="I36" s="11">
        <f>IF(ISBLANK(DirtyData35[[#This Row],[Age]]),1,0)</f>
        <v>0</v>
      </c>
    </row>
    <row r="37" spans="1:9" x14ac:dyDescent="0.25">
      <c r="A37" s="1">
        <v>136</v>
      </c>
      <c r="B37" s="4" t="s">
        <v>43</v>
      </c>
      <c r="C37" s="12">
        <f>IF(ISBLANK(DirtyData[[#This Row],[Age]]), AVERAGE(DirtyData[Age]),DirtyData[[#This Row],[Age]])</f>
        <v>29</v>
      </c>
      <c r="D37" s="1"/>
      <c r="E37" s="13" t="str">
        <f>IF(ISBLANK(DirtyData[[#This Row],[Department]]),"Unknown",DirtyData[[#This Row],[Department]])</f>
        <v>Analyst</v>
      </c>
      <c r="F37" s="12">
        <f>IF(ISBLANK(DirtyData[[#This Row],[Score]]),AVERAGE(DirtyData[Score]),DirtyData[[#This Row],[Score]])</f>
        <v>31</v>
      </c>
      <c r="G37" s="3">
        <v>46052</v>
      </c>
      <c r="H37" s="1">
        <v>1</v>
      </c>
      <c r="I37" s="11">
        <f>IF(ISBLANK(DirtyData35[[#This Row],[Age]]),1,0)</f>
        <v>0</v>
      </c>
    </row>
    <row r="38" spans="1:9" x14ac:dyDescent="0.25">
      <c r="A38" s="1">
        <v>137</v>
      </c>
      <c r="B38" s="2" t="s">
        <v>44</v>
      </c>
      <c r="C38" s="12">
        <f>IF(ISBLANK(DirtyData[[#This Row],[Age]]), AVERAGE(DirtyData[Age]),DirtyData[[#This Row],[Age]])</f>
        <v>19</v>
      </c>
      <c r="D38" s="1">
        <v>83598</v>
      </c>
      <c r="E38" s="13" t="str">
        <f>IF(ISBLANK(DirtyData[[#This Row],[Department]]),"Unknown",DirtyData[[#This Row],[Department]])</f>
        <v>Unknown</v>
      </c>
      <c r="F38" s="12">
        <f>IF(ISBLANK(DirtyData[[#This Row],[Score]]),AVERAGE(DirtyData[Score]),DirtyData[[#This Row],[Score]])</f>
        <v>65.5</v>
      </c>
      <c r="G38" s="3">
        <v>46052</v>
      </c>
      <c r="H38" s="1">
        <v>1</v>
      </c>
      <c r="I38" s="11">
        <f>IF(ISBLANK(DirtyData35[[#This Row],[Age]]),1,0)</f>
        <v>0</v>
      </c>
    </row>
    <row r="39" spans="1:9" x14ac:dyDescent="0.25">
      <c r="A39" s="1">
        <v>138</v>
      </c>
      <c r="B39" s="4" t="s">
        <v>45</v>
      </c>
      <c r="C39" s="12">
        <f>IF(ISBLANK(DirtyData[[#This Row],[Age]]), AVERAGE(DirtyData[Age]),DirtyData[[#This Row],[Age]])</f>
        <v>29</v>
      </c>
      <c r="D39" s="1">
        <v>78343</v>
      </c>
      <c r="E39" s="13" t="str">
        <f>IF(ISBLANK(DirtyData[[#This Row],[Department]]),"Unknown",DirtyData[[#This Row],[Department]])</f>
        <v>Engineer</v>
      </c>
      <c r="F39" s="12">
        <f>IF(ISBLANK(DirtyData[[#This Row],[Score]]),AVERAGE(DirtyData[Score]),DirtyData[[#This Row],[Score]])</f>
        <v>84</v>
      </c>
      <c r="G39" s="3">
        <v>46052</v>
      </c>
      <c r="H39" s="1">
        <v>0</v>
      </c>
      <c r="I39" s="11">
        <f>IF(ISBLANK(DirtyData35[[#This Row],[Age]]),1,0)</f>
        <v>0</v>
      </c>
    </row>
    <row r="40" spans="1:9" x14ac:dyDescent="0.25">
      <c r="A40" s="1">
        <v>139</v>
      </c>
      <c r="B40" s="2" t="s">
        <v>46</v>
      </c>
      <c r="C40" s="12">
        <f>IF(ISBLANK(DirtyData[[#This Row],[Age]]), AVERAGE(DirtyData[Age]),DirtyData[[#This Row],[Age]])</f>
        <v>22</v>
      </c>
      <c r="D40" s="1">
        <v>63204</v>
      </c>
      <c r="E40" s="13" t="str">
        <f>IF(ISBLANK(DirtyData[[#This Row],[Department]]),"Unknown",DirtyData[[#This Row],[Department]])</f>
        <v>Engineer</v>
      </c>
      <c r="F40" s="12">
        <f>IF(ISBLANK(DirtyData[[#This Row],[Score]]),AVERAGE(DirtyData[Score]),DirtyData[[#This Row],[Score]])</f>
        <v>95</v>
      </c>
      <c r="G40" s="3">
        <v>46052</v>
      </c>
      <c r="H40" s="1">
        <v>0</v>
      </c>
      <c r="I40" s="11">
        <f>IF(ISBLANK(DirtyData35[[#This Row],[Age]]),1,0)</f>
        <v>0</v>
      </c>
    </row>
    <row r="41" spans="1:9" x14ac:dyDescent="0.25">
      <c r="A41" s="1">
        <v>140</v>
      </c>
      <c r="B41" s="4" t="s">
        <v>47</v>
      </c>
      <c r="C41" s="12">
        <f>IF(ISBLANK(DirtyData[[#This Row],[Age]]), AVERAGE(DirtyData[Age]),DirtyData[[#This Row],[Age]])</f>
        <v>28</v>
      </c>
      <c r="D41" s="1"/>
      <c r="E41" s="13" t="str">
        <f>IF(ISBLANK(DirtyData[[#This Row],[Department]]),"Unknown",DirtyData[[#This Row],[Department]])</f>
        <v>Engineer</v>
      </c>
      <c r="F41" s="12">
        <f>IF(ISBLANK(DirtyData[[#This Row],[Score]]),AVERAGE(DirtyData[Score]),DirtyData[[#This Row],[Score]])</f>
        <v>93</v>
      </c>
      <c r="G41" s="3">
        <v>46052</v>
      </c>
      <c r="H41" s="1">
        <v>0</v>
      </c>
      <c r="I41" s="11">
        <f>IF(ISBLANK(DirtyData35[[#This Row],[Age]]),1,0)</f>
        <v>0</v>
      </c>
    </row>
    <row r="42" spans="1:9" x14ac:dyDescent="0.25">
      <c r="A42" s="1">
        <v>141</v>
      </c>
      <c r="B42" s="2" t="s">
        <v>48</v>
      </c>
      <c r="C42" s="12">
        <f>IF(ISBLANK(DirtyData[[#This Row],[Age]]), AVERAGE(DirtyData[Age]),DirtyData[[#This Row],[Age]])</f>
        <v>23</v>
      </c>
      <c r="D42" s="1">
        <v>81422</v>
      </c>
      <c r="E42" s="13" t="str">
        <f>IF(ISBLANK(DirtyData[[#This Row],[Department]]),"Unknown",DirtyData[[#This Row],[Department]])</f>
        <v>Unknown</v>
      </c>
      <c r="F42" s="12">
        <f>IF(ISBLANK(DirtyData[[#This Row],[Score]]),AVERAGE(DirtyData[Score]),DirtyData[[#This Row],[Score]])</f>
        <v>65.5</v>
      </c>
      <c r="G42" s="3">
        <v>46052</v>
      </c>
      <c r="H42" s="1">
        <v>0</v>
      </c>
      <c r="I42" s="11">
        <f>IF(ISBLANK(DirtyData35[[#This Row],[Age]]),1,0)</f>
        <v>0</v>
      </c>
    </row>
    <row r="43" spans="1:9" x14ac:dyDescent="0.25">
      <c r="A43" s="1">
        <v>142</v>
      </c>
      <c r="B43" s="4" t="s">
        <v>49</v>
      </c>
      <c r="C43" s="12">
        <f>IF(ISBLANK(DirtyData[[#This Row],[Age]]), AVERAGE(DirtyData[Age]),DirtyData[[#This Row],[Age]])</f>
        <v>24.170212765957448</v>
      </c>
      <c r="D43" s="1">
        <v>76882</v>
      </c>
      <c r="E43" s="13" t="str">
        <f>IF(ISBLANK(DirtyData[[#This Row],[Department]]),"Unknown",DirtyData[[#This Row],[Department]])</f>
        <v>Developer</v>
      </c>
      <c r="F43" s="12">
        <f>IF(ISBLANK(DirtyData[[#This Row],[Score]]),AVERAGE(DirtyData[Score]),DirtyData[[#This Row],[Score]])</f>
        <v>42</v>
      </c>
      <c r="G43" s="3">
        <v>46052</v>
      </c>
      <c r="H43" s="1">
        <v>0</v>
      </c>
      <c r="I43" s="11">
        <f>IF(ISBLANK(DirtyData35[[#This Row],[Age]]),1,0)</f>
        <v>0</v>
      </c>
    </row>
    <row r="44" spans="1:9" x14ac:dyDescent="0.25">
      <c r="A44" s="1">
        <v>143</v>
      </c>
      <c r="B44" s="2" t="s">
        <v>50</v>
      </c>
      <c r="C44" s="12">
        <f>IF(ISBLANK(DirtyData[[#This Row],[Age]]), AVERAGE(DirtyData[Age]),DirtyData[[#This Row],[Age]])</f>
        <v>20</v>
      </c>
      <c r="D44" s="1">
        <v>67479</v>
      </c>
      <c r="E44" s="13" t="str">
        <f>IF(ISBLANK(DirtyData[[#This Row],[Department]]),"Unknown",DirtyData[[#This Row],[Department]])</f>
        <v>Unknown</v>
      </c>
      <c r="F44" s="12">
        <f>IF(ISBLANK(DirtyData[[#This Row],[Score]]),AVERAGE(DirtyData[Score]),DirtyData[[#This Row],[Score]])</f>
        <v>46</v>
      </c>
      <c r="G44" s="3">
        <v>46052</v>
      </c>
      <c r="H44" s="1">
        <v>1</v>
      </c>
      <c r="I44" s="11">
        <f>IF(ISBLANK(DirtyData35[[#This Row],[Age]]),1,0)</f>
        <v>0</v>
      </c>
    </row>
    <row r="45" spans="1:9" x14ac:dyDescent="0.25">
      <c r="A45" s="1">
        <v>144</v>
      </c>
      <c r="B45" s="4" t="s">
        <v>51</v>
      </c>
      <c r="C45" s="12">
        <f>IF(ISBLANK(DirtyData[[#This Row],[Age]]), AVERAGE(DirtyData[Age]),DirtyData[[#This Row],[Age]])</f>
        <v>27</v>
      </c>
      <c r="D45" s="1">
        <v>60126</v>
      </c>
      <c r="E45" s="13" t="str">
        <f>IF(ISBLANK(DirtyData[[#This Row],[Department]]),"Unknown",DirtyData[[#This Row],[Department]])</f>
        <v>Developer</v>
      </c>
      <c r="F45" s="12">
        <f>IF(ISBLANK(DirtyData[[#This Row],[Score]]),AVERAGE(DirtyData[Score]),DirtyData[[#This Row],[Score]])</f>
        <v>57</v>
      </c>
      <c r="G45" s="3">
        <v>46052</v>
      </c>
      <c r="H45" s="1">
        <v>1</v>
      </c>
      <c r="I45" s="11">
        <f>IF(ISBLANK(DirtyData35[[#This Row],[Age]]),1,0)</f>
        <v>0</v>
      </c>
    </row>
    <row r="46" spans="1:9" x14ac:dyDescent="0.25">
      <c r="A46" s="1">
        <v>145</v>
      </c>
      <c r="B46" s="2" t="s">
        <v>52</v>
      </c>
      <c r="C46" s="12">
        <f>IF(ISBLANK(DirtyData[[#This Row],[Age]]), AVERAGE(DirtyData[Age]),DirtyData[[#This Row],[Age]])</f>
        <v>24</v>
      </c>
      <c r="D46" s="1">
        <v>63626</v>
      </c>
      <c r="E46" s="13" t="str">
        <f>IF(ISBLANK(DirtyData[[#This Row],[Department]]),"Unknown",DirtyData[[#This Row],[Department]])</f>
        <v>Developer</v>
      </c>
      <c r="F46" s="12">
        <f>IF(ISBLANK(DirtyData[[#This Row],[Score]]),AVERAGE(DirtyData[Score]),DirtyData[[#This Row],[Score]])</f>
        <v>94</v>
      </c>
      <c r="G46" s="3">
        <v>46052</v>
      </c>
      <c r="H46" s="1">
        <v>1</v>
      </c>
      <c r="I46" s="11">
        <f>IF(ISBLANK(DirtyData35[[#This Row],[Age]]),1,0)</f>
        <v>0</v>
      </c>
    </row>
    <row r="47" spans="1:9" x14ac:dyDescent="0.25">
      <c r="A47" s="1">
        <v>146</v>
      </c>
      <c r="B47" s="4" t="s">
        <v>53</v>
      </c>
      <c r="C47" s="12">
        <f>IF(ISBLANK(DirtyData[[#This Row],[Age]]), AVERAGE(DirtyData[Age]),DirtyData[[#This Row],[Age]])</f>
        <v>27</v>
      </c>
      <c r="D47" s="1"/>
      <c r="E47" s="13" t="str">
        <f>IF(ISBLANK(DirtyData[[#This Row],[Department]]),"Unknown",DirtyData[[#This Row],[Department]])</f>
        <v>Unknown</v>
      </c>
      <c r="F47" s="12">
        <f>IF(ISBLANK(DirtyData[[#This Row],[Score]]),AVERAGE(DirtyData[Score]),DirtyData[[#This Row],[Score]])</f>
        <v>39</v>
      </c>
      <c r="G47" s="3">
        <v>46052</v>
      </c>
      <c r="H47" s="1">
        <v>0</v>
      </c>
      <c r="I47" s="11">
        <f>IF(ISBLANK(DirtyData35[[#This Row],[Age]]),1,0)</f>
        <v>0</v>
      </c>
    </row>
    <row r="48" spans="1:9" x14ac:dyDescent="0.25">
      <c r="A48" s="1">
        <v>147</v>
      </c>
      <c r="B48" s="2" t="s">
        <v>54</v>
      </c>
      <c r="C48" s="12">
        <f>IF(ISBLANK(DirtyData[[#This Row],[Age]]), AVERAGE(DirtyData[Age]),DirtyData[[#This Row],[Age]])</f>
        <v>24</v>
      </c>
      <c r="D48" s="1"/>
      <c r="E48" s="13" t="str">
        <f>IF(ISBLANK(DirtyData[[#This Row],[Department]]),"Unknown",DirtyData[[#This Row],[Department]])</f>
        <v>Developer</v>
      </c>
      <c r="F48" s="12">
        <f>IF(ISBLANK(DirtyData[[#This Row],[Score]]),AVERAGE(DirtyData[Score]),DirtyData[[#This Row],[Score]])</f>
        <v>83</v>
      </c>
      <c r="G48" s="3">
        <v>46052</v>
      </c>
      <c r="H48" s="1">
        <v>0</v>
      </c>
      <c r="I48" s="11">
        <f>IF(ISBLANK(DirtyData35[[#This Row],[Age]]),1,0)</f>
        <v>0</v>
      </c>
    </row>
    <row r="49" spans="1:9" x14ac:dyDescent="0.25">
      <c r="A49" s="1">
        <v>148</v>
      </c>
      <c r="B49" s="4" t="s">
        <v>55</v>
      </c>
      <c r="C49" s="12">
        <f>IF(ISBLANK(DirtyData[[#This Row],[Age]]), AVERAGE(DirtyData[Age]),DirtyData[[#This Row],[Age]])</f>
        <v>24.170212765957448</v>
      </c>
      <c r="D49" s="1">
        <v>65633</v>
      </c>
      <c r="E49" s="13" t="str">
        <f>IF(ISBLANK(DirtyData[[#This Row],[Department]]),"Unknown",DirtyData[[#This Row],[Department]])</f>
        <v>Unknown</v>
      </c>
      <c r="F49" s="12">
        <f>IF(ISBLANK(DirtyData[[#This Row],[Score]]),AVERAGE(DirtyData[Score]),DirtyData[[#This Row],[Score]])</f>
        <v>65.5</v>
      </c>
      <c r="G49" s="3">
        <v>46052</v>
      </c>
      <c r="H49" s="1">
        <v>1</v>
      </c>
      <c r="I49" s="11">
        <f>IF(ISBLANK(DirtyData35[[#This Row],[Age]]),1,0)</f>
        <v>0</v>
      </c>
    </row>
    <row r="50" spans="1:9" x14ac:dyDescent="0.25">
      <c r="A50" s="1">
        <v>149</v>
      </c>
      <c r="B50" s="2" t="s">
        <v>56</v>
      </c>
      <c r="C50" s="12">
        <f>IF(ISBLANK(DirtyData[[#This Row],[Age]]), AVERAGE(DirtyData[Age]),DirtyData[[#This Row],[Age]])</f>
        <v>27</v>
      </c>
      <c r="D50" s="1">
        <v>85793</v>
      </c>
      <c r="E50" s="13" t="str">
        <f>IF(ISBLANK(DirtyData[[#This Row],[Department]]),"Unknown",DirtyData[[#This Row],[Department]])</f>
        <v>Scientist</v>
      </c>
      <c r="F50" s="12">
        <f>IF(ISBLANK(DirtyData[[#This Row],[Score]]),AVERAGE(DirtyData[Score]),DirtyData[[#This Row],[Score]])</f>
        <v>62</v>
      </c>
      <c r="G50" s="3">
        <v>46052</v>
      </c>
      <c r="H50" s="1">
        <v>0</v>
      </c>
      <c r="I50" s="11">
        <f>IF(ISBLANK(DirtyData35[[#This Row],[Age]]),1,0)</f>
        <v>0</v>
      </c>
    </row>
    <row r="51" spans="1:9" x14ac:dyDescent="0.25">
      <c r="A51" s="1">
        <v>150</v>
      </c>
      <c r="B51" s="4" t="s">
        <v>56</v>
      </c>
      <c r="C51" s="12">
        <f>IF(ISBLANK(DirtyData[[#This Row],[Age]]), AVERAGE(DirtyData[Age]),DirtyData[[#This Row],[Age]])</f>
        <v>25</v>
      </c>
      <c r="D51" s="1">
        <v>91285</v>
      </c>
      <c r="E51" s="13" t="str">
        <f>IF(ISBLANK(DirtyData[[#This Row],[Department]]),"Unknown",DirtyData[[#This Row],[Department]])</f>
        <v>Scientist</v>
      </c>
      <c r="F51" s="12">
        <f>IF(ISBLANK(DirtyData[[#This Row],[Score]]),AVERAGE(DirtyData[Score]),DirtyData[[#This Row],[Score]])</f>
        <v>87</v>
      </c>
      <c r="G51" s="3">
        <v>46052</v>
      </c>
      <c r="H51" s="1">
        <v>1</v>
      </c>
      <c r="I51" s="11">
        <f>IF(ISBLANK(DirtyData35[[#This Row],[Age]]),1,0)</f>
        <v>0</v>
      </c>
    </row>
    <row r="52" spans="1:9" x14ac:dyDescent="0.25">
      <c r="A52" s="1">
        <v>151</v>
      </c>
      <c r="B52" s="2" t="s">
        <v>57</v>
      </c>
      <c r="C52" s="12">
        <f>IF(ISBLANK(DirtyData[[#This Row],[Age]]), AVERAGE(DirtyData[Age]),DirtyData[[#This Row],[Age]])</f>
        <v>24.170212765957448</v>
      </c>
      <c r="D52" s="1">
        <v>82320</v>
      </c>
      <c r="E52" s="13" t="str">
        <f>IF(ISBLANK(DirtyData[[#This Row],[Department]]),"Unknown",DirtyData[[#This Row],[Department]])</f>
        <v>Developer</v>
      </c>
      <c r="F52" s="12">
        <f>IF(ISBLANK(DirtyData[[#This Row],[Score]]),AVERAGE(DirtyData[Score]),DirtyData[[#This Row],[Score]])</f>
        <v>65.5</v>
      </c>
      <c r="G52" s="3">
        <v>46052</v>
      </c>
      <c r="H52" s="1">
        <v>1</v>
      </c>
      <c r="I52" s="11">
        <f>IF(ISBLANK(DirtyData35[[#This Row],[Age]]),1,0)</f>
        <v>0</v>
      </c>
    </row>
    <row r="53" spans="1:9" x14ac:dyDescent="0.25">
      <c r="A53" s="1">
        <v>152</v>
      </c>
      <c r="B53" s="4" t="s">
        <v>58</v>
      </c>
      <c r="C53" s="12">
        <f>IF(ISBLANK(DirtyData[[#This Row],[Age]]), AVERAGE(DirtyData[Age]),DirtyData[[#This Row],[Age]])</f>
        <v>19</v>
      </c>
      <c r="D53" s="1">
        <v>78969</v>
      </c>
      <c r="E53" s="13" t="str">
        <f>IF(ISBLANK(DirtyData[[#This Row],[Department]]),"Unknown",DirtyData[[#This Row],[Department]])</f>
        <v>Analyst</v>
      </c>
      <c r="F53" s="12">
        <f>IF(ISBLANK(DirtyData[[#This Row],[Score]]),AVERAGE(DirtyData[Score]),DirtyData[[#This Row],[Score]])</f>
        <v>44</v>
      </c>
      <c r="G53" s="3">
        <v>46052</v>
      </c>
      <c r="H53" s="1">
        <v>0</v>
      </c>
      <c r="I53" s="11">
        <f>IF(ISBLANK(DirtyData35[[#This Row],[Age]]),1,0)</f>
        <v>0</v>
      </c>
    </row>
    <row r="54" spans="1:9" x14ac:dyDescent="0.25">
      <c r="A54" s="1">
        <v>153</v>
      </c>
      <c r="B54" s="2" t="s">
        <v>59</v>
      </c>
      <c r="C54" s="12">
        <f>IF(ISBLANK(DirtyData[[#This Row],[Age]]), AVERAGE(DirtyData[Age]),DirtyData[[#This Row],[Age]])</f>
        <v>21</v>
      </c>
      <c r="D54" s="1"/>
      <c r="E54" s="13" t="str">
        <f>IF(ISBLANK(DirtyData[[#This Row],[Department]]),"Unknown",DirtyData[[#This Row],[Department]])</f>
        <v>Unknown</v>
      </c>
      <c r="F54" s="12">
        <f>IF(ISBLANK(DirtyData[[#This Row],[Score]]),AVERAGE(DirtyData[Score]),DirtyData[[#This Row],[Score]])</f>
        <v>47</v>
      </c>
      <c r="G54" s="3">
        <v>46052</v>
      </c>
      <c r="H54" s="1">
        <v>1</v>
      </c>
      <c r="I54" s="11">
        <f>IF(ISBLANK(DirtyData35[[#This Row],[Age]]),1,0)</f>
        <v>0</v>
      </c>
    </row>
    <row r="55" spans="1:9" x14ac:dyDescent="0.25">
      <c r="A55" s="1">
        <v>154</v>
      </c>
      <c r="B55" s="4" t="s">
        <v>60</v>
      </c>
      <c r="C55" s="12">
        <f>IF(ISBLANK(DirtyData[[#This Row],[Age]]), AVERAGE(DirtyData[Age]),DirtyData[[#This Row],[Age]])</f>
        <v>25</v>
      </c>
      <c r="D55" s="1">
        <v>89845</v>
      </c>
      <c r="E55" s="13" t="str">
        <f>IF(ISBLANK(DirtyData[[#This Row],[Department]]),"Unknown",DirtyData[[#This Row],[Department]])</f>
        <v>Scientist</v>
      </c>
      <c r="F55" s="12">
        <f>IF(ISBLANK(DirtyData[[#This Row],[Score]]),AVERAGE(DirtyData[Score]),DirtyData[[#This Row],[Score]])</f>
        <v>80</v>
      </c>
      <c r="G55" s="3">
        <v>46052</v>
      </c>
      <c r="H55" s="1">
        <v>0</v>
      </c>
      <c r="I55" s="11">
        <f>IF(ISBLANK(DirtyData35[[#This Row],[Age]]),1,0)</f>
        <v>0</v>
      </c>
    </row>
    <row r="56" spans="1:9" x14ac:dyDescent="0.25">
      <c r="A56" s="1">
        <v>155</v>
      </c>
      <c r="B56" s="2" t="s">
        <v>61</v>
      </c>
      <c r="C56" s="12">
        <f>IF(ISBLANK(DirtyData[[#This Row],[Age]]), AVERAGE(DirtyData[Age]),DirtyData[[#This Row],[Age]])</f>
        <v>30</v>
      </c>
      <c r="D56" s="1">
        <v>65364</v>
      </c>
      <c r="E56" s="13" t="str">
        <f>IF(ISBLANK(DirtyData[[#This Row],[Department]]),"Unknown",DirtyData[[#This Row],[Department]])</f>
        <v>Scientist</v>
      </c>
      <c r="F56" s="12">
        <f>IF(ISBLANK(DirtyData[[#This Row],[Score]]),AVERAGE(DirtyData[Score]),DirtyData[[#This Row],[Score]])</f>
        <v>65.5</v>
      </c>
      <c r="G56" s="3">
        <v>46052</v>
      </c>
      <c r="H56" s="1">
        <v>0</v>
      </c>
      <c r="I56" s="11">
        <f>IF(ISBLANK(DirtyData35[[#This Row],[Age]]),1,0)</f>
        <v>0</v>
      </c>
    </row>
    <row r="57" spans="1:9" x14ac:dyDescent="0.25">
      <c r="A57" s="1">
        <v>156</v>
      </c>
      <c r="B57" s="4" t="s">
        <v>62</v>
      </c>
      <c r="C57" s="12">
        <f>IF(ISBLANK(DirtyData[[#This Row],[Age]]), AVERAGE(DirtyData[Age]),DirtyData[[#This Row],[Age]])</f>
        <v>24</v>
      </c>
      <c r="D57" s="1">
        <v>81150</v>
      </c>
      <c r="E57" s="13" t="str">
        <f>IF(ISBLANK(DirtyData[[#This Row],[Department]]),"Unknown",DirtyData[[#This Row],[Department]])</f>
        <v>Developer</v>
      </c>
      <c r="F57" s="12">
        <f>IF(ISBLANK(DirtyData[[#This Row],[Score]]),AVERAGE(DirtyData[Score]),DirtyData[[#This Row],[Score]])</f>
        <v>56</v>
      </c>
      <c r="G57" s="3">
        <v>46052</v>
      </c>
      <c r="H57" s="1">
        <v>1</v>
      </c>
      <c r="I57" s="11">
        <f>IF(ISBLANK(DirtyData35[[#This Row],[Age]]),1,0)</f>
        <v>0</v>
      </c>
    </row>
    <row r="58" spans="1:9" x14ac:dyDescent="0.25">
      <c r="A58" s="1">
        <v>157</v>
      </c>
      <c r="B58" s="2" t="s">
        <v>63</v>
      </c>
      <c r="C58" s="12">
        <f>IF(ISBLANK(DirtyData[[#This Row],[Age]]), AVERAGE(DirtyData[Age]),DirtyData[[#This Row],[Age]])</f>
        <v>20</v>
      </c>
      <c r="D58" s="1"/>
      <c r="E58" s="13" t="str">
        <f>IF(ISBLANK(DirtyData[[#This Row],[Department]]),"Unknown",DirtyData[[#This Row],[Department]])</f>
        <v>Unknown</v>
      </c>
      <c r="F58" s="12">
        <f>IF(ISBLANK(DirtyData[[#This Row],[Score]]),AVERAGE(DirtyData[Score]),DirtyData[[#This Row],[Score]])</f>
        <v>43</v>
      </c>
      <c r="G58" s="3">
        <v>46052</v>
      </c>
      <c r="H58" s="1">
        <v>1</v>
      </c>
      <c r="I58" s="11">
        <f>IF(ISBLANK(DirtyData35[[#This Row],[Age]]),1,0)</f>
        <v>0</v>
      </c>
    </row>
    <row r="59" spans="1:9" x14ac:dyDescent="0.25">
      <c r="A59" s="1">
        <v>158</v>
      </c>
      <c r="B59" s="4" t="s">
        <v>64</v>
      </c>
      <c r="C59" s="12">
        <f>IF(ISBLANK(DirtyData[[#This Row],[Age]]), AVERAGE(DirtyData[Age]),DirtyData[[#This Row],[Age]])</f>
        <v>19</v>
      </c>
      <c r="D59" s="1">
        <v>71295</v>
      </c>
      <c r="E59" s="13" t="str">
        <f>IF(ISBLANK(DirtyData[[#This Row],[Department]]),"Unknown",DirtyData[[#This Row],[Department]])</f>
        <v>Engineer</v>
      </c>
      <c r="F59" s="12">
        <f>IF(ISBLANK(DirtyData[[#This Row],[Score]]),AVERAGE(DirtyData[Score]),DirtyData[[#This Row],[Score]])</f>
        <v>30</v>
      </c>
      <c r="G59" s="3">
        <v>46052</v>
      </c>
      <c r="H59" s="1">
        <v>0</v>
      </c>
      <c r="I59" s="11">
        <f>IF(ISBLANK(DirtyData35[[#This Row],[Age]]),1,0)</f>
        <v>0</v>
      </c>
    </row>
    <row r="60" spans="1:9" x14ac:dyDescent="0.25">
      <c r="A60" s="1">
        <v>159</v>
      </c>
      <c r="B60" s="2" t="s">
        <v>65</v>
      </c>
      <c r="C60" s="12">
        <f>IF(ISBLANK(DirtyData[[#This Row],[Age]]), AVERAGE(DirtyData[Age]),DirtyData[[#This Row],[Age]])</f>
        <v>24.170212765957448</v>
      </c>
      <c r="D60" s="1">
        <v>67984</v>
      </c>
      <c r="E60" s="13" t="str">
        <f>IF(ISBLANK(DirtyData[[#This Row],[Department]]),"Unknown",DirtyData[[#This Row],[Department]])</f>
        <v>Scientist</v>
      </c>
      <c r="F60" s="12">
        <f>IF(ISBLANK(DirtyData[[#This Row],[Score]]),AVERAGE(DirtyData[Score]),DirtyData[[#This Row],[Score]])</f>
        <v>63</v>
      </c>
      <c r="G60" s="3">
        <v>46052</v>
      </c>
      <c r="H60" s="1">
        <v>1</v>
      </c>
      <c r="I60" s="11">
        <f>IF(ISBLANK(DirtyData35[[#This Row],[Age]]),1,0)</f>
        <v>0</v>
      </c>
    </row>
    <row r="61" spans="1:9" x14ac:dyDescent="0.25">
      <c r="A61" s="1">
        <v>160</v>
      </c>
      <c r="B61" s="4" t="s">
        <v>66</v>
      </c>
      <c r="C61" s="12">
        <f>IF(ISBLANK(DirtyData[[#This Row],[Age]]), AVERAGE(DirtyData[Age]),DirtyData[[#This Row],[Age]])</f>
        <v>23</v>
      </c>
      <c r="D61" s="1">
        <v>61922</v>
      </c>
      <c r="E61" s="13" t="str">
        <f>IF(ISBLANK(DirtyData[[#This Row],[Department]]),"Unknown",DirtyData[[#This Row],[Department]])</f>
        <v>Unknown</v>
      </c>
      <c r="F61" s="12">
        <f>IF(ISBLANK(DirtyData[[#This Row],[Score]]),AVERAGE(DirtyData[Score]),DirtyData[[#This Row],[Score]])</f>
        <v>76</v>
      </c>
      <c r="G61" s="3">
        <v>46052</v>
      </c>
      <c r="H61" s="1">
        <v>0</v>
      </c>
      <c r="I61" s="11">
        <f>IF(ISBLANK(DirtyData35[[#This Row],[Age]]),1,0)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4255-7996-4965-9E23-27C004D5241C}">
  <dimension ref="A1:N61"/>
  <sheetViews>
    <sheetView workbookViewId="0">
      <selection activeCell="N1" sqref="N1"/>
    </sheetView>
  </sheetViews>
  <sheetFormatPr defaultRowHeight="15" x14ac:dyDescent="0.25"/>
  <cols>
    <col min="1" max="1" width="15.140625" bestFit="1" customWidth="1"/>
    <col min="2" max="2" width="11.85546875" bestFit="1" customWidth="1"/>
    <col min="3" max="3" width="9.5703125" bestFit="1" customWidth="1"/>
    <col min="4" max="4" width="12.5703125" bestFit="1" customWidth="1"/>
    <col min="5" max="5" width="16.7109375" bestFit="1" customWidth="1"/>
    <col min="6" max="6" width="10.85546875" bestFit="1" customWidth="1"/>
    <col min="7" max="7" width="13.85546875" bestFit="1" customWidth="1"/>
    <col min="8" max="8" width="22.28515625" bestFit="1" customWidth="1"/>
    <col min="9" max="9" width="16.85546875" bestFit="1" customWidth="1"/>
    <col min="10" max="10" width="11" bestFit="1" customWidth="1"/>
    <col min="11" max="11" width="14" bestFit="1" customWidth="1"/>
    <col min="12" max="12" width="11.85546875" bestFit="1" customWidth="1"/>
    <col min="13" max="13" width="11" bestFit="1" customWidth="1"/>
    <col min="14" max="14" width="11.28515625" bestFit="1" customWidth="1"/>
  </cols>
  <sheetData>
    <row r="1" spans="1:14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8" t="s">
        <v>71</v>
      </c>
      <c r="J1" s="8" t="s">
        <v>73</v>
      </c>
      <c r="K1" s="8" t="s">
        <v>74</v>
      </c>
      <c r="L1" s="9" t="s">
        <v>75</v>
      </c>
      <c r="M1" s="9" t="s">
        <v>76</v>
      </c>
      <c r="N1" s="9" t="s">
        <v>77</v>
      </c>
    </row>
    <row r="2" spans="1:14" x14ac:dyDescent="0.25">
      <c r="A2" s="1">
        <v>101</v>
      </c>
      <c r="B2" s="2" t="s">
        <v>8</v>
      </c>
      <c r="C2" s="12">
        <f>IF(ISBLANK(DirtyData[[#This Row],[Age]]), AVERAGE(DirtyData[Age]),DirtyData[[#This Row],[Age]])</f>
        <v>25</v>
      </c>
      <c r="D2" s="1">
        <v>99169</v>
      </c>
      <c r="E2" s="16" t="s">
        <v>67</v>
      </c>
      <c r="F2" s="12">
        <f>IF(ISBLANK(DirtyData[[#This Row],[Score]]),AVERAGE(DirtyData[Score]),DirtyData[[#This Row],[Score]])</f>
        <v>65</v>
      </c>
      <c r="G2" s="3">
        <v>46052</v>
      </c>
      <c r="H2" s="16" t="str">
        <f ca="1">IF(DirtyData37[[#This Row],[Churned (Yes/No)]]=1,"Yes","No")</f>
        <v>Yes</v>
      </c>
      <c r="I2" s="11">
        <f>IF(ISBLANK(DirtyData37[[#This Row],[Age]]),1,0)</f>
        <v>0</v>
      </c>
      <c r="J2" s="11">
        <f>IF(DirtyData37[[#This Row],[Department]]="Engineer",1,0)</f>
        <v>1</v>
      </c>
      <c r="K2" s="11">
        <f>IF(DirtyData37[[#This Row],[Department]]="Analyst",1,0)</f>
        <v>0</v>
      </c>
      <c r="L2" s="11">
        <f>IF(DirtyData37[[#This Row],[Department]]="Developer",1,0)</f>
        <v>0</v>
      </c>
      <c r="M2" s="11">
        <f>IF(DirtyData37[[#This Row],[Department]]="Scientist",1,0)</f>
        <v>0</v>
      </c>
      <c r="N2" s="16">
        <f>DirtyData37[[#This Row],[Is_Eng]]+DirtyData37[[#This Row],[Is_Analyst]]+DirtyData37[[#This Row],[Is_Dev]]+DirtyData37[[#This Row],[Is_Sci]]</f>
        <v>1</v>
      </c>
    </row>
    <row r="3" spans="1:14" x14ac:dyDescent="0.25">
      <c r="A3" s="1">
        <v>102</v>
      </c>
      <c r="B3" s="4" t="s">
        <v>9</v>
      </c>
      <c r="C3" s="12">
        <f>IF(ISBLANK(DirtyData[[#This Row],[Age]]), AVERAGE(DirtyData[Age]),DirtyData[[#This Row],[Age]])</f>
        <v>24.170212765957448</v>
      </c>
      <c r="D3" s="1">
        <v>89524</v>
      </c>
      <c r="E3" s="16" t="s">
        <v>67</v>
      </c>
      <c r="F3" s="12">
        <f>IF(ISBLANK(DirtyData[[#This Row],[Score]]),AVERAGE(DirtyData[Score]),DirtyData[[#This Row],[Score]])</f>
        <v>98</v>
      </c>
      <c r="G3" s="3">
        <v>46052</v>
      </c>
      <c r="H3" s="16" t="str">
        <f ca="1">IF(DirtyData37[[#This Row],[Churned (Yes/No)]]=1,"Yes","No")</f>
        <v>No</v>
      </c>
      <c r="I3" s="11">
        <f>IF(ISBLANK(DirtyData37[[#This Row],[Age]]),1,0)</f>
        <v>0</v>
      </c>
      <c r="J3" s="11">
        <f>IF(DirtyData37[[#This Row],[Department]]="Engineer",1,0)</f>
        <v>1</v>
      </c>
      <c r="K3" s="11">
        <f>IF(DirtyData37[[#This Row],[Department]]="Analyst",1,0)</f>
        <v>0</v>
      </c>
      <c r="L3" s="11">
        <f>IF(DirtyData37[[#This Row],[Department]]="Developer",1,0)</f>
        <v>0</v>
      </c>
      <c r="M3" s="11">
        <f>IF(DirtyData37[[#This Row],[Department]]="Scientist",1,0)</f>
        <v>0</v>
      </c>
      <c r="N3" s="16">
        <f>DirtyData37[[#This Row],[Is_Eng]]+DirtyData37[[#This Row],[Is_Analyst]]+DirtyData37[[#This Row],[Is_Dev]]+DirtyData37[[#This Row],[Is_Sci]]</f>
        <v>1</v>
      </c>
    </row>
    <row r="4" spans="1:14" x14ac:dyDescent="0.25">
      <c r="A4" s="1">
        <v>103</v>
      </c>
      <c r="B4" s="2" t="s">
        <v>10</v>
      </c>
      <c r="C4" s="12">
        <f>IF(ISBLANK(DirtyData[[#This Row],[Age]]), AVERAGE(DirtyData[Age]),DirtyData[[#This Row],[Age]])</f>
        <v>29</v>
      </c>
      <c r="D4" s="1"/>
      <c r="E4" s="16" t="s">
        <v>69</v>
      </c>
      <c r="F4" s="12">
        <f>IF(ISBLANK(DirtyData[[#This Row],[Score]]),AVERAGE(DirtyData[Score]),DirtyData[[#This Row],[Score]])</f>
        <v>92</v>
      </c>
      <c r="G4" s="3">
        <v>46052</v>
      </c>
      <c r="H4" s="16" t="str">
        <f ca="1">IF(DirtyData37[[#This Row],[Churned (Yes/No)]]=1,"Yes","No")</f>
        <v>Yes</v>
      </c>
      <c r="I4" s="11">
        <f>IF(ISBLANK(DirtyData37[[#This Row],[Age]]),1,0)</f>
        <v>0</v>
      </c>
      <c r="J4" s="11">
        <f>IF(DirtyData37[[#This Row],[Department]]="Engineer",1,0)</f>
        <v>0</v>
      </c>
      <c r="K4" s="11">
        <f>IF(DirtyData37[[#This Row],[Department]]="Analyst",1,0)</f>
        <v>1</v>
      </c>
      <c r="L4" s="11">
        <f>IF(DirtyData37[[#This Row],[Department]]="Developer",1,0)</f>
        <v>0</v>
      </c>
      <c r="M4" s="11">
        <f>IF(DirtyData37[[#This Row],[Department]]="Scientist",1,0)</f>
        <v>0</v>
      </c>
      <c r="N4" s="16">
        <f>DirtyData37[[#This Row],[Is_Eng]]+DirtyData37[[#This Row],[Is_Analyst]]+DirtyData37[[#This Row],[Is_Dev]]+DirtyData37[[#This Row],[Is_Sci]]</f>
        <v>1</v>
      </c>
    </row>
    <row r="5" spans="1:14" x14ac:dyDescent="0.25">
      <c r="A5" s="1">
        <v>104</v>
      </c>
      <c r="B5" s="4" t="s">
        <v>11</v>
      </c>
      <c r="C5" s="12">
        <f>IF(ISBLANK(DirtyData[[#This Row],[Age]]), AVERAGE(DirtyData[Age]),DirtyData[[#This Row],[Age]])</f>
        <v>25</v>
      </c>
      <c r="D5" s="1">
        <v>99194</v>
      </c>
      <c r="E5" s="16" t="s">
        <v>70</v>
      </c>
      <c r="F5" s="12">
        <f>IF(ISBLANK(DirtyData[[#This Row],[Score]]),AVERAGE(DirtyData[Score]),DirtyData[[#This Row],[Score]])</f>
        <v>63</v>
      </c>
      <c r="G5" s="3">
        <v>46052</v>
      </c>
      <c r="H5" s="16" t="str">
        <f ca="1">IF(DirtyData37[[#This Row],[Churned (Yes/No)]]=1,"Yes","No")</f>
        <v>No</v>
      </c>
      <c r="I5" s="11">
        <f>IF(ISBLANK(DirtyData37[[#This Row],[Age]]),1,0)</f>
        <v>0</v>
      </c>
      <c r="J5" s="11">
        <f>IF(DirtyData37[[#This Row],[Department]]="Engineer",1,0)</f>
        <v>0</v>
      </c>
      <c r="K5" s="11">
        <f>IF(DirtyData37[[#This Row],[Department]]="Analyst",1,0)</f>
        <v>0</v>
      </c>
      <c r="L5" s="11">
        <f>IF(DirtyData37[[#This Row],[Department]]="Developer",1,0)</f>
        <v>1</v>
      </c>
      <c r="M5" s="11">
        <f>IF(DirtyData37[[#This Row],[Department]]="Scientist",1,0)</f>
        <v>0</v>
      </c>
      <c r="N5" s="16">
        <f>DirtyData37[[#This Row],[Is_Eng]]+DirtyData37[[#This Row],[Is_Analyst]]+DirtyData37[[#This Row],[Is_Dev]]+DirtyData37[[#This Row],[Is_Sci]]</f>
        <v>1</v>
      </c>
    </row>
    <row r="6" spans="1:14" x14ac:dyDescent="0.25">
      <c r="A6" s="1">
        <v>105</v>
      </c>
      <c r="B6" s="2" t="s">
        <v>12</v>
      </c>
      <c r="C6" s="12">
        <f>IF(ISBLANK(DirtyData[[#This Row],[Age]]), AVERAGE(DirtyData[Age]),DirtyData[[#This Row],[Age]])</f>
        <v>25</v>
      </c>
      <c r="D6" s="1">
        <v>71480</v>
      </c>
      <c r="E6" s="16" t="s">
        <v>70</v>
      </c>
      <c r="F6" s="12">
        <f>IF(ISBLANK(DirtyData[[#This Row],[Score]]),AVERAGE(DirtyData[Score]),DirtyData[[#This Row],[Score]])</f>
        <v>65.5</v>
      </c>
      <c r="G6" s="3">
        <v>46052</v>
      </c>
      <c r="H6" s="16" t="str">
        <f ca="1">IF(DirtyData37[[#This Row],[Churned (Yes/No)]]=1,"Yes","No")</f>
        <v>Yes</v>
      </c>
      <c r="I6" s="11">
        <f>IF(ISBLANK(DirtyData37[[#This Row],[Age]]),1,0)</f>
        <v>0</v>
      </c>
      <c r="J6" s="11">
        <f>IF(DirtyData37[[#This Row],[Department]]="Engineer",1,0)</f>
        <v>0</v>
      </c>
      <c r="K6" s="11">
        <f>IF(DirtyData37[[#This Row],[Department]]="Analyst",1,0)</f>
        <v>0</v>
      </c>
      <c r="L6" s="11">
        <f>IF(DirtyData37[[#This Row],[Department]]="Developer",1,0)</f>
        <v>1</v>
      </c>
      <c r="M6" s="11">
        <f>IF(DirtyData37[[#This Row],[Department]]="Scientist",1,0)</f>
        <v>0</v>
      </c>
      <c r="N6" s="16">
        <f>DirtyData37[[#This Row],[Is_Eng]]+DirtyData37[[#This Row],[Is_Analyst]]+DirtyData37[[#This Row],[Is_Dev]]+DirtyData37[[#This Row],[Is_Sci]]</f>
        <v>1</v>
      </c>
    </row>
    <row r="7" spans="1:14" x14ac:dyDescent="0.25">
      <c r="A7" s="1">
        <v>106</v>
      </c>
      <c r="B7" s="4" t="s">
        <v>13</v>
      </c>
      <c r="C7" s="12">
        <f>IF(ISBLANK(DirtyData[[#This Row],[Age]]), AVERAGE(DirtyData[Age]),DirtyData[[#This Row],[Age]])</f>
        <v>18</v>
      </c>
      <c r="D7" s="1"/>
      <c r="E7" s="16" t="s">
        <v>67</v>
      </c>
      <c r="F7" s="12">
        <f>IF(ISBLANK(DirtyData[[#This Row],[Score]]),AVERAGE(DirtyData[Score]),DirtyData[[#This Row],[Score]])</f>
        <v>65.5</v>
      </c>
      <c r="G7" s="3">
        <v>46052</v>
      </c>
      <c r="H7" s="16" t="str">
        <f ca="1">IF(DirtyData37[[#This Row],[Churned (Yes/No)]]=1,"Yes","No")</f>
        <v>No</v>
      </c>
      <c r="I7" s="11">
        <f>IF(ISBLANK(DirtyData37[[#This Row],[Age]]),1,0)</f>
        <v>0</v>
      </c>
      <c r="J7" s="11">
        <f>IF(DirtyData37[[#This Row],[Department]]="Engineer",1,0)</f>
        <v>1</v>
      </c>
      <c r="K7" s="11">
        <f>IF(DirtyData37[[#This Row],[Department]]="Analyst",1,0)</f>
        <v>0</v>
      </c>
      <c r="L7" s="11">
        <f>IF(DirtyData37[[#This Row],[Department]]="Developer",1,0)</f>
        <v>0</v>
      </c>
      <c r="M7" s="11">
        <f>IF(DirtyData37[[#This Row],[Department]]="Scientist",1,0)</f>
        <v>0</v>
      </c>
      <c r="N7" s="16">
        <f>DirtyData37[[#This Row],[Is_Eng]]+DirtyData37[[#This Row],[Is_Analyst]]+DirtyData37[[#This Row],[Is_Dev]]+DirtyData37[[#This Row],[Is_Sci]]</f>
        <v>1</v>
      </c>
    </row>
    <row r="8" spans="1:14" x14ac:dyDescent="0.25">
      <c r="A8" s="1">
        <v>107</v>
      </c>
      <c r="B8" s="2" t="s">
        <v>14</v>
      </c>
      <c r="C8" s="12">
        <f>IF(ISBLANK(DirtyData[[#This Row],[Age]]), AVERAGE(DirtyData[Age]),DirtyData[[#This Row],[Age]])</f>
        <v>28</v>
      </c>
      <c r="D8" s="1">
        <v>80839</v>
      </c>
      <c r="E8" s="16" t="s">
        <v>68</v>
      </c>
      <c r="F8" s="12">
        <f>IF(ISBLANK(DirtyData[[#This Row],[Score]]),AVERAGE(DirtyData[Score]),DirtyData[[#This Row],[Score]])</f>
        <v>33</v>
      </c>
      <c r="G8" s="3">
        <v>46052</v>
      </c>
      <c r="H8" s="16" t="str">
        <f ca="1">IF(DirtyData37[[#This Row],[Churned (Yes/No)]]=1,"Yes","No")</f>
        <v>No</v>
      </c>
      <c r="I8" s="11">
        <f>IF(ISBLANK(DirtyData37[[#This Row],[Age]]),1,0)</f>
        <v>0</v>
      </c>
      <c r="J8" s="11">
        <f>IF(DirtyData37[[#This Row],[Department]]="Engineer",1,0)</f>
        <v>0</v>
      </c>
      <c r="K8" s="11">
        <f>IF(DirtyData37[[#This Row],[Department]]="Analyst",1,0)</f>
        <v>0</v>
      </c>
      <c r="L8" s="11">
        <f>IF(DirtyData37[[#This Row],[Department]]="Developer",1,0)</f>
        <v>0</v>
      </c>
      <c r="M8" s="11">
        <f>IF(DirtyData37[[#This Row],[Department]]="Scientist",1,0)</f>
        <v>1</v>
      </c>
      <c r="N8" s="16">
        <f>DirtyData37[[#This Row],[Is_Eng]]+DirtyData37[[#This Row],[Is_Analyst]]+DirtyData37[[#This Row],[Is_Dev]]+DirtyData37[[#This Row],[Is_Sci]]</f>
        <v>1</v>
      </c>
    </row>
    <row r="9" spans="1:14" x14ac:dyDescent="0.25">
      <c r="A9" s="1">
        <v>108</v>
      </c>
      <c r="B9" s="4" t="s">
        <v>15</v>
      </c>
      <c r="C9" s="12">
        <f>IF(ISBLANK(DirtyData[[#This Row],[Age]]), AVERAGE(DirtyData[Age]),DirtyData[[#This Row],[Age]])</f>
        <v>21</v>
      </c>
      <c r="D9" s="1">
        <v>60827</v>
      </c>
      <c r="E9" s="16" t="s">
        <v>67</v>
      </c>
      <c r="F9" s="12">
        <f>IF(ISBLANK(DirtyData[[#This Row],[Score]]),AVERAGE(DirtyData[Score]),DirtyData[[#This Row],[Score]])</f>
        <v>65.5</v>
      </c>
      <c r="G9" s="3">
        <v>46052</v>
      </c>
      <c r="H9" s="16" t="str">
        <f ca="1">IF(DirtyData37[[#This Row],[Churned (Yes/No)]]=1,"Yes","No")</f>
        <v>No</v>
      </c>
      <c r="I9" s="11">
        <f>IF(ISBLANK(DirtyData37[[#This Row],[Age]]),1,0)</f>
        <v>0</v>
      </c>
      <c r="J9" s="11">
        <f>IF(DirtyData37[[#This Row],[Department]]="Engineer",1,0)</f>
        <v>1</v>
      </c>
      <c r="K9" s="11">
        <f>IF(DirtyData37[[#This Row],[Department]]="Analyst",1,0)</f>
        <v>0</v>
      </c>
      <c r="L9" s="11">
        <f>IF(DirtyData37[[#This Row],[Department]]="Developer",1,0)</f>
        <v>0</v>
      </c>
      <c r="M9" s="11">
        <f>IF(DirtyData37[[#This Row],[Department]]="Scientist",1,0)</f>
        <v>0</v>
      </c>
      <c r="N9" s="16">
        <f>DirtyData37[[#This Row],[Is_Eng]]+DirtyData37[[#This Row],[Is_Analyst]]+DirtyData37[[#This Row],[Is_Dev]]+DirtyData37[[#This Row],[Is_Sci]]</f>
        <v>1</v>
      </c>
    </row>
    <row r="10" spans="1:14" x14ac:dyDescent="0.25">
      <c r="A10" s="1">
        <v>109</v>
      </c>
      <c r="B10" s="2" t="s">
        <v>16</v>
      </c>
      <c r="C10" s="12">
        <f>IF(ISBLANK(DirtyData[[#This Row],[Age]]), AVERAGE(DirtyData[Age]),DirtyData[[#This Row],[Age]])</f>
        <v>24.170212765957448</v>
      </c>
      <c r="D10" s="1">
        <v>90022</v>
      </c>
      <c r="E10" s="16" t="s">
        <v>68</v>
      </c>
      <c r="F10" s="12">
        <f>IF(ISBLANK(DirtyData[[#This Row],[Score]]),AVERAGE(DirtyData[Score]),DirtyData[[#This Row],[Score]])</f>
        <v>54</v>
      </c>
      <c r="G10" s="3">
        <v>46052</v>
      </c>
      <c r="H10" s="16" t="str">
        <f ca="1">IF(DirtyData37[[#This Row],[Churned (Yes/No)]]=1,"Yes","No")</f>
        <v>Yes</v>
      </c>
      <c r="I10" s="11">
        <f>IF(ISBLANK(DirtyData37[[#This Row],[Age]]),1,0)</f>
        <v>0</v>
      </c>
      <c r="J10" s="11">
        <f>IF(DirtyData37[[#This Row],[Department]]="Engineer",1,0)</f>
        <v>0</v>
      </c>
      <c r="K10" s="11">
        <f>IF(DirtyData37[[#This Row],[Department]]="Analyst",1,0)</f>
        <v>0</v>
      </c>
      <c r="L10" s="11">
        <f>IF(DirtyData37[[#This Row],[Department]]="Developer",1,0)</f>
        <v>0</v>
      </c>
      <c r="M10" s="11">
        <f>IF(DirtyData37[[#This Row],[Department]]="Scientist",1,0)</f>
        <v>1</v>
      </c>
      <c r="N10" s="16">
        <f>DirtyData37[[#This Row],[Is_Eng]]+DirtyData37[[#This Row],[Is_Analyst]]+DirtyData37[[#This Row],[Is_Dev]]+DirtyData37[[#This Row],[Is_Sci]]</f>
        <v>1</v>
      </c>
    </row>
    <row r="11" spans="1:14" x14ac:dyDescent="0.25">
      <c r="A11" s="1">
        <v>110</v>
      </c>
      <c r="B11" s="4" t="s">
        <v>17</v>
      </c>
      <c r="C11" s="12">
        <f>IF(ISBLANK(DirtyData[[#This Row],[Age]]), AVERAGE(DirtyData[Age]),DirtyData[[#This Row],[Age]])</f>
        <v>21</v>
      </c>
      <c r="D11" s="1">
        <v>97746</v>
      </c>
      <c r="E11" s="16" t="s">
        <v>70</v>
      </c>
      <c r="F11" s="12">
        <f>IF(ISBLANK(DirtyData[[#This Row],[Score]]),AVERAGE(DirtyData[Score]),DirtyData[[#This Row],[Score]])</f>
        <v>50</v>
      </c>
      <c r="G11" s="3">
        <v>46052</v>
      </c>
      <c r="H11" s="16" t="str">
        <f ca="1">IF(DirtyData37[[#This Row],[Churned (Yes/No)]]=1,"Yes","No")</f>
        <v>Yes</v>
      </c>
      <c r="I11" s="11">
        <f>IF(ISBLANK(DirtyData37[[#This Row],[Age]]),1,0)</f>
        <v>0</v>
      </c>
      <c r="J11" s="11">
        <f>IF(DirtyData37[[#This Row],[Department]]="Engineer",1,0)</f>
        <v>0</v>
      </c>
      <c r="K11" s="11">
        <f>IF(DirtyData37[[#This Row],[Department]]="Analyst",1,0)</f>
        <v>0</v>
      </c>
      <c r="L11" s="11">
        <f>IF(DirtyData37[[#This Row],[Department]]="Developer",1,0)</f>
        <v>1</v>
      </c>
      <c r="M11" s="11">
        <f>IF(DirtyData37[[#This Row],[Department]]="Scientist",1,0)</f>
        <v>0</v>
      </c>
      <c r="N11" s="16">
        <f>DirtyData37[[#This Row],[Is_Eng]]+DirtyData37[[#This Row],[Is_Analyst]]+DirtyData37[[#This Row],[Is_Dev]]+DirtyData37[[#This Row],[Is_Sci]]</f>
        <v>1</v>
      </c>
    </row>
    <row r="12" spans="1:14" x14ac:dyDescent="0.25">
      <c r="A12" s="1">
        <v>111</v>
      </c>
      <c r="B12" s="2" t="s">
        <v>18</v>
      </c>
      <c r="C12" s="12">
        <f>IF(ISBLANK(DirtyData[[#This Row],[Age]]), AVERAGE(DirtyData[Age]),DirtyData[[#This Row],[Age]])</f>
        <v>29</v>
      </c>
      <c r="D12" s="1">
        <v>82991</v>
      </c>
      <c r="E12" s="16" t="s">
        <v>69</v>
      </c>
      <c r="F12" s="12">
        <f>IF(ISBLANK(DirtyData[[#This Row],[Score]]),AVERAGE(DirtyData[Score]),DirtyData[[#This Row],[Score]])</f>
        <v>82</v>
      </c>
      <c r="G12" s="3">
        <v>46052</v>
      </c>
      <c r="H12" s="16" t="str">
        <f ca="1">IF(DirtyData37[[#This Row],[Churned (Yes/No)]]=1,"Yes","No")</f>
        <v>No</v>
      </c>
      <c r="I12" s="11">
        <f>IF(ISBLANK(DirtyData37[[#This Row],[Age]]),1,0)</f>
        <v>0</v>
      </c>
      <c r="J12" s="11">
        <f>IF(DirtyData37[[#This Row],[Department]]="Engineer",1,0)</f>
        <v>0</v>
      </c>
      <c r="K12" s="11">
        <f>IF(DirtyData37[[#This Row],[Department]]="Analyst",1,0)</f>
        <v>1</v>
      </c>
      <c r="L12" s="11">
        <f>IF(DirtyData37[[#This Row],[Department]]="Developer",1,0)</f>
        <v>0</v>
      </c>
      <c r="M12" s="11">
        <f>IF(DirtyData37[[#This Row],[Department]]="Scientist",1,0)</f>
        <v>0</v>
      </c>
      <c r="N12" s="16">
        <f>DirtyData37[[#This Row],[Is_Eng]]+DirtyData37[[#This Row],[Is_Analyst]]+DirtyData37[[#This Row],[Is_Dev]]+DirtyData37[[#This Row],[Is_Sci]]</f>
        <v>1</v>
      </c>
    </row>
    <row r="13" spans="1:14" x14ac:dyDescent="0.25">
      <c r="A13" s="1">
        <v>112</v>
      </c>
      <c r="B13" s="4" t="s">
        <v>19</v>
      </c>
      <c r="C13" s="12">
        <f>IF(ISBLANK(DirtyData[[#This Row],[Age]]), AVERAGE(DirtyData[Age]),DirtyData[[#This Row],[Age]])</f>
        <v>21</v>
      </c>
      <c r="D13" s="1"/>
      <c r="E13" s="16" t="s">
        <v>67</v>
      </c>
      <c r="F13" s="12">
        <f>IF(ISBLANK(DirtyData[[#This Row],[Score]]),AVERAGE(DirtyData[Score]),DirtyData[[#This Row],[Score]])</f>
        <v>91</v>
      </c>
      <c r="G13" s="3">
        <v>46052</v>
      </c>
      <c r="H13" s="16" t="str">
        <f ca="1">IF(DirtyData37[[#This Row],[Churned (Yes/No)]]=1,"Yes","No")</f>
        <v>Yes</v>
      </c>
      <c r="I13" s="11">
        <f>IF(ISBLANK(DirtyData37[[#This Row],[Age]]),1,0)</f>
        <v>0</v>
      </c>
      <c r="J13" s="11">
        <f>IF(DirtyData37[[#This Row],[Department]]="Engineer",1,0)</f>
        <v>1</v>
      </c>
      <c r="K13" s="11">
        <f>IF(DirtyData37[[#This Row],[Department]]="Analyst",1,0)</f>
        <v>0</v>
      </c>
      <c r="L13" s="11">
        <f>IF(DirtyData37[[#This Row],[Department]]="Developer",1,0)</f>
        <v>0</v>
      </c>
      <c r="M13" s="11">
        <f>IF(DirtyData37[[#This Row],[Department]]="Scientist",1,0)</f>
        <v>0</v>
      </c>
      <c r="N13" s="16">
        <f>DirtyData37[[#This Row],[Is_Eng]]+DirtyData37[[#This Row],[Is_Analyst]]+DirtyData37[[#This Row],[Is_Dev]]+DirtyData37[[#This Row],[Is_Sci]]</f>
        <v>1</v>
      </c>
    </row>
    <row r="14" spans="1:14" x14ac:dyDescent="0.25">
      <c r="A14" s="1">
        <v>113</v>
      </c>
      <c r="B14" s="2" t="s">
        <v>20</v>
      </c>
      <c r="C14" s="12">
        <f>IF(ISBLANK(DirtyData[[#This Row],[Age]]), AVERAGE(DirtyData[Age]),DirtyData[[#This Row],[Age]])</f>
        <v>23</v>
      </c>
      <c r="D14" s="1">
        <v>71497</v>
      </c>
      <c r="E14" s="16" t="s">
        <v>67</v>
      </c>
      <c r="F14" s="12">
        <f>IF(ISBLANK(DirtyData[[#This Row],[Score]]),AVERAGE(DirtyData[Score]),DirtyData[[#This Row],[Score]])</f>
        <v>65.5</v>
      </c>
      <c r="G14" s="3">
        <v>46052</v>
      </c>
      <c r="H14" s="16" t="str">
        <f ca="1">IF(DirtyData37[[#This Row],[Churned (Yes/No)]]=1,"Yes","No")</f>
        <v>No</v>
      </c>
      <c r="I14" s="11">
        <f>IF(ISBLANK(DirtyData37[[#This Row],[Age]]),1,0)</f>
        <v>0</v>
      </c>
      <c r="J14" s="11">
        <f>IF(DirtyData37[[#This Row],[Department]]="Engineer",1,0)</f>
        <v>1</v>
      </c>
      <c r="K14" s="11">
        <f>IF(DirtyData37[[#This Row],[Department]]="Analyst",1,0)</f>
        <v>0</v>
      </c>
      <c r="L14" s="11">
        <f>IF(DirtyData37[[#This Row],[Department]]="Developer",1,0)</f>
        <v>0</v>
      </c>
      <c r="M14" s="11">
        <f>IF(DirtyData37[[#This Row],[Department]]="Scientist",1,0)</f>
        <v>0</v>
      </c>
      <c r="N14" s="16">
        <f>DirtyData37[[#This Row],[Is_Eng]]+DirtyData37[[#This Row],[Is_Analyst]]+DirtyData37[[#This Row],[Is_Dev]]+DirtyData37[[#This Row],[Is_Sci]]</f>
        <v>1</v>
      </c>
    </row>
    <row r="15" spans="1:14" x14ac:dyDescent="0.25">
      <c r="A15" s="1">
        <v>114</v>
      </c>
      <c r="B15" s="4" t="s">
        <v>21</v>
      </c>
      <c r="C15" s="12">
        <f>IF(ISBLANK(DirtyData[[#This Row],[Age]]), AVERAGE(DirtyData[Age]),DirtyData[[#This Row],[Age]])</f>
        <v>24.170212765957448</v>
      </c>
      <c r="D15" s="1">
        <v>89382</v>
      </c>
      <c r="E15" s="16" t="s">
        <v>70</v>
      </c>
      <c r="F15" s="12">
        <f>IF(ISBLANK(DirtyData[[#This Row],[Score]]),AVERAGE(DirtyData[Score]),DirtyData[[#This Row],[Score]])</f>
        <v>94</v>
      </c>
      <c r="G15" s="3">
        <v>46052</v>
      </c>
      <c r="H15" s="16" t="str">
        <f ca="1">IF(DirtyData37[[#This Row],[Churned (Yes/No)]]=1,"Yes","No")</f>
        <v>Yes</v>
      </c>
      <c r="I15" s="11">
        <f>IF(ISBLANK(DirtyData37[[#This Row],[Age]]),1,0)</f>
        <v>0</v>
      </c>
      <c r="J15" s="11">
        <f>IF(DirtyData37[[#This Row],[Department]]="Engineer",1,0)</f>
        <v>0</v>
      </c>
      <c r="K15" s="11">
        <f>IF(DirtyData37[[#This Row],[Department]]="Analyst",1,0)</f>
        <v>0</v>
      </c>
      <c r="L15" s="11">
        <f>IF(DirtyData37[[#This Row],[Department]]="Developer",1,0)</f>
        <v>1</v>
      </c>
      <c r="M15" s="11">
        <f>IF(DirtyData37[[#This Row],[Department]]="Scientist",1,0)</f>
        <v>0</v>
      </c>
      <c r="N15" s="16">
        <f>DirtyData37[[#This Row],[Is_Eng]]+DirtyData37[[#This Row],[Is_Analyst]]+DirtyData37[[#This Row],[Is_Dev]]+DirtyData37[[#This Row],[Is_Sci]]</f>
        <v>1</v>
      </c>
    </row>
    <row r="16" spans="1:14" x14ac:dyDescent="0.25">
      <c r="A16" s="1">
        <v>115</v>
      </c>
      <c r="B16" s="2" t="s">
        <v>22</v>
      </c>
      <c r="C16" s="12">
        <f>IF(ISBLANK(DirtyData[[#This Row],[Age]]), AVERAGE(DirtyData[Age]),DirtyData[[#This Row],[Age]])</f>
        <v>24</v>
      </c>
      <c r="D16" s="1">
        <v>99263</v>
      </c>
      <c r="E16" s="16" t="s">
        <v>70</v>
      </c>
      <c r="F16" s="12">
        <f>IF(ISBLANK(DirtyData[[#This Row],[Score]]),AVERAGE(DirtyData[Score]),DirtyData[[#This Row],[Score]])</f>
        <v>51</v>
      </c>
      <c r="G16" s="3">
        <v>46052</v>
      </c>
      <c r="H16" s="16" t="str">
        <f ca="1">IF(DirtyData37[[#This Row],[Churned (Yes/No)]]=1,"Yes","No")</f>
        <v>No</v>
      </c>
      <c r="I16" s="11">
        <f>IF(ISBLANK(DirtyData37[[#This Row],[Age]]),1,0)</f>
        <v>0</v>
      </c>
      <c r="J16" s="11">
        <f>IF(DirtyData37[[#This Row],[Department]]="Engineer",1,0)</f>
        <v>0</v>
      </c>
      <c r="K16" s="11">
        <f>IF(DirtyData37[[#This Row],[Department]]="Analyst",1,0)</f>
        <v>0</v>
      </c>
      <c r="L16" s="11">
        <f>IF(DirtyData37[[#This Row],[Department]]="Developer",1,0)</f>
        <v>1</v>
      </c>
      <c r="M16" s="11">
        <f>IF(DirtyData37[[#This Row],[Department]]="Scientist",1,0)</f>
        <v>0</v>
      </c>
      <c r="N16" s="16">
        <f>DirtyData37[[#This Row],[Is_Eng]]+DirtyData37[[#This Row],[Is_Analyst]]+DirtyData37[[#This Row],[Is_Dev]]+DirtyData37[[#This Row],[Is_Sci]]</f>
        <v>1</v>
      </c>
    </row>
    <row r="17" spans="1:14" x14ac:dyDescent="0.25">
      <c r="A17" s="1">
        <v>116</v>
      </c>
      <c r="B17" s="4" t="s">
        <v>23</v>
      </c>
      <c r="C17" s="12">
        <f>IF(ISBLANK(DirtyData[[#This Row],[Age]]), AVERAGE(DirtyData[Age]),DirtyData[[#This Row],[Age]])</f>
        <v>20</v>
      </c>
      <c r="D17" s="1">
        <v>72532</v>
      </c>
      <c r="E17" s="16" t="s">
        <v>70</v>
      </c>
      <c r="F17" s="12">
        <f>IF(ISBLANK(DirtyData[[#This Row],[Score]]),AVERAGE(DirtyData[Score]),DirtyData[[#This Row],[Score]])</f>
        <v>36</v>
      </c>
      <c r="G17" s="3">
        <v>46052</v>
      </c>
      <c r="H17" s="16" t="str">
        <f ca="1">IF(DirtyData37[[#This Row],[Churned (Yes/No)]]=1,"Yes","No")</f>
        <v>Yes</v>
      </c>
      <c r="I17" s="11">
        <f>IF(ISBLANK(DirtyData37[[#This Row],[Age]]),1,0)</f>
        <v>0</v>
      </c>
      <c r="J17" s="11">
        <f>IF(DirtyData37[[#This Row],[Department]]="Engineer",1,0)</f>
        <v>0</v>
      </c>
      <c r="K17" s="11">
        <f>IF(DirtyData37[[#This Row],[Department]]="Analyst",1,0)</f>
        <v>0</v>
      </c>
      <c r="L17" s="11">
        <f>IF(DirtyData37[[#This Row],[Department]]="Developer",1,0)</f>
        <v>1</v>
      </c>
      <c r="M17" s="11">
        <f>IF(DirtyData37[[#This Row],[Department]]="Scientist",1,0)</f>
        <v>0</v>
      </c>
      <c r="N17" s="16">
        <f>DirtyData37[[#This Row],[Is_Eng]]+DirtyData37[[#This Row],[Is_Analyst]]+DirtyData37[[#This Row],[Is_Dev]]+DirtyData37[[#This Row],[Is_Sci]]</f>
        <v>1</v>
      </c>
    </row>
    <row r="18" spans="1:14" x14ac:dyDescent="0.25">
      <c r="A18" s="1">
        <v>117</v>
      </c>
      <c r="B18" s="2" t="s">
        <v>24</v>
      </c>
      <c r="C18" s="12">
        <f>IF(ISBLANK(DirtyData[[#This Row],[Age]]), AVERAGE(DirtyData[Age]),DirtyData[[#This Row],[Age]])</f>
        <v>28</v>
      </c>
      <c r="D18" s="1">
        <v>88751</v>
      </c>
      <c r="E18" s="16" t="s">
        <v>69</v>
      </c>
      <c r="F18" s="12">
        <f>IF(ISBLANK(DirtyData[[#This Row],[Score]]),AVERAGE(DirtyData[Score]),DirtyData[[#This Row],[Score]])</f>
        <v>98</v>
      </c>
      <c r="G18" s="3">
        <v>46052</v>
      </c>
      <c r="H18" s="16" t="str">
        <f ca="1">IF(DirtyData37[[#This Row],[Churned (Yes/No)]]=1,"Yes","No")</f>
        <v>Yes</v>
      </c>
      <c r="I18" s="11">
        <f>IF(ISBLANK(DirtyData37[[#This Row],[Age]]),1,0)</f>
        <v>0</v>
      </c>
      <c r="J18" s="11">
        <f>IF(DirtyData37[[#This Row],[Department]]="Engineer",1,0)</f>
        <v>0</v>
      </c>
      <c r="K18" s="11">
        <f>IF(DirtyData37[[#This Row],[Department]]="Analyst",1,0)</f>
        <v>1</v>
      </c>
      <c r="L18" s="11">
        <f>IF(DirtyData37[[#This Row],[Department]]="Developer",1,0)</f>
        <v>0</v>
      </c>
      <c r="M18" s="11">
        <f>IF(DirtyData37[[#This Row],[Department]]="Scientist",1,0)</f>
        <v>0</v>
      </c>
      <c r="N18" s="16">
        <f>DirtyData37[[#This Row],[Is_Eng]]+DirtyData37[[#This Row],[Is_Analyst]]+DirtyData37[[#This Row],[Is_Dev]]+DirtyData37[[#This Row],[Is_Sci]]</f>
        <v>1</v>
      </c>
    </row>
    <row r="19" spans="1:14" x14ac:dyDescent="0.25">
      <c r="A19" s="1">
        <v>118</v>
      </c>
      <c r="B19" s="4" t="s">
        <v>25</v>
      </c>
      <c r="C19" s="12">
        <f>IF(ISBLANK(DirtyData[[#This Row],[Age]]), AVERAGE(DirtyData[Age]),DirtyData[[#This Row],[Age]])</f>
        <v>23</v>
      </c>
      <c r="D19" s="1">
        <v>83907</v>
      </c>
      <c r="E19" s="16" t="s">
        <v>70</v>
      </c>
      <c r="F19" s="12">
        <f>IF(ISBLANK(DirtyData[[#This Row],[Score]]),AVERAGE(DirtyData[Score]),DirtyData[[#This Row],[Score]])</f>
        <v>87</v>
      </c>
      <c r="G19" s="3">
        <v>46052</v>
      </c>
      <c r="H19" s="16" t="str">
        <f ca="1">IF(DirtyData37[[#This Row],[Churned (Yes/No)]]=1,"Yes","No")</f>
        <v>No</v>
      </c>
      <c r="I19" s="11">
        <f>IF(ISBLANK(DirtyData37[[#This Row],[Age]]),1,0)</f>
        <v>0</v>
      </c>
      <c r="J19" s="11">
        <f>IF(DirtyData37[[#This Row],[Department]]="Engineer",1,0)</f>
        <v>0</v>
      </c>
      <c r="K19" s="11">
        <f>IF(DirtyData37[[#This Row],[Department]]="Analyst",1,0)</f>
        <v>0</v>
      </c>
      <c r="L19" s="11">
        <f>IF(DirtyData37[[#This Row],[Department]]="Developer",1,0)</f>
        <v>1</v>
      </c>
      <c r="M19" s="11">
        <f>IF(DirtyData37[[#This Row],[Department]]="Scientist",1,0)</f>
        <v>0</v>
      </c>
      <c r="N19" s="16">
        <f>DirtyData37[[#This Row],[Is_Eng]]+DirtyData37[[#This Row],[Is_Analyst]]+DirtyData37[[#This Row],[Is_Dev]]+DirtyData37[[#This Row],[Is_Sci]]</f>
        <v>1</v>
      </c>
    </row>
    <row r="20" spans="1:14" x14ac:dyDescent="0.25">
      <c r="A20" s="1">
        <v>119</v>
      </c>
      <c r="B20" s="2" t="s">
        <v>26</v>
      </c>
      <c r="C20" s="12">
        <f>IF(ISBLANK(DirtyData[[#This Row],[Age]]), AVERAGE(DirtyData[Age]),DirtyData[[#This Row],[Age]])</f>
        <v>24.170212765957448</v>
      </c>
      <c r="D20" s="1">
        <v>92030</v>
      </c>
      <c r="E20" s="16" t="s">
        <v>67</v>
      </c>
      <c r="F20" s="12">
        <f>IF(ISBLANK(DirtyData[[#This Row],[Score]]),AVERAGE(DirtyData[Score]),DirtyData[[#This Row],[Score]])</f>
        <v>60</v>
      </c>
      <c r="G20" s="3">
        <v>46052</v>
      </c>
      <c r="H20" s="16" t="str">
        <f ca="1">IF(DirtyData37[[#This Row],[Churned (Yes/No)]]=1,"Yes","No")</f>
        <v>No</v>
      </c>
      <c r="I20" s="11">
        <f>IF(ISBLANK(DirtyData37[[#This Row],[Age]]),1,0)</f>
        <v>0</v>
      </c>
      <c r="J20" s="11">
        <f>IF(DirtyData37[[#This Row],[Department]]="Engineer",1,0)</f>
        <v>1</v>
      </c>
      <c r="K20" s="11">
        <f>IF(DirtyData37[[#This Row],[Department]]="Analyst",1,0)</f>
        <v>0</v>
      </c>
      <c r="L20" s="11">
        <f>IF(DirtyData37[[#This Row],[Department]]="Developer",1,0)</f>
        <v>0</v>
      </c>
      <c r="M20" s="11">
        <f>IF(DirtyData37[[#This Row],[Department]]="Scientist",1,0)</f>
        <v>0</v>
      </c>
      <c r="N20" s="16">
        <f>DirtyData37[[#This Row],[Is_Eng]]+DirtyData37[[#This Row],[Is_Analyst]]+DirtyData37[[#This Row],[Is_Dev]]+DirtyData37[[#This Row],[Is_Sci]]</f>
        <v>1</v>
      </c>
    </row>
    <row r="21" spans="1:14" x14ac:dyDescent="0.25">
      <c r="A21" s="1">
        <v>120</v>
      </c>
      <c r="B21" s="4" t="s">
        <v>27</v>
      </c>
      <c r="C21" s="12">
        <f>IF(ISBLANK(DirtyData[[#This Row],[Age]]), AVERAGE(DirtyData[Age]),DirtyData[[#This Row],[Age]])</f>
        <v>25</v>
      </c>
      <c r="D21" s="1">
        <v>76657</v>
      </c>
      <c r="E21" s="16" t="s">
        <v>68</v>
      </c>
      <c r="F21" s="12">
        <f>IF(ISBLANK(DirtyData[[#This Row],[Score]]),AVERAGE(DirtyData[Score]),DirtyData[[#This Row],[Score]])</f>
        <v>48</v>
      </c>
      <c r="G21" s="3">
        <v>46052</v>
      </c>
      <c r="H21" s="16" t="str">
        <f ca="1">IF(DirtyData37[[#This Row],[Churned (Yes/No)]]=1,"Yes","No")</f>
        <v>No</v>
      </c>
      <c r="I21" s="11">
        <f>IF(ISBLANK(DirtyData37[[#This Row],[Age]]),1,0)</f>
        <v>0</v>
      </c>
      <c r="J21" s="11">
        <f>IF(DirtyData37[[#This Row],[Department]]="Engineer",1,0)</f>
        <v>0</v>
      </c>
      <c r="K21" s="11">
        <f>IF(DirtyData37[[#This Row],[Department]]="Analyst",1,0)</f>
        <v>0</v>
      </c>
      <c r="L21" s="11">
        <f>IF(DirtyData37[[#This Row],[Department]]="Developer",1,0)</f>
        <v>0</v>
      </c>
      <c r="M21" s="11">
        <f>IF(DirtyData37[[#This Row],[Department]]="Scientist",1,0)</f>
        <v>1</v>
      </c>
      <c r="N21" s="16">
        <f>DirtyData37[[#This Row],[Is_Eng]]+DirtyData37[[#This Row],[Is_Analyst]]+DirtyData37[[#This Row],[Is_Dev]]+DirtyData37[[#This Row],[Is_Sci]]</f>
        <v>1</v>
      </c>
    </row>
    <row r="22" spans="1:14" x14ac:dyDescent="0.25">
      <c r="A22" s="1">
        <v>121</v>
      </c>
      <c r="B22" s="2" t="s">
        <v>28</v>
      </c>
      <c r="C22" s="12">
        <f>IF(ISBLANK(DirtyData[[#This Row],[Age]]), AVERAGE(DirtyData[Age]),DirtyData[[#This Row],[Age]])</f>
        <v>24.170212765957448</v>
      </c>
      <c r="D22" s="1">
        <v>81736</v>
      </c>
      <c r="E22" s="16" t="s">
        <v>67</v>
      </c>
      <c r="F22" s="12">
        <f>IF(ISBLANK(DirtyData[[#This Row],[Score]]),AVERAGE(DirtyData[Score]),DirtyData[[#This Row],[Score]])</f>
        <v>93</v>
      </c>
      <c r="G22" s="3">
        <v>46052</v>
      </c>
      <c r="H22" s="16" t="str">
        <f ca="1">IF(DirtyData37[[#This Row],[Churned (Yes/No)]]=1,"Yes","No")</f>
        <v>No</v>
      </c>
      <c r="I22" s="11">
        <f>IF(ISBLANK(DirtyData37[[#This Row],[Age]]),1,0)</f>
        <v>0</v>
      </c>
      <c r="J22" s="11">
        <f>IF(DirtyData37[[#This Row],[Department]]="Engineer",1,0)</f>
        <v>1</v>
      </c>
      <c r="K22" s="11">
        <f>IF(DirtyData37[[#This Row],[Department]]="Analyst",1,0)</f>
        <v>0</v>
      </c>
      <c r="L22" s="11">
        <f>IF(DirtyData37[[#This Row],[Department]]="Developer",1,0)</f>
        <v>0</v>
      </c>
      <c r="M22" s="11">
        <f>IF(DirtyData37[[#This Row],[Department]]="Scientist",1,0)</f>
        <v>0</v>
      </c>
      <c r="N22" s="16">
        <f>DirtyData37[[#This Row],[Is_Eng]]+DirtyData37[[#This Row],[Is_Analyst]]+DirtyData37[[#This Row],[Is_Dev]]+DirtyData37[[#This Row],[Is_Sci]]</f>
        <v>1</v>
      </c>
    </row>
    <row r="23" spans="1:14" x14ac:dyDescent="0.25">
      <c r="A23" s="1">
        <v>122</v>
      </c>
      <c r="B23" s="4" t="s">
        <v>29</v>
      </c>
      <c r="C23" s="12">
        <f>IF(ISBLANK(DirtyData[[#This Row],[Age]]), AVERAGE(DirtyData[Age]),DirtyData[[#This Row],[Age]])</f>
        <v>24.170212765957448</v>
      </c>
      <c r="D23" s="1">
        <v>92482</v>
      </c>
      <c r="E23" s="16" t="s">
        <v>69</v>
      </c>
      <c r="F23" s="12">
        <f>IF(ISBLANK(DirtyData[[#This Row],[Score]]),AVERAGE(DirtyData[Score]),DirtyData[[#This Row],[Score]])</f>
        <v>65.5</v>
      </c>
      <c r="G23" s="3">
        <v>46052</v>
      </c>
      <c r="H23" s="16" t="str">
        <f ca="1">IF(DirtyData37[[#This Row],[Churned (Yes/No)]]=1,"Yes","No")</f>
        <v>No</v>
      </c>
      <c r="I23" s="11">
        <f>IF(ISBLANK(DirtyData37[[#This Row],[Age]]),1,0)</f>
        <v>0</v>
      </c>
      <c r="J23" s="11">
        <f>IF(DirtyData37[[#This Row],[Department]]="Engineer",1,0)</f>
        <v>0</v>
      </c>
      <c r="K23" s="11">
        <f>IF(DirtyData37[[#This Row],[Department]]="Analyst",1,0)</f>
        <v>1</v>
      </c>
      <c r="L23" s="11">
        <f>IF(DirtyData37[[#This Row],[Department]]="Developer",1,0)</f>
        <v>0</v>
      </c>
      <c r="M23" s="11">
        <f>IF(DirtyData37[[#This Row],[Department]]="Scientist",1,0)</f>
        <v>0</v>
      </c>
      <c r="N23" s="16">
        <f>DirtyData37[[#This Row],[Is_Eng]]+DirtyData37[[#This Row],[Is_Analyst]]+DirtyData37[[#This Row],[Is_Dev]]+DirtyData37[[#This Row],[Is_Sci]]</f>
        <v>1</v>
      </c>
    </row>
    <row r="24" spans="1:14" x14ac:dyDescent="0.25">
      <c r="A24" s="1">
        <v>123</v>
      </c>
      <c r="B24" s="2" t="s">
        <v>30</v>
      </c>
      <c r="C24" s="12">
        <f>IF(ISBLANK(DirtyData[[#This Row],[Age]]), AVERAGE(DirtyData[Age]),DirtyData[[#This Row],[Age]])</f>
        <v>30</v>
      </c>
      <c r="D24" s="1">
        <v>76231</v>
      </c>
      <c r="E24" s="16" t="s">
        <v>67</v>
      </c>
      <c r="F24" s="12">
        <f>IF(ISBLANK(DirtyData[[#This Row],[Score]]),AVERAGE(DirtyData[Score]),DirtyData[[#This Row],[Score]])</f>
        <v>39</v>
      </c>
      <c r="G24" s="3">
        <v>46052</v>
      </c>
      <c r="H24" s="16" t="str">
        <f ca="1">IF(DirtyData37[[#This Row],[Churned (Yes/No)]]=1,"Yes","No")</f>
        <v>No</v>
      </c>
      <c r="I24" s="11">
        <f>IF(ISBLANK(DirtyData37[[#This Row],[Age]]),1,0)</f>
        <v>0</v>
      </c>
      <c r="J24" s="11">
        <f>IF(DirtyData37[[#This Row],[Department]]="Engineer",1,0)</f>
        <v>1</v>
      </c>
      <c r="K24" s="11">
        <f>IF(DirtyData37[[#This Row],[Department]]="Analyst",1,0)</f>
        <v>0</v>
      </c>
      <c r="L24" s="11">
        <f>IF(DirtyData37[[#This Row],[Department]]="Developer",1,0)</f>
        <v>0</v>
      </c>
      <c r="M24" s="11">
        <f>IF(DirtyData37[[#This Row],[Department]]="Scientist",1,0)</f>
        <v>0</v>
      </c>
      <c r="N24" s="16">
        <f>DirtyData37[[#This Row],[Is_Eng]]+DirtyData37[[#This Row],[Is_Analyst]]+DirtyData37[[#This Row],[Is_Dev]]+DirtyData37[[#This Row],[Is_Sci]]</f>
        <v>1</v>
      </c>
    </row>
    <row r="25" spans="1:14" x14ac:dyDescent="0.25">
      <c r="A25" s="1">
        <v>124</v>
      </c>
      <c r="B25" s="4" t="s">
        <v>31</v>
      </c>
      <c r="C25" s="12">
        <f>IF(ISBLANK(DirtyData[[#This Row],[Age]]), AVERAGE(DirtyData[Age]),DirtyData[[#This Row],[Age]])</f>
        <v>24.170212765957448</v>
      </c>
      <c r="D25" s="1">
        <v>93950</v>
      </c>
      <c r="E25" s="16" t="s">
        <v>67</v>
      </c>
      <c r="F25" s="12">
        <f>IF(ISBLANK(DirtyData[[#This Row],[Score]]),AVERAGE(DirtyData[Score]),DirtyData[[#This Row],[Score]])</f>
        <v>60</v>
      </c>
      <c r="G25" s="3">
        <v>46052</v>
      </c>
      <c r="H25" s="16" t="str">
        <f ca="1">IF(DirtyData37[[#This Row],[Churned (Yes/No)]]=1,"Yes","No")</f>
        <v>Yes</v>
      </c>
      <c r="I25" s="11">
        <f>IF(ISBLANK(DirtyData37[[#This Row],[Age]]),1,0)</f>
        <v>0</v>
      </c>
      <c r="J25" s="11">
        <f>IF(DirtyData37[[#This Row],[Department]]="Engineer",1,0)</f>
        <v>1</v>
      </c>
      <c r="K25" s="11">
        <f>IF(DirtyData37[[#This Row],[Department]]="Analyst",1,0)</f>
        <v>0</v>
      </c>
      <c r="L25" s="11">
        <f>IF(DirtyData37[[#This Row],[Department]]="Developer",1,0)</f>
        <v>0</v>
      </c>
      <c r="M25" s="11">
        <f>IF(DirtyData37[[#This Row],[Department]]="Scientist",1,0)</f>
        <v>0</v>
      </c>
      <c r="N25" s="16">
        <f>DirtyData37[[#This Row],[Is_Eng]]+DirtyData37[[#This Row],[Is_Analyst]]+DirtyData37[[#This Row],[Is_Dev]]+DirtyData37[[#This Row],[Is_Sci]]</f>
        <v>1</v>
      </c>
    </row>
    <row r="26" spans="1:14" x14ac:dyDescent="0.25">
      <c r="A26" s="1">
        <v>125</v>
      </c>
      <c r="B26" s="2" t="s">
        <v>32</v>
      </c>
      <c r="C26" s="12">
        <f>IF(ISBLANK(DirtyData[[#This Row],[Age]]), AVERAGE(DirtyData[Age]),DirtyData[[#This Row],[Age]])</f>
        <v>24</v>
      </c>
      <c r="D26" s="1">
        <v>76266</v>
      </c>
      <c r="E26" s="16" t="s">
        <v>67</v>
      </c>
      <c r="F26" s="12">
        <f>IF(ISBLANK(DirtyData[[#This Row],[Score]]),AVERAGE(DirtyData[Score]),DirtyData[[#This Row],[Score]])</f>
        <v>50</v>
      </c>
      <c r="G26" s="3">
        <v>46052</v>
      </c>
      <c r="H26" s="16" t="str">
        <f ca="1">IF(DirtyData37[[#This Row],[Churned (Yes/No)]]=1,"Yes","No")</f>
        <v>No</v>
      </c>
      <c r="I26" s="11">
        <f>IF(ISBLANK(DirtyData37[[#This Row],[Age]]),1,0)</f>
        <v>0</v>
      </c>
      <c r="J26" s="11">
        <f>IF(DirtyData37[[#This Row],[Department]]="Engineer",1,0)</f>
        <v>1</v>
      </c>
      <c r="K26" s="11">
        <f>IF(DirtyData37[[#This Row],[Department]]="Analyst",1,0)</f>
        <v>0</v>
      </c>
      <c r="L26" s="11">
        <f>IF(DirtyData37[[#This Row],[Department]]="Developer",1,0)</f>
        <v>0</v>
      </c>
      <c r="M26" s="11">
        <f>IF(DirtyData37[[#This Row],[Department]]="Scientist",1,0)</f>
        <v>0</v>
      </c>
      <c r="N26" s="16">
        <f>DirtyData37[[#This Row],[Is_Eng]]+DirtyData37[[#This Row],[Is_Analyst]]+DirtyData37[[#This Row],[Is_Dev]]+DirtyData37[[#This Row],[Is_Sci]]</f>
        <v>1</v>
      </c>
    </row>
    <row r="27" spans="1:14" x14ac:dyDescent="0.25">
      <c r="A27" s="1">
        <v>126</v>
      </c>
      <c r="B27" s="4" t="s">
        <v>33</v>
      </c>
      <c r="C27" s="12">
        <f>IF(ISBLANK(DirtyData[[#This Row],[Age]]), AVERAGE(DirtyData[Age]),DirtyData[[#This Row],[Age]])</f>
        <v>22</v>
      </c>
      <c r="D27" s="1"/>
      <c r="E27" s="16" t="s">
        <v>67</v>
      </c>
      <c r="F27" s="12">
        <f>IF(ISBLANK(DirtyData[[#This Row],[Score]]),AVERAGE(DirtyData[Score]),DirtyData[[#This Row],[Score]])</f>
        <v>45</v>
      </c>
      <c r="G27" s="3">
        <v>46052</v>
      </c>
      <c r="H27" s="16" t="str">
        <f ca="1">IF(DirtyData37[[#This Row],[Churned (Yes/No)]]=1,"Yes","No")</f>
        <v>No</v>
      </c>
      <c r="I27" s="11">
        <f>IF(ISBLANK(DirtyData37[[#This Row],[Age]]),1,0)</f>
        <v>0</v>
      </c>
      <c r="J27" s="11">
        <f>IF(DirtyData37[[#This Row],[Department]]="Engineer",1,0)</f>
        <v>1</v>
      </c>
      <c r="K27" s="11">
        <f>IF(DirtyData37[[#This Row],[Department]]="Analyst",1,0)</f>
        <v>0</v>
      </c>
      <c r="L27" s="11">
        <f>IF(DirtyData37[[#This Row],[Department]]="Developer",1,0)</f>
        <v>0</v>
      </c>
      <c r="M27" s="11">
        <f>IF(DirtyData37[[#This Row],[Department]]="Scientist",1,0)</f>
        <v>0</v>
      </c>
      <c r="N27" s="16">
        <f>DirtyData37[[#This Row],[Is_Eng]]+DirtyData37[[#This Row],[Is_Analyst]]+DirtyData37[[#This Row],[Is_Dev]]+DirtyData37[[#This Row],[Is_Sci]]</f>
        <v>1</v>
      </c>
    </row>
    <row r="28" spans="1:14" x14ac:dyDescent="0.25">
      <c r="A28" s="1">
        <v>127</v>
      </c>
      <c r="B28" s="2" t="s">
        <v>34</v>
      </c>
      <c r="C28" s="12">
        <f>IF(ISBLANK(DirtyData[[#This Row],[Age]]), AVERAGE(DirtyData[Age]),DirtyData[[#This Row],[Age]])</f>
        <v>27</v>
      </c>
      <c r="D28" s="1">
        <v>94253</v>
      </c>
      <c r="E28" s="16" t="s">
        <v>67</v>
      </c>
      <c r="F28" s="12">
        <f>IF(ISBLANK(DirtyData[[#This Row],[Score]]),AVERAGE(DirtyData[Score]),DirtyData[[#This Row],[Score]])</f>
        <v>65.5</v>
      </c>
      <c r="G28" s="3">
        <v>46052</v>
      </c>
      <c r="H28" s="16" t="str">
        <f ca="1">IF(DirtyData37[[#This Row],[Churned (Yes/No)]]=1,"Yes","No")</f>
        <v>Yes</v>
      </c>
      <c r="I28" s="11">
        <f>IF(ISBLANK(DirtyData37[[#This Row],[Age]]),1,0)</f>
        <v>0</v>
      </c>
      <c r="J28" s="11">
        <f>IF(DirtyData37[[#This Row],[Department]]="Engineer",1,0)</f>
        <v>1</v>
      </c>
      <c r="K28" s="11">
        <f>IF(DirtyData37[[#This Row],[Department]]="Analyst",1,0)</f>
        <v>0</v>
      </c>
      <c r="L28" s="11">
        <f>IF(DirtyData37[[#This Row],[Department]]="Developer",1,0)</f>
        <v>0</v>
      </c>
      <c r="M28" s="11">
        <f>IF(DirtyData37[[#This Row],[Department]]="Scientist",1,0)</f>
        <v>0</v>
      </c>
      <c r="N28" s="16">
        <f>DirtyData37[[#This Row],[Is_Eng]]+DirtyData37[[#This Row],[Is_Analyst]]+DirtyData37[[#This Row],[Is_Dev]]+DirtyData37[[#This Row],[Is_Sci]]</f>
        <v>1</v>
      </c>
    </row>
    <row r="29" spans="1:14" x14ac:dyDescent="0.25">
      <c r="A29" s="1">
        <v>128</v>
      </c>
      <c r="B29" s="4" t="s">
        <v>35</v>
      </c>
      <c r="C29" s="12">
        <f>IF(ISBLANK(DirtyData[[#This Row],[Age]]), AVERAGE(DirtyData[Age]),DirtyData[[#This Row],[Age]])</f>
        <v>27</v>
      </c>
      <c r="D29" s="1">
        <v>89483</v>
      </c>
      <c r="E29" s="16" t="s">
        <v>67</v>
      </c>
      <c r="F29" s="12">
        <f>IF(ISBLANK(DirtyData[[#This Row],[Score]]),AVERAGE(DirtyData[Score]),DirtyData[[#This Row],[Score]])</f>
        <v>65</v>
      </c>
      <c r="G29" s="3">
        <v>46052</v>
      </c>
      <c r="H29" s="16" t="str">
        <f ca="1">IF(DirtyData37[[#This Row],[Churned (Yes/No)]]=1,"Yes","No")</f>
        <v>No</v>
      </c>
      <c r="I29" s="11">
        <f>IF(ISBLANK(DirtyData37[[#This Row],[Age]]),1,0)</f>
        <v>0</v>
      </c>
      <c r="J29" s="11">
        <f>IF(DirtyData37[[#This Row],[Department]]="Engineer",1,0)</f>
        <v>1</v>
      </c>
      <c r="K29" s="11">
        <f>IF(DirtyData37[[#This Row],[Department]]="Analyst",1,0)</f>
        <v>0</v>
      </c>
      <c r="L29" s="11">
        <f>IF(DirtyData37[[#This Row],[Department]]="Developer",1,0)</f>
        <v>0</v>
      </c>
      <c r="M29" s="11">
        <f>IF(DirtyData37[[#This Row],[Department]]="Scientist",1,0)</f>
        <v>0</v>
      </c>
      <c r="N29" s="16">
        <f>DirtyData37[[#This Row],[Is_Eng]]+DirtyData37[[#This Row],[Is_Analyst]]+DirtyData37[[#This Row],[Is_Dev]]+DirtyData37[[#This Row],[Is_Sci]]</f>
        <v>1</v>
      </c>
    </row>
    <row r="30" spans="1:14" x14ac:dyDescent="0.25">
      <c r="A30" s="1">
        <v>129</v>
      </c>
      <c r="B30" s="2" t="s">
        <v>36</v>
      </c>
      <c r="C30" s="12">
        <f>IF(ISBLANK(DirtyData[[#This Row],[Age]]), AVERAGE(DirtyData[Age]),DirtyData[[#This Row],[Age]])</f>
        <v>24.170212765957448</v>
      </c>
      <c r="D30" s="1"/>
      <c r="E30" s="16" t="s">
        <v>67</v>
      </c>
      <c r="F30" s="12">
        <f>IF(ISBLANK(DirtyData[[#This Row],[Score]]),AVERAGE(DirtyData[Score]),DirtyData[[#This Row],[Score]])</f>
        <v>53</v>
      </c>
      <c r="G30" s="3">
        <v>46052</v>
      </c>
      <c r="H30" s="16" t="str">
        <f ca="1">IF(DirtyData37[[#This Row],[Churned (Yes/No)]]=1,"Yes","No")</f>
        <v>Yes</v>
      </c>
      <c r="I30" s="11">
        <f>IF(ISBLANK(DirtyData37[[#This Row],[Age]]),1,0)</f>
        <v>0</v>
      </c>
      <c r="J30" s="11">
        <f>IF(DirtyData37[[#This Row],[Department]]="Engineer",1,0)</f>
        <v>1</v>
      </c>
      <c r="K30" s="11">
        <f>IF(DirtyData37[[#This Row],[Department]]="Analyst",1,0)</f>
        <v>0</v>
      </c>
      <c r="L30" s="11">
        <f>IF(DirtyData37[[#This Row],[Department]]="Developer",1,0)</f>
        <v>0</v>
      </c>
      <c r="M30" s="11">
        <f>IF(DirtyData37[[#This Row],[Department]]="Scientist",1,0)</f>
        <v>0</v>
      </c>
      <c r="N30" s="16">
        <f>DirtyData37[[#This Row],[Is_Eng]]+DirtyData37[[#This Row],[Is_Analyst]]+DirtyData37[[#This Row],[Is_Dev]]+DirtyData37[[#This Row],[Is_Sci]]</f>
        <v>1</v>
      </c>
    </row>
    <row r="31" spans="1:14" x14ac:dyDescent="0.25">
      <c r="A31" s="1">
        <v>130</v>
      </c>
      <c r="B31" s="4" t="s">
        <v>37</v>
      </c>
      <c r="C31" s="12">
        <f>IF(ISBLANK(DirtyData[[#This Row],[Age]]), AVERAGE(DirtyData[Age]),DirtyData[[#This Row],[Age]])</f>
        <v>21</v>
      </c>
      <c r="D31" s="1">
        <v>77384</v>
      </c>
      <c r="E31" s="16" t="s">
        <v>67</v>
      </c>
      <c r="F31" s="12">
        <f>IF(ISBLANK(DirtyData[[#This Row],[Score]]),AVERAGE(DirtyData[Score]),DirtyData[[#This Row],[Score]])</f>
        <v>76</v>
      </c>
      <c r="G31" s="3">
        <v>46052</v>
      </c>
      <c r="H31" s="16" t="str">
        <f ca="1">IF(DirtyData37[[#This Row],[Churned (Yes/No)]]=1,"Yes","No")</f>
        <v>No</v>
      </c>
      <c r="I31" s="11">
        <f>IF(ISBLANK(DirtyData37[[#This Row],[Age]]),1,0)</f>
        <v>0</v>
      </c>
      <c r="J31" s="11">
        <f>IF(DirtyData37[[#This Row],[Department]]="Engineer",1,0)</f>
        <v>1</v>
      </c>
      <c r="K31" s="11">
        <f>IF(DirtyData37[[#This Row],[Department]]="Analyst",1,0)</f>
        <v>0</v>
      </c>
      <c r="L31" s="11">
        <f>IF(DirtyData37[[#This Row],[Department]]="Developer",1,0)</f>
        <v>0</v>
      </c>
      <c r="M31" s="11">
        <f>IF(DirtyData37[[#This Row],[Department]]="Scientist",1,0)</f>
        <v>0</v>
      </c>
      <c r="N31" s="16">
        <f>DirtyData37[[#This Row],[Is_Eng]]+DirtyData37[[#This Row],[Is_Analyst]]+DirtyData37[[#This Row],[Is_Dev]]+DirtyData37[[#This Row],[Is_Sci]]</f>
        <v>1</v>
      </c>
    </row>
    <row r="32" spans="1:14" x14ac:dyDescent="0.25">
      <c r="A32" s="1">
        <v>131</v>
      </c>
      <c r="B32" s="2" t="s">
        <v>38</v>
      </c>
      <c r="C32" s="12">
        <f>IF(ISBLANK(DirtyData[[#This Row],[Age]]), AVERAGE(DirtyData[Age]),DirtyData[[#This Row],[Age]])</f>
        <v>28</v>
      </c>
      <c r="D32" s="1">
        <v>61999</v>
      </c>
      <c r="E32" s="16" t="s">
        <v>68</v>
      </c>
      <c r="F32" s="12">
        <f>IF(ISBLANK(DirtyData[[#This Row],[Score]]),AVERAGE(DirtyData[Score]),DirtyData[[#This Row],[Score]])</f>
        <v>95</v>
      </c>
      <c r="G32" s="3">
        <v>46052</v>
      </c>
      <c r="H32" s="16" t="str">
        <f ca="1">IF(DirtyData37[[#This Row],[Churned (Yes/No)]]=1,"Yes","No")</f>
        <v>Yes</v>
      </c>
      <c r="I32" s="11">
        <f>IF(ISBLANK(DirtyData37[[#This Row],[Age]]),1,0)</f>
        <v>0</v>
      </c>
      <c r="J32" s="11">
        <f>IF(DirtyData37[[#This Row],[Department]]="Engineer",1,0)</f>
        <v>0</v>
      </c>
      <c r="K32" s="11">
        <f>IF(DirtyData37[[#This Row],[Department]]="Analyst",1,0)</f>
        <v>0</v>
      </c>
      <c r="L32" s="11">
        <f>IF(DirtyData37[[#This Row],[Department]]="Developer",1,0)</f>
        <v>0</v>
      </c>
      <c r="M32" s="11">
        <f>IF(DirtyData37[[#This Row],[Department]]="Scientist",1,0)</f>
        <v>1</v>
      </c>
      <c r="N32" s="16">
        <f>DirtyData37[[#This Row],[Is_Eng]]+DirtyData37[[#This Row],[Is_Analyst]]+DirtyData37[[#This Row],[Is_Dev]]+DirtyData37[[#This Row],[Is_Sci]]</f>
        <v>1</v>
      </c>
    </row>
    <row r="33" spans="1:14" x14ac:dyDescent="0.25">
      <c r="A33" s="1">
        <v>132</v>
      </c>
      <c r="B33" s="4" t="s">
        <v>39</v>
      </c>
      <c r="C33" s="12">
        <f>IF(ISBLANK(DirtyData[[#This Row],[Age]]), AVERAGE(DirtyData[Age]),DirtyData[[#This Row],[Age]])</f>
        <v>22</v>
      </c>
      <c r="D33" s="1">
        <v>60394</v>
      </c>
      <c r="E33" s="16" t="s">
        <v>67</v>
      </c>
      <c r="F33" s="12">
        <f>IF(ISBLANK(DirtyData[[#This Row],[Score]]),AVERAGE(DirtyData[Score]),DirtyData[[#This Row],[Score]])</f>
        <v>74</v>
      </c>
      <c r="G33" s="3">
        <v>46052</v>
      </c>
      <c r="H33" s="16" t="str">
        <f ca="1">IF(DirtyData37[[#This Row],[Churned (Yes/No)]]=1,"Yes","No")</f>
        <v>No</v>
      </c>
      <c r="I33" s="11">
        <f>IF(ISBLANK(DirtyData37[[#This Row],[Age]]),1,0)</f>
        <v>0</v>
      </c>
      <c r="J33" s="11">
        <f>IF(DirtyData37[[#This Row],[Department]]="Engineer",1,0)</f>
        <v>1</v>
      </c>
      <c r="K33" s="11">
        <f>IF(DirtyData37[[#This Row],[Department]]="Analyst",1,0)</f>
        <v>0</v>
      </c>
      <c r="L33" s="11">
        <f>IF(DirtyData37[[#This Row],[Department]]="Developer",1,0)</f>
        <v>0</v>
      </c>
      <c r="M33" s="11">
        <f>IF(DirtyData37[[#This Row],[Department]]="Scientist",1,0)</f>
        <v>0</v>
      </c>
      <c r="N33" s="16">
        <f>DirtyData37[[#This Row],[Is_Eng]]+DirtyData37[[#This Row],[Is_Analyst]]+DirtyData37[[#This Row],[Is_Dev]]+DirtyData37[[#This Row],[Is_Sci]]</f>
        <v>1</v>
      </c>
    </row>
    <row r="34" spans="1:14" x14ac:dyDescent="0.25">
      <c r="A34" s="1">
        <v>133</v>
      </c>
      <c r="B34" s="2" t="s">
        <v>40</v>
      </c>
      <c r="C34" s="12">
        <f>IF(ISBLANK(DirtyData[[#This Row],[Age]]), AVERAGE(DirtyData[Age]),DirtyData[[#This Row],[Age]])</f>
        <v>24</v>
      </c>
      <c r="D34" s="1">
        <v>86813</v>
      </c>
      <c r="E34" s="16" t="s">
        <v>67</v>
      </c>
      <c r="F34" s="12">
        <f>IF(ISBLANK(DirtyData[[#This Row],[Score]]),AVERAGE(DirtyData[Score]),DirtyData[[#This Row],[Score]])</f>
        <v>77</v>
      </c>
      <c r="G34" s="3">
        <v>46052</v>
      </c>
      <c r="H34" s="16" t="str">
        <f ca="1">IF(DirtyData37[[#This Row],[Churned (Yes/No)]]=1,"Yes","No")</f>
        <v>Yes</v>
      </c>
      <c r="I34" s="11">
        <f>IF(ISBLANK(DirtyData37[[#This Row],[Age]]),1,0)</f>
        <v>0</v>
      </c>
      <c r="J34" s="11">
        <f>IF(DirtyData37[[#This Row],[Department]]="Engineer",1,0)</f>
        <v>1</v>
      </c>
      <c r="K34" s="11">
        <f>IF(DirtyData37[[#This Row],[Department]]="Analyst",1,0)</f>
        <v>0</v>
      </c>
      <c r="L34" s="11">
        <f>IF(DirtyData37[[#This Row],[Department]]="Developer",1,0)</f>
        <v>0</v>
      </c>
      <c r="M34" s="11">
        <f>IF(DirtyData37[[#This Row],[Department]]="Scientist",1,0)</f>
        <v>0</v>
      </c>
      <c r="N34" s="16">
        <f>DirtyData37[[#This Row],[Is_Eng]]+DirtyData37[[#This Row],[Is_Analyst]]+DirtyData37[[#This Row],[Is_Dev]]+DirtyData37[[#This Row],[Is_Sci]]</f>
        <v>1</v>
      </c>
    </row>
    <row r="35" spans="1:14" x14ac:dyDescent="0.25">
      <c r="A35" s="1">
        <v>134</v>
      </c>
      <c r="B35" s="4" t="s">
        <v>41</v>
      </c>
      <c r="C35" s="12">
        <f>IF(ISBLANK(DirtyData[[#This Row],[Age]]), AVERAGE(DirtyData[Age]),DirtyData[[#This Row],[Age]])</f>
        <v>24.170212765957448</v>
      </c>
      <c r="D35" s="1">
        <v>96037</v>
      </c>
      <c r="E35" s="16" t="s">
        <v>68</v>
      </c>
      <c r="F35" s="12">
        <f>IF(ISBLANK(DirtyData[[#This Row],[Score]]),AVERAGE(DirtyData[Score]),DirtyData[[#This Row],[Score]])</f>
        <v>65.5</v>
      </c>
      <c r="G35" s="3">
        <v>46052</v>
      </c>
      <c r="H35" s="16" t="str">
        <f ca="1">IF(DirtyData37[[#This Row],[Churned (Yes/No)]]=1,"Yes","No")</f>
        <v>Yes</v>
      </c>
      <c r="I35" s="11">
        <f>IF(ISBLANK(DirtyData37[[#This Row],[Age]]),1,0)</f>
        <v>0</v>
      </c>
      <c r="J35" s="11">
        <f>IF(DirtyData37[[#This Row],[Department]]="Engineer",1,0)</f>
        <v>0</v>
      </c>
      <c r="K35" s="11">
        <f>IF(DirtyData37[[#This Row],[Department]]="Analyst",1,0)</f>
        <v>0</v>
      </c>
      <c r="L35" s="11">
        <f>IF(DirtyData37[[#This Row],[Department]]="Developer",1,0)</f>
        <v>0</v>
      </c>
      <c r="M35" s="11">
        <f>IF(DirtyData37[[#This Row],[Department]]="Scientist",1,0)</f>
        <v>1</v>
      </c>
      <c r="N35" s="16">
        <f>DirtyData37[[#This Row],[Is_Eng]]+DirtyData37[[#This Row],[Is_Analyst]]+DirtyData37[[#This Row],[Is_Dev]]+DirtyData37[[#This Row],[Is_Sci]]</f>
        <v>1</v>
      </c>
    </row>
    <row r="36" spans="1:14" x14ac:dyDescent="0.25">
      <c r="A36" s="1">
        <v>135</v>
      </c>
      <c r="B36" s="2" t="s">
        <v>42</v>
      </c>
      <c r="C36" s="12">
        <f>IF(ISBLANK(DirtyData[[#This Row],[Age]]), AVERAGE(DirtyData[Age]),DirtyData[[#This Row],[Age]])</f>
        <v>21</v>
      </c>
      <c r="D36" s="1">
        <v>78861</v>
      </c>
      <c r="E36" s="16" t="s">
        <v>67</v>
      </c>
      <c r="F36" s="12">
        <f>IF(ISBLANK(DirtyData[[#This Row],[Score]]),AVERAGE(DirtyData[Score]),DirtyData[[#This Row],[Score]])</f>
        <v>63</v>
      </c>
      <c r="G36" s="3">
        <v>46052</v>
      </c>
      <c r="H36" s="16" t="str">
        <f ca="1">IF(DirtyData37[[#This Row],[Churned (Yes/No)]]=1,"Yes","No")</f>
        <v>No</v>
      </c>
      <c r="I36" s="11">
        <f>IF(ISBLANK(DirtyData37[[#This Row],[Age]]),1,0)</f>
        <v>0</v>
      </c>
      <c r="J36" s="11">
        <f>IF(DirtyData37[[#This Row],[Department]]="Engineer",1,0)</f>
        <v>1</v>
      </c>
      <c r="K36" s="11">
        <f>IF(DirtyData37[[#This Row],[Department]]="Analyst",1,0)</f>
        <v>0</v>
      </c>
      <c r="L36" s="11">
        <f>IF(DirtyData37[[#This Row],[Department]]="Developer",1,0)</f>
        <v>0</v>
      </c>
      <c r="M36" s="11">
        <f>IF(DirtyData37[[#This Row],[Department]]="Scientist",1,0)</f>
        <v>0</v>
      </c>
      <c r="N36" s="16">
        <f>DirtyData37[[#This Row],[Is_Eng]]+DirtyData37[[#This Row],[Is_Analyst]]+DirtyData37[[#This Row],[Is_Dev]]+DirtyData37[[#This Row],[Is_Sci]]</f>
        <v>1</v>
      </c>
    </row>
    <row r="37" spans="1:14" x14ac:dyDescent="0.25">
      <c r="A37" s="1">
        <v>136</v>
      </c>
      <c r="B37" s="4" t="s">
        <v>43</v>
      </c>
      <c r="C37" s="12">
        <f>IF(ISBLANK(DirtyData[[#This Row],[Age]]), AVERAGE(DirtyData[Age]),DirtyData[[#This Row],[Age]])</f>
        <v>29</v>
      </c>
      <c r="D37" s="1"/>
      <c r="E37" s="16" t="s">
        <v>69</v>
      </c>
      <c r="F37" s="12">
        <f>IF(ISBLANK(DirtyData[[#This Row],[Score]]),AVERAGE(DirtyData[Score]),DirtyData[[#This Row],[Score]])</f>
        <v>31</v>
      </c>
      <c r="G37" s="3">
        <v>46052</v>
      </c>
      <c r="H37" s="16" t="str">
        <f ca="1">IF(DirtyData37[[#This Row],[Churned (Yes/No)]]=1,"Yes","No")</f>
        <v>Yes</v>
      </c>
      <c r="I37" s="11">
        <f>IF(ISBLANK(DirtyData37[[#This Row],[Age]]),1,0)</f>
        <v>0</v>
      </c>
      <c r="J37" s="11">
        <f>IF(DirtyData37[[#This Row],[Department]]="Engineer",1,0)</f>
        <v>0</v>
      </c>
      <c r="K37" s="11">
        <f>IF(DirtyData37[[#This Row],[Department]]="Analyst",1,0)</f>
        <v>1</v>
      </c>
      <c r="L37" s="11">
        <f>IF(DirtyData37[[#This Row],[Department]]="Developer",1,0)</f>
        <v>0</v>
      </c>
      <c r="M37" s="11">
        <f>IF(DirtyData37[[#This Row],[Department]]="Scientist",1,0)</f>
        <v>0</v>
      </c>
      <c r="N37" s="16">
        <f>DirtyData37[[#This Row],[Is_Eng]]+DirtyData37[[#This Row],[Is_Analyst]]+DirtyData37[[#This Row],[Is_Dev]]+DirtyData37[[#This Row],[Is_Sci]]</f>
        <v>1</v>
      </c>
    </row>
    <row r="38" spans="1:14" x14ac:dyDescent="0.25">
      <c r="A38" s="1">
        <v>137</v>
      </c>
      <c r="B38" s="2" t="s">
        <v>44</v>
      </c>
      <c r="C38" s="12">
        <f>IF(ISBLANK(DirtyData[[#This Row],[Age]]), AVERAGE(DirtyData[Age]),DirtyData[[#This Row],[Age]])</f>
        <v>19</v>
      </c>
      <c r="D38" s="1">
        <v>83598</v>
      </c>
      <c r="E38" s="16" t="s">
        <v>67</v>
      </c>
      <c r="F38" s="12">
        <f>IF(ISBLANK(DirtyData[[#This Row],[Score]]),AVERAGE(DirtyData[Score]),DirtyData[[#This Row],[Score]])</f>
        <v>65.5</v>
      </c>
      <c r="G38" s="3">
        <v>46052</v>
      </c>
      <c r="H38" s="16" t="str">
        <f ca="1">IF(DirtyData37[[#This Row],[Churned (Yes/No)]]=1,"Yes","No")</f>
        <v>Yes</v>
      </c>
      <c r="I38" s="11">
        <f>IF(ISBLANK(DirtyData37[[#This Row],[Age]]),1,0)</f>
        <v>0</v>
      </c>
      <c r="J38" s="11">
        <f>IF(DirtyData37[[#This Row],[Department]]="Engineer",1,0)</f>
        <v>1</v>
      </c>
      <c r="K38" s="11">
        <f>IF(DirtyData37[[#This Row],[Department]]="Analyst",1,0)</f>
        <v>0</v>
      </c>
      <c r="L38" s="11">
        <f>IF(DirtyData37[[#This Row],[Department]]="Developer",1,0)</f>
        <v>0</v>
      </c>
      <c r="M38" s="11">
        <f>IF(DirtyData37[[#This Row],[Department]]="Scientist",1,0)</f>
        <v>0</v>
      </c>
      <c r="N38" s="16">
        <f>DirtyData37[[#This Row],[Is_Eng]]+DirtyData37[[#This Row],[Is_Analyst]]+DirtyData37[[#This Row],[Is_Dev]]+DirtyData37[[#This Row],[Is_Sci]]</f>
        <v>1</v>
      </c>
    </row>
    <row r="39" spans="1:14" x14ac:dyDescent="0.25">
      <c r="A39" s="1">
        <v>138</v>
      </c>
      <c r="B39" s="4" t="s">
        <v>45</v>
      </c>
      <c r="C39" s="12">
        <f>IF(ISBLANK(DirtyData[[#This Row],[Age]]), AVERAGE(DirtyData[Age]),DirtyData[[#This Row],[Age]])</f>
        <v>29</v>
      </c>
      <c r="D39" s="1">
        <v>78343</v>
      </c>
      <c r="E39" s="16" t="s">
        <v>67</v>
      </c>
      <c r="F39" s="12">
        <f>IF(ISBLANK(DirtyData[[#This Row],[Score]]),AVERAGE(DirtyData[Score]),DirtyData[[#This Row],[Score]])</f>
        <v>84</v>
      </c>
      <c r="G39" s="3">
        <v>46052</v>
      </c>
      <c r="H39" s="16" t="str">
        <f ca="1">IF(DirtyData37[[#This Row],[Churned (Yes/No)]]=1,"Yes","No")</f>
        <v>No</v>
      </c>
      <c r="I39" s="11">
        <f>IF(ISBLANK(DirtyData37[[#This Row],[Age]]),1,0)</f>
        <v>0</v>
      </c>
      <c r="J39" s="11">
        <f>IF(DirtyData37[[#This Row],[Department]]="Engineer",1,0)</f>
        <v>1</v>
      </c>
      <c r="K39" s="11">
        <f>IF(DirtyData37[[#This Row],[Department]]="Analyst",1,0)</f>
        <v>0</v>
      </c>
      <c r="L39" s="11">
        <f>IF(DirtyData37[[#This Row],[Department]]="Developer",1,0)</f>
        <v>0</v>
      </c>
      <c r="M39" s="11">
        <f>IF(DirtyData37[[#This Row],[Department]]="Scientist",1,0)</f>
        <v>0</v>
      </c>
      <c r="N39" s="16">
        <f>DirtyData37[[#This Row],[Is_Eng]]+DirtyData37[[#This Row],[Is_Analyst]]+DirtyData37[[#This Row],[Is_Dev]]+DirtyData37[[#This Row],[Is_Sci]]</f>
        <v>1</v>
      </c>
    </row>
    <row r="40" spans="1:14" x14ac:dyDescent="0.25">
      <c r="A40" s="1">
        <v>139</v>
      </c>
      <c r="B40" s="2" t="s">
        <v>46</v>
      </c>
      <c r="C40" s="12">
        <f>IF(ISBLANK(DirtyData[[#This Row],[Age]]), AVERAGE(DirtyData[Age]),DirtyData[[#This Row],[Age]])</f>
        <v>22</v>
      </c>
      <c r="D40" s="1">
        <v>63204</v>
      </c>
      <c r="E40" s="16" t="s">
        <v>67</v>
      </c>
      <c r="F40" s="12">
        <f>IF(ISBLANK(DirtyData[[#This Row],[Score]]),AVERAGE(DirtyData[Score]),DirtyData[[#This Row],[Score]])</f>
        <v>95</v>
      </c>
      <c r="G40" s="3">
        <v>46052</v>
      </c>
      <c r="H40" s="16" t="str">
        <f ca="1">IF(DirtyData37[[#This Row],[Churned (Yes/No)]]=1,"Yes","No")</f>
        <v>No</v>
      </c>
      <c r="I40" s="11">
        <f>IF(ISBLANK(DirtyData37[[#This Row],[Age]]),1,0)</f>
        <v>0</v>
      </c>
      <c r="J40" s="11">
        <f>IF(DirtyData37[[#This Row],[Department]]="Engineer",1,0)</f>
        <v>1</v>
      </c>
      <c r="K40" s="11">
        <f>IF(DirtyData37[[#This Row],[Department]]="Analyst",1,0)</f>
        <v>0</v>
      </c>
      <c r="L40" s="11">
        <f>IF(DirtyData37[[#This Row],[Department]]="Developer",1,0)</f>
        <v>0</v>
      </c>
      <c r="M40" s="11">
        <f>IF(DirtyData37[[#This Row],[Department]]="Scientist",1,0)</f>
        <v>0</v>
      </c>
      <c r="N40" s="16">
        <f>DirtyData37[[#This Row],[Is_Eng]]+DirtyData37[[#This Row],[Is_Analyst]]+DirtyData37[[#This Row],[Is_Dev]]+DirtyData37[[#This Row],[Is_Sci]]</f>
        <v>1</v>
      </c>
    </row>
    <row r="41" spans="1:14" x14ac:dyDescent="0.25">
      <c r="A41" s="1">
        <v>140</v>
      </c>
      <c r="B41" s="4" t="s">
        <v>47</v>
      </c>
      <c r="C41" s="12">
        <f>IF(ISBLANK(DirtyData[[#This Row],[Age]]), AVERAGE(DirtyData[Age]),DirtyData[[#This Row],[Age]])</f>
        <v>28</v>
      </c>
      <c r="D41" s="1"/>
      <c r="E41" s="16" t="s">
        <v>67</v>
      </c>
      <c r="F41" s="12">
        <f>IF(ISBLANK(DirtyData[[#This Row],[Score]]),AVERAGE(DirtyData[Score]),DirtyData[[#This Row],[Score]])</f>
        <v>93</v>
      </c>
      <c r="G41" s="3">
        <v>46052</v>
      </c>
      <c r="H41" s="16" t="str">
        <f ca="1">IF(DirtyData37[[#This Row],[Churned (Yes/No)]]=1,"Yes","No")</f>
        <v>No</v>
      </c>
      <c r="I41" s="11">
        <f>IF(ISBLANK(DirtyData37[[#This Row],[Age]]),1,0)</f>
        <v>0</v>
      </c>
      <c r="J41" s="11">
        <f>IF(DirtyData37[[#This Row],[Department]]="Engineer",1,0)</f>
        <v>1</v>
      </c>
      <c r="K41" s="11">
        <f>IF(DirtyData37[[#This Row],[Department]]="Analyst",1,0)</f>
        <v>0</v>
      </c>
      <c r="L41" s="11">
        <f>IF(DirtyData37[[#This Row],[Department]]="Developer",1,0)</f>
        <v>0</v>
      </c>
      <c r="M41" s="11">
        <f>IF(DirtyData37[[#This Row],[Department]]="Scientist",1,0)</f>
        <v>0</v>
      </c>
      <c r="N41" s="16">
        <f>DirtyData37[[#This Row],[Is_Eng]]+DirtyData37[[#This Row],[Is_Analyst]]+DirtyData37[[#This Row],[Is_Dev]]+DirtyData37[[#This Row],[Is_Sci]]</f>
        <v>1</v>
      </c>
    </row>
    <row r="42" spans="1:14" x14ac:dyDescent="0.25">
      <c r="A42" s="1">
        <v>141</v>
      </c>
      <c r="B42" s="2" t="s">
        <v>48</v>
      </c>
      <c r="C42" s="12">
        <f>IF(ISBLANK(DirtyData[[#This Row],[Age]]), AVERAGE(DirtyData[Age]),DirtyData[[#This Row],[Age]])</f>
        <v>23</v>
      </c>
      <c r="D42" s="1">
        <v>81422</v>
      </c>
      <c r="E42" s="16" t="s">
        <v>67</v>
      </c>
      <c r="F42" s="12">
        <f>IF(ISBLANK(DirtyData[[#This Row],[Score]]),AVERAGE(DirtyData[Score]),DirtyData[[#This Row],[Score]])</f>
        <v>65.5</v>
      </c>
      <c r="G42" s="3">
        <v>46052</v>
      </c>
      <c r="H42" s="16" t="str">
        <f ca="1">IF(DirtyData37[[#This Row],[Churned (Yes/No)]]=1,"Yes","No")</f>
        <v>No</v>
      </c>
      <c r="I42" s="11">
        <f>IF(ISBLANK(DirtyData37[[#This Row],[Age]]),1,0)</f>
        <v>0</v>
      </c>
      <c r="J42" s="11">
        <f>IF(DirtyData37[[#This Row],[Department]]="Engineer",1,0)</f>
        <v>1</v>
      </c>
      <c r="K42" s="11">
        <f>IF(DirtyData37[[#This Row],[Department]]="Analyst",1,0)</f>
        <v>0</v>
      </c>
      <c r="L42" s="11">
        <f>IF(DirtyData37[[#This Row],[Department]]="Developer",1,0)</f>
        <v>0</v>
      </c>
      <c r="M42" s="11">
        <f>IF(DirtyData37[[#This Row],[Department]]="Scientist",1,0)</f>
        <v>0</v>
      </c>
      <c r="N42" s="16">
        <f>DirtyData37[[#This Row],[Is_Eng]]+DirtyData37[[#This Row],[Is_Analyst]]+DirtyData37[[#This Row],[Is_Dev]]+DirtyData37[[#This Row],[Is_Sci]]</f>
        <v>1</v>
      </c>
    </row>
    <row r="43" spans="1:14" x14ac:dyDescent="0.25">
      <c r="A43" s="1">
        <v>142</v>
      </c>
      <c r="B43" s="4" t="s">
        <v>49</v>
      </c>
      <c r="C43" s="12">
        <f>IF(ISBLANK(DirtyData[[#This Row],[Age]]), AVERAGE(DirtyData[Age]),DirtyData[[#This Row],[Age]])</f>
        <v>24.170212765957448</v>
      </c>
      <c r="D43" s="1">
        <v>76882</v>
      </c>
      <c r="E43" s="16" t="s">
        <v>70</v>
      </c>
      <c r="F43" s="12">
        <f>IF(ISBLANK(DirtyData[[#This Row],[Score]]),AVERAGE(DirtyData[Score]),DirtyData[[#This Row],[Score]])</f>
        <v>42</v>
      </c>
      <c r="G43" s="3">
        <v>46052</v>
      </c>
      <c r="H43" s="16" t="str">
        <f ca="1">IF(DirtyData37[[#This Row],[Churned (Yes/No)]]=1,"Yes","No")</f>
        <v>No</v>
      </c>
      <c r="I43" s="11">
        <f>IF(ISBLANK(DirtyData37[[#This Row],[Age]]),1,0)</f>
        <v>0</v>
      </c>
      <c r="J43" s="11">
        <f>IF(DirtyData37[[#This Row],[Department]]="Engineer",1,0)</f>
        <v>0</v>
      </c>
      <c r="K43" s="11">
        <f>IF(DirtyData37[[#This Row],[Department]]="Analyst",1,0)</f>
        <v>0</v>
      </c>
      <c r="L43" s="11">
        <f>IF(DirtyData37[[#This Row],[Department]]="Developer",1,0)</f>
        <v>1</v>
      </c>
      <c r="M43" s="11">
        <f>IF(DirtyData37[[#This Row],[Department]]="Scientist",1,0)</f>
        <v>0</v>
      </c>
      <c r="N43" s="16">
        <f>DirtyData37[[#This Row],[Is_Eng]]+DirtyData37[[#This Row],[Is_Analyst]]+DirtyData37[[#This Row],[Is_Dev]]+DirtyData37[[#This Row],[Is_Sci]]</f>
        <v>1</v>
      </c>
    </row>
    <row r="44" spans="1:14" x14ac:dyDescent="0.25">
      <c r="A44" s="1">
        <v>143</v>
      </c>
      <c r="B44" s="2" t="s">
        <v>50</v>
      </c>
      <c r="C44" s="12">
        <f>IF(ISBLANK(DirtyData[[#This Row],[Age]]), AVERAGE(DirtyData[Age]),DirtyData[[#This Row],[Age]])</f>
        <v>20</v>
      </c>
      <c r="D44" s="1">
        <v>67479</v>
      </c>
      <c r="E44" s="16" t="s">
        <v>67</v>
      </c>
      <c r="F44" s="12">
        <f>IF(ISBLANK(DirtyData[[#This Row],[Score]]),AVERAGE(DirtyData[Score]),DirtyData[[#This Row],[Score]])</f>
        <v>46</v>
      </c>
      <c r="G44" s="3">
        <v>46052</v>
      </c>
      <c r="H44" s="16" t="str">
        <f ca="1">IF(DirtyData37[[#This Row],[Churned (Yes/No)]]=1,"Yes","No")</f>
        <v>Yes</v>
      </c>
      <c r="I44" s="11">
        <f>IF(ISBLANK(DirtyData37[[#This Row],[Age]]),1,0)</f>
        <v>0</v>
      </c>
      <c r="J44" s="11">
        <f>IF(DirtyData37[[#This Row],[Department]]="Engineer",1,0)</f>
        <v>1</v>
      </c>
      <c r="K44" s="11">
        <f>IF(DirtyData37[[#This Row],[Department]]="Analyst",1,0)</f>
        <v>0</v>
      </c>
      <c r="L44" s="11">
        <f>IF(DirtyData37[[#This Row],[Department]]="Developer",1,0)</f>
        <v>0</v>
      </c>
      <c r="M44" s="11">
        <f>IF(DirtyData37[[#This Row],[Department]]="Scientist",1,0)</f>
        <v>0</v>
      </c>
      <c r="N44" s="16">
        <f>DirtyData37[[#This Row],[Is_Eng]]+DirtyData37[[#This Row],[Is_Analyst]]+DirtyData37[[#This Row],[Is_Dev]]+DirtyData37[[#This Row],[Is_Sci]]</f>
        <v>1</v>
      </c>
    </row>
    <row r="45" spans="1:14" x14ac:dyDescent="0.25">
      <c r="A45" s="1">
        <v>144</v>
      </c>
      <c r="B45" s="4" t="s">
        <v>51</v>
      </c>
      <c r="C45" s="12">
        <f>IF(ISBLANK(DirtyData[[#This Row],[Age]]), AVERAGE(DirtyData[Age]),DirtyData[[#This Row],[Age]])</f>
        <v>27</v>
      </c>
      <c r="D45" s="1">
        <v>60126</v>
      </c>
      <c r="E45" s="16" t="s">
        <v>70</v>
      </c>
      <c r="F45" s="12">
        <f>IF(ISBLANK(DirtyData[[#This Row],[Score]]),AVERAGE(DirtyData[Score]),DirtyData[[#This Row],[Score]])</f>
        <v>57</v>
      </c>
      <c r="G45" s="3">
        <v>46052</v>
      </c>
      <c r="H45" s="16" t="str">
        <f ca="1">IF(DirtyData37[[#This Row],[Churned (Yes/No)]]=1,"Yes","No")</f>
        <v>Yes</v>
      </c>
      <c r="I45" s="11">
        <f>IF(ISBLANK(DirtyData37[[#This Row],[Age]]),1,0)</f>
        <v>0</v>
      </c>
      <c r="J45" s="11">
        <f>IF(DirtyData37[[#This Row],[Department]]="Engineer",1,0)</f>
        <v>0</v>
      </c>
      <c r="K45" s="11">
        <f>IF(DirtyData37[[#This Row],[Department]]="Analyst",1,0)</f>
        <v>0</v>
      </c>
      <c r="L45" s="11">
        <f>IF(DirtyData37[[#This Row],[Department]]="Developer",1,0)</f>
        <v>1</v>
      </c>
      <c r="M45" s="11">
        <f>IF(DirtyData37[[#This Row],[Department]]="Scientist",1,0)</f>
        <v>0</v>
      </c>
      <c r="N45" s="16">
        <f>DirtyData37[[#This Row],[Is_Eng]]+DirtyData37[[#This Row],[Is_Analyst]]+DirtyData37[[#This Row],[Is_Dev]]+DirtyData37[[#This Row],[Is_Sci]]</f>
        <v>1</v>
      </c>
    </row>
    <row r="46" spans="1:14" x14ac:dyDescent="0.25">
      <c r="A46" s="1">
        <v>145</v>
      </c>
      <c r="B46" s="2" t="s">
        <v>52</v>
      </c>
      <c r="C46" s="12">
        <f>IF(ISBLANK(DirtyData[[#This Row],[Age]]), AVERAGE(DirtyData[Age]),DirtyData[[#This Row],[Age]])</f>
        <v>24</v>
      </c>
      <c r="D46" s="1">
        <v>63626</v>
      </c>
      <c r="E46" s="16" t="s">
        <v>70</v>
      </c>
      <c r="F46" s="12">
        <f>IF(ISBLANK(DirtyData[[#This Row],[Score]]),AVERAGE(DirtyData[Score]),DirtyData[[#This Row],[Score]])</f>
        <v>94</v>
      </c>
      <c r="G46" s="3">
        <v>46052</v>
      </c>
      <c r="H46" s="16" t="str">
        <f ca="1">IF(DirtyData37[[#This Row],[Churned (Yes/No)]]=1,"Yes","No")</f>
        <v>Yes</v>
      </c>
      <c r="I46" s="11">
        <f>IF(ISBLANK(DirtyData37[[#This Row],[Age]]),1,0)</f>
        <v>0</v>
      </c>
      <c r="J46" s="11">
        <f>IF(DirtyData37[[#This Row],[Department]]="Engineer",1,0)</f>
        <v>0</v>
      </c>
      <c r="K46" s="11">
        <f>IF(DirtyData37[[#This Row],[Department]]="Analyst",1,0)</f>
        <v>0</v>
      </c>
      <c r="L46" s="11">
        <f>IF(DirtyData37[[#This Row],[Department]]="Developer",1,0)</f>
        <v>1</v>
      </c>
      <c r="M46" s="11">
        <f>IF(DirtyData37[[#This Row],[Department]]="Scientist",1,0)</f>
        <v>0</v>
      </c>
      <c r="N46" s="16">
        <f>DirtyData37[[#This Row],[Is_Eng]]+DirtyData37[[#This Row],[Is_Analyst]]+DirtyData37[[#This Row],[Is_Dev]]+DirtyData37[[#This Row],[Is_Sci]]</f>
        <v>1</v>
      </c>
    </row>
    <row r="47" spans="1:14" x14ac:dyDescent="0.25">
      <c r="A47" s="1">
        <v>146</v>
      </c>
      <c r="B47" s="4" t="s">
        <v>53</v>
      </c>
      <c r="C47" s="12">
        <f>IF(ISBLANK(DirtyData[[#This Row],[Age]]), AVERAGE(DirtyData[Age]),DirtyData[[#This Row],[Age]])</f>
        <v>27</v>
      </c>
      <c r="D47" s="1"/>
      <c r="E47" s="16" t="s">
        <v>67</v>
      </c>
      <c r="F47" s="12">
        <f>IF(ISBLANK(DirtyData[[#This Row],[Score]]),AVERAGE(DirtyData[Score]),DirtyData[[#This Row],[Score]])</f>
        <v>39</v>
      </c>
      <c r="G47" s="3">
        <v>46052</v>
      </c>
      <c r="H47" s="16" t="str">
        <f ca="1">IF(DirtyData37[[#This Row],[Churned (Yes/No)]]=1,"Yes","No")</f>
        <v>No</v>
      </c>
      <c r="I47" s="11">
        <f>IF(ISBLANK(DirtyData37[[#This Row],[Age]]),1,0)</f>
        <v>0</v>
      </c>
      <c r="J47" s="11">
        <f>IF(DirtyData37[[#This Row],[Department]]="Engineer",1,0)</f>
        <v>1</v>
      </c>
      <c r="K47" s="11">
        <f>IF(DirtyData37[[#This Row],[Department]]="Analyst",1,0)</f>
        <v>0</v>
      </c>
      <c r="L47" s="11">
        <f>IF(DirtyData37[[#This Row],[Department]]="Developer",1,0)</f>
        <v>0</v>
      </c>
      <c r="M47" s="11">
        <f>IF(DirtyData37[[#This Row],[Department]]="Scientist",1,0)</f>
        <v>0</v>
      </c>
      <c r="N47" s="16">
        <f>DirtyData37[[#This Row],[Is_Eng]]+DirtyData37[[#This Row],[Is_Analyst]]+DirtyData37[[#This Row],[Is_Dev]]+DirtyData37[[#This Row],[Is_Sci]]</f>
        <v>1</v>
      </c>
    </row>
    <row r="48" spans="1:14" x14ac:dyDescent="0.25">
      <c r="A48" s="1">
        <v>147</v>
      </c>
      <c r="B48" s="2" t="s">
        <v>54</v>
      </c>
      <c r="C48" s="12">
        <f>IF(ISBLANK(DirtyData[[#This Row],[Age]]), AVERAGE(DirtyData[Age]),DirtyData[[#This Row],[Age]])</f>
        <v>24</v>
      </c>
      <c r="D48" s="1"/>
      <c r="E48" s="16" t="s">
        <v>70</v>
      </c>
      <c r="F48" s="12">
        <f>IF(ISBLANK(DirtyData[[#This Row],[Score]]),AVERAGE(DirtyData[Score]),DirtyData[[#This Row],[Score]])</f>
        <v>83</v>
      </c>
      <c r="G48" s="3">
        <v>46052</v>
      </c>
      <c r="H48" s="16" t="str">
        <f ca="1">IF(DirtyData37[[#This Row],[Churned (Yes/No)]]=1,"Yes","No")</f>
        <v>No</v>
      </c>
      <c r="I48" s="11">
        <f>IF(ISBLANK(DirtyData37[[#This Row],[Age]]),1,0)</f>
        <v>0</v>
      </c>
      <c r="J48" s="11">
        <f>IF(DirtyData37[[#This Row],[Department]]="Engineer",1,0)</f>
        <v>0</v>
      </c>
      <c r="K48" s="11">
        <f>IF(DirtyData37[[#This Row],[Department]]="Analyst",1,0)</f>
        <v>0</v>
      </c>
      <c r="L48" s="11">
        <f>IF(DirtyData37[[#This Row],[Department]]="Developer",1,0)</f>
        <v>1</v>
      </c>
      <c r="M48" s="11">
        <f>IF(DirtyData37[[#This Row],[Department]]="Scientist",1,0)</f>
        <v>0</v>
      </c>
      <c r="N48" s="16">
        <f>DirtyData37[[#This Row],[Is_Eng]]+DirtyData37[[#This Row],[Is_Analyst]]+DirtyData37[[#This Row],[Is_Dev]]+DirtyData37[[#This Row],[Is_Sci]]</f>
        <v>1</v>
      </c>
    </row>
    <row r="49" spans="1:14" x14ac:dyDescent="0.25">
      <c r="A49" s="1">
        <v>148</v>
      </c>
      <c r="B49" s="4" t="s">
        <v>55</v>
      </c>
      <c r="C49" s="12">
        <f>IF(ISBLANK(DirtyData[[#This Row],[Age]]), AVERAGE(DirtyData[Age]),DirtyData[[#This Row],[Age]])</f>
        <v>24.170212765957448</v>
      </c>
      <c r="D49" s="1">
        <v>65633</v>
      </c>
      <c r="E49" s="16" t="s">
        <v>67</v>
      </c>
      <c r="F49" s="12">
        <f>IF(ISBLANK(DirtyData[[#This Row],[Score]]),AVERAGE(DirtyData[Score]),DirtyData[[#This Row],[Score]])</f>
        <v>65.5</v>
      </c>
      <c r="G49" s="3">
        <v>46052</v>
      </c>
      <c r="H49" s="16" t="str">
        <f ca="1">IF(DirtyData37[[#This Row],[Churned (Yes/No)]]=1,"Yes","No")</f>
        <v>Yes</v>
      </c>
      <c r="I49" s="11">
        <f>IF(ISBLANK(DirtyData37[[#This Row],[Age]]),1,0)</f>
        <v>0</v>
      </c>
      <c r="J49" s="11">
        <f>IF(DirtyData37[[#This Row],[Department]]="Engineer",1,0)</f>
        <v>1</v>
      </c>
      <c r="K49" s="11">
        <f>IF(DirtyData37[[#This Row],[Department]]="Analyst",1,0)</f>
        <v>0</v>
      </c>
      <c r="L49" s="11">
        <f>IF(DirtyData37[[#This Row],[Department]]="Developer",1,0)</f>
        <v>0</v>
      </c>
      <c r="M49" s="11">
        <f>IF(DirtyData37[[#This Row],[Department]]="Scientist",1,0)</f>
        <v>0</v>
      </c>
      <c r="N49" s="16">
        <f>DirtyData37[[#This Row],[Is_Eng]]+DirtyData37[[#This Row],[Is_Analyst]]+DirtyData37[[#This Row],[Is_Dev]]+DirtyData37[[#This Row],[Is_Sci]]</f>
        <v>1</v>
      </c>
    </row>
    <row r="50" spans="1:14" x14ac:dyDescent="0.25">
      <c r="A50" s="1">
        <v>149</v>
      </c>
      <c r="B50" s="2" t="s">
        <v>56</v>
      </c>
      <c r="C50" s="12">
        <f>IF(ISBLANK(DirtyData[[#This Row],[Age]]), AVERAGE(DirtyData[Age]),DirtyData[[#This Row],[Age]])</f>
        <v>27</v>
      </c>
      <c r="D50" s="1">
        <v>85793</v>
      </c>
      <c r="E50" s="16" t="s">
        <v>68</v>
      </c>
      <c r="F50" s="12">
        <f>IF(ISBLANK(DirtyData[[#This Row],[Score]]),AVERAGE(DirtyData[Score]),DirtyData[[#This Row],[Score]])</f>
        <v>62</v>
      </c>
      <c r="G50" s="3">
        <v>46052</v>
      </c>
      <c r="H50" s="16" t="str">
        <f ca="1">IF(DirtyData37[[#This Row],[Churned (Yes/No)]]=1,"Yes","No")</f>
        <v>No</v>
      </c>
      <c r="I50" s="11">
        <f>IF(ISBLANK(DirtyData37[[#This Row],[Age]]),1,0)</f>
        <v>0</v>
      </c>
      <c r="J50" s="11">
        <f>IF(DirtyData37[[#This Row],[Department]]="Engineer",1,0)</f>
        <v>0</v>
      </c>
      <c r="K50" s="11">
        <f>IF(DirtyData37[[#This Row],[Department]]="Analyst",1,0)</f>
        <v>0</v>
      </c>
      <c r="L50" s="11">
        <f>IF(DirtyData37[[#This Row],[Department]]="Developer",1,0)</f>
        <v>0</v>
      </c>
      <c r="M50" s="11">
        <f>IF(DirtyData37[[#This Row],[Department]]="Scientist",1,0)</f>
        <v>1</v>
      </c>
      <c r="N50" s="16">
        <f>DirtyData37[[#This Row],[Is_Eng]]+DirtyData37[[#This Row],[Is_Analyst]]+DirtyData37[[#This Row],[Is_Dev]]+DirtyData37[[#This Row],[Is_Sci]]</f>
        <v>1</v>
      </c>
    </row>
    <row r="51" spans="1:14" x14ac:dyDescent="0.25">
      <c r="A51" s="1">
        <v>150</v>
      </c>
      <c r="B51" s="4" t="s">
        <v>56</v>
      </c>
      <c r="C51" s="12">
        <f>IF(ISBLANK(DirtyData[[#This Row],[Age]]), AVERAGE(DirtyData[Age]),DirtyData[[#This Row],[Age]])</f>
        <v>25</v>
      </c>
      <c r="D51" s="1">
        <v>91285</v>
      </c>
      <c r="E51" s="16" t="s">
        <v>68</v>
      </c>
      <c r="F51" s="12">
        <f>IF(ISBLANK(DirtyData[[#This Row],[Score]]),AVERAGE(DirtyData[Score]),DirtyData[[#This Row],[Score]])</f>
        <v>87</v>
      </c>
      <c r="G51" s="3">
        <v>46052</v>
      </c>
      <c r="H51" s="16" t="str">
        <f ca="1">IF(DirtyData37[[#This Row],[Churned (Yes/No)]]=1,"Yes","No")</f>
        <v>Yes</v>
      </c>
      <c r="I51" s="11">
        <f>IF(ISBLANK(DirtyData37[[#This Row],[Age]]),1,0)</f>
        <v>0</v>
      </c>
      <c r="J51" s="11">
        <f>IF(DirtyData37[[#This Row],[Department]]="Engineer",1,0)</f>
        <v>0</v>
      </c>
      <c r="K51" s="11">
        <f>IF(DirtyData37[[#This Row],[Department]]="Analyst",1,0)</f>
        <v>0</v>
      </c>
      <c r="L51" s="11">
        <f>IF(DirtyData37[[#This Row],[Department]]="Developer",1,0)</f>
        <v>0</v>
      </c>
      <c r="M51" s="11">
        <f>IF(DirtyData37[[#This Row],[Department]]="Scientist",1,0)</f>
        <v>1</v>
      </c>
      <c r="N51" s="16">
        <f>DirtyData37[[#This Row],[Is_Eng]]+DirtyData37[[#This Row],[Is_Analyst]]+DirtyData37[[#This Row],[Is_Dev]]+DirtyData37[[#This Row],[Is_Sci]]</f>
        <v>1</v>
      </c>
    </row>
    <row r="52" spans="1:14" x14ac:dyDescent="0.25">
      <c r="A52" s="1">
        <v>151</v>
      </c>
      <c r="B52" s="2" t="s">
        <v>57</v>
      </c>
      <c r="C52" s="12">
        <f>IF(ISBLANK(DirtyData[[#This Row],[Age]]), AVERAGE(DirtyData[Age]),DirtyData[[#This Row],[Age]])</f>
        <v>24.170212765957448</v>
      </c>
      <c r="D52" s="1">
        <v>82320</v>
      </c>
      <c r="E52" s="16" t="s">
        <v>70</v>
      </c>
      <c r="F52" s="12">
        <f>IF(ISBLANK(DirtyData[[#This Row],[Score]]),AVERAGE(DirtyData[Score]),DirtyData[[#This Row],[Score]])</f>
        <v>65.5</v>
      </c>
      <c r="G52" s="3">
        <v>46052</v>
      </c>
      <c r="H52" s="16" t="str">
        <f ca="1">IF(DirtyData37[[#This Row],[Churned (Yes/No)]]=1,"Yes","No")</f>
        <v>Yes</v>
      </c>
      <c r="I52" s="11">
        <f>IF(ISBLANK(DirtyData37[[#This Row],[Age]]),1,0)</f>
        <v>0</v>
      </c>
      <c r="J52" s="11">
        <f>IF(DirtyData37[[#This Row],[Department]]="Engineer",1,0)</f>
        <v>0</v>
      </c>
      <c r="K52" s="11">
        <f>IF(DirtyData37[[#This Row],[Department]]="Analyst",1,0)</f>
        <v>0</v>
      </c>
      <c r="L52" s="11">
        <f>IF(DirtyData37[[#This Row],[Department]]="Developer",1,0)</f>
        <v>1</v>
      </c>
      <c r="M52" s="11">
        <f>IF(DirtyData37[[#This Row],[Department]]="Scientist",1,0)</f>
        <v>0</v>
      </c>
      <c r="N52" s="16">
        <f>DirtyData37[[#This Row],[Is_Eng]]+DirtyData37[[#This Row],[Is_Analyst]]+DirtyData37[[#This Row],[Is_Dev]]+DirtyData37[[#This Row],[Is_Sci]]</f>
        <v>1</v>
      </c>
    </row>
    <row r="53" spans="1:14" x14ac:dyDescent="0.25">
      <c r="A53" s="1">
        <v>152</v>
      </c>
      <c r="B53" s="4" t="s">
        <v>58</v>
      </c>
      <c r="C53" s="12">
        <f>IF(ISBLANK(DirtyData[[#This Row],[Age]]), AVERAGE(DirtyData[Age]),DirtyData[[#This Row],[Age]])</f>
        <v>19</v>
      </c>
      <c r="D53" s="1">
        <v>78969</v>
      </c>
      <c r="E53" s="16" t="s">
        <v>69</v>
      </c>
      <c r="F53" s="12">
        <f>IF(ISBLANK(DirtyData[[#This Row],[Score]]),AVERAGE(DirtyData[Score]),DirtyData[[#This Row],[Score]])</f>
        <v>44</v>
      </c>
      <c r="G53" s="3">
        <v>46052</v>
      </c>
      <c r="H53" s="16" t="str">
        <f ca="1">IF(DirtyData37[[#This Row],[Churned (Yes/No)]]=1,"Yes","No")</f>
        <v>No</v>
      </c>
      <c r="I53" s="11">
        <f>IF(ISBLANK(DirtyData37[[#This Row],[Age]]),1,0)</f>
        <v>0</v>
      </c>
      <c r="J53" s="11">
        <f>IF(DirtyData37[[#This Row],[Department]]="Engineer",1,0)</f>
        <v>0</v>
      </c>
      <c r="K53" s="11">
        <f>IF(DirtyData37[[#This Row],[Department]]="Analyst",1,0)</f>
        <v>1</v>
      </c>
      <c r="L53" s="11">
        <f>IF(DirtyData37[[#This Row],[Department]]="Developer",1,0)</f>
        <v>0</v>
      </c>
      <c r="M53" s="11">
        <f>IF(DirtyData37[[#This Row],[Department]]="Scientist",1,0)</f>
        <v>0</v>
      </c>
      <c r="N53" s="16">
        <f>DirtyData37[[#This Row],[Is_Eng]]+DirtyData37[[#This Row],[Is_Analyst]]+DirtyData37[[#This Row],[Is_Dev]]+DirtyData37[[#This Row],[Is_Sci]]</f>
        <v>1</v>
      </c>
    </row>
    <row r="54" spans="1:14" x14ac:dyDescent="0.25">
      <c r="A54" s="1">
        <v>153</v>
      </c>
      <c r="B54" s="2" t="s">
        <v>59</v>
      </c>
      <c r="C54" s="12">
        <f>IF(ISBLANK(DirtyData[[#This Row],[Age]]), AVERAGE(DirtyData[Age]),DirtyData[[#This Row],[Age]])</f>
        <v>21</v>
      </c>
      <c r="D54" s="1"/>
      <c r="E54" s="16" t="s">
        <v>67</v>
      </c>
      <c r="F54" s="12">
        <f>IF(ISBLANK(DirtyData[[#This Row],[Score]]),AVERAGE(DirtyData[Score]),DirtyData[[#This Row],[Score]])</f>
        <v>47</v>
      </c>
      <c r="G54" s="3">
        <v>46052</v>
      </c>
      <c r="H54" s="16" t="str">
        <f ca="1">IF(DirtyData37[[#This Row],[Churned (Yes/No)]]=1,"Yes","No")</f>
        <v>Yes</v>
      </c>
      <c r="I54" s="11">
        <f>IF(ISBLANK(DirtyData37[[#This Row],[Age]]),1,0)</f>
        <v>0</v>
      </c>
      <c r="J54" s="11">
        <f>IF(DirtyData37[[#This Row],[Department]]="Engineer",1,0)</f>
        <v>1</v>
      </c>
      <c r="K54" s="11">
        <f>IF(DirtyData37[[#This Row],[Department]]="Analyst",1,0)</f>
        <v>0</v>
      </c>
      <c r="L54" s="11">
        <f>IF(DirtyData37[[#This Row],[Department]]="Developer",1,0)</f>
        <v>0</v>
      </c>
      <c r="M54" s="11">
        <f>IF(DirtyData37[[#This Row],[Department]]="Scientist",1,0)</f>
        <v>0</v>
      </c>
      <c r="N54" s="16">
        <f>DirtyData37[[#This Row],[Is_Eng]]+DirtyData37[[#This Row],[Is_Analyst]]+DirtyData37[[#This Row],[Is_Dev]]+DirtyData37[[#This Row],[Is_Sci]]</f>
        <v>1</v>
      </c>
    </row>
    <row r="55" spans="1:14" x14ac:dyDescent="0.25">
      <c r="A55" s="1">
        <v>154</v>
      </c>
      <c r="B55" s="4" t="s">
        <v>60</v>
      </c>
      <c r="C55" s="12">
        <f>IF(ISBLANK(DirtyData[[#This Row],[Age]]), AVERAGE(DirtyData[Age]),DirtyData[[#This Row],[Age]])</f>
        <v>25</v>
      </c>
      <c r="D55" s="1">
        <v>89845</v>
      </c>
      <c r="E55" s="16" t="s">
        <v>68</v>
      </c>
      <c r="F55" s="12">
        <f>IF(ISBLANK(DirtyData[[#This Row],[Score]]),AVERAGE(DirtyData[Score]),DirtyData[[#This Row],[Score]])</f>
        <v>80</v>
      </c>
      <c r="G55" s="3">
        <v>46052</v>
      </c>
      <c r="H55" s="16" t="str">
        <f ca="1">IF(DirtyData37[[#This Row],[Churned (Yes/No)]]=1,"Yes","No")</f>
        <v>No</v>
      </c>
      <c r="I55" s="11">
        <f>IF(ISBLANK(DirtyData37[[#This Row],[Age]]),1,0)</f>
        <v>0</v>
      </c>
      <c r="J55" s="11">
        <f>IF(DirtyData37[[#This Row],[Department]]="Engineer",1,0)</f>
        <v>0</v>
      </c>
      <c r="K55" s="11">
        <f>IF(DirtyData37[[#This Row],[Department]]="Analyst",1,0)</f>
        <v>0</v>
      </c>
      <c r="L55" s="11">
        <f>IF(DirtyData37[[#This Row],[Department]]="Developer",1,0)</f>
        <v>0</v>
      </c>
      <c r="M55" s="11">
        <f>IF(DirtyData37[[#This Row],[Department]]="Scientist",1,0)</f>
        <v>1</v>
      </c>
      <c r="N55" s="16">
        <f>DirtyData37[[#This Row],[Is_Eng]]+DirtyData37[[#This Row],[Is_Analyst]]+DirtyData37[[#This Row],[Is_Dev]]+DirtyData37[[#This Row],[Is_Sci]]</f>
        <v>1</v>
      </c>
    </row>
    <row r="56" spans="1:14" x14ac:dyDescent="0.25">
      <c r="A56" s="1">
        <v>155</v>
      </c>
      <c r="B56" s="2" t="s">
        <v>61</v>
      </c>
      <c r="C56" s="12">
        <f>IF(ISBLANK(DirtyData[[#This Row],[Age]]), AVERAGE(DirtyData[Age]),DirtyData[[#This Row],[Age]])</f>
        <v>30</v>
      </c>
      <c r="D56" s="1">
        <v>65364</v>
      </c>
      <c r="E56" s="16" t="s">
        <v>68</v>
      </c>
      <c r="F56" s="12">
        <f>IF(ISBLANK(DirtyData[[#This Row],[Score]]),AVERAGE(DirtyData[Score]),DirtyData[[#This Row],[Score]])</f>
        <v>65.5</v>
      </c>
      <c r="G56" s="3">
        <v>46052</v>
      </c>
      <c r="H56" s="16" t="str">
        <f ca="1">IF(DirtyData37[[#This Row],[Churned (Yes/No)]]=1,"Yes","No")</f>
        <v>No</v>
      </c>
      <c r="I56" s="11">
        <f>IF(ISBLANK(DirtyData37[[#This Row],[Age]]),1,0)</f>
        <v>0</v>
      </c>
      <c r="J56" s="11">
        <f>IF(DirtyData37[[#This Row],[Department]]="Engineer",1,0)</f>
        <v>0</v>
      </c>
      <c r="K56" s="11">
        <f>IF(DirtyData37[[#This Row],[Department]]="Analyst",1,0)</f>
        <v>0</v>
      </c>
      <c r="L56" s="11">
        <f>IF(DirtyData37[[#This Row],[Department]]="Developer",1,0)</f>
        <v>0</v>
      </c>
      <c r="M56" s="11">
        <f>IF(DirtyData37[[#This Row],[Department]]="Scientist",1,0)</f>
        <v>1</v>
      </c>
      <c r="N56" s="16">
        <f>DirtyData37[[#This Row],[Is_Eng]]+DirtyData37[[#This Row],[Is_Analyst]]+DirtyData37[[#This Row],[Is_Dev]]+DirtyData37[[#This Row],[Is_Sci]]</f>
        <v>1</v>
      </c>
    </row>
    <row r="57" spans="1:14" x14ac:dyDescent="0.25">
      <c r="A57" s="1">
        <v>156</v>
      </c>
      <c r="B57" s="4" t="s">
        <v>62</v>
      </c>
      <c r="C57" s="12">
        <f>IF(ISBLANK(DirtyData[[#This Row],[Age]]), AVERAGE(DirtyData[Age]),DirtyData[[#This Row],[Age]])</f>
        <v>24</v>
      </c>
      <c r="D57" s="1">
        <v>81150</v>
      </c>
      <c r="E57" s="16" t="s">
        <v>70</v>
      </c>
      <c r="F57" s="12">
        <f>IF(ISBLANK(DirtyData[[#This Row],[Score]]),AVERAGE(DirtyData[Score]),DirtyData[[#This Row],[Score]])</f>
        <v>56</v>
      </c>
      <c r="G57" s="3">
        <v>46052</v>
      </c>
      <c r="H57" s="16" t="str">
        <f ca="1">IF(DirtyData37[[#This Row],[Churned (Yes/No)]]=1,"Yes","No")</f>
        <v>Yes</v>
      </c>
      <c r="I57" s="11">
        <f>IF(ISBLANK(DirtyData37[[#This Row],[Age]]),1,0)</f>
        <v>0</v>
      </c>
      <c r="J57" s="11">
        <f>IF(DirtyData37[[#This Row],[Department]]="Engineer",1,0)</f>
        <v>0</v>
      </c>
      <c r="K57" s="11">
        <f>IF(DirtyData37[[#This Row],[Department]]="Analyst",1,0)</f>
        <v>0</v>
      </c>
      <c r="L57" s="11">
        <f>IF(DirtyData37[[#This Row],[Department]]="Developer",1,0)</f>
        <v>1</v>
      </c>
      <c r="M57" s="11">
        <f>IF(DirtyData37[[#This Row],[Department]]="Scientist",1,0)</f>
        <v>0</v>
      </c>
      <c r="N57" s="16">
        <f>DirtyData37[[#This Row],[Is_Eng]]+DirtyData37[[#This Row],[Is_Analyst]]+DirtyData37[[#This Row],[Is_Dev]]+DirtyData37[[#This Row],[Is_Sci]]</f>
        <v>1</v>
      </c>
    </row>
    <row r="58" spans="1:14" x14ac:dyDescent="0.25">
      <c r="A58" s="1">
        <v>157</v>
      </c>
      <c r="B58" s="2" t="s">
        <v>63</v>
      </c>
      <c r="C58" s="12">
        <f>IF(ISBLANK(DirtyData[[#This Row],[Age]]), AVERAGE(DirtyData[Age]),DirtyData[[#This Row],[Age]])</f>
        <v>20</v>
      </c>
      <c r="D58" s="1"/>
      <c r="E58" s="16" t="s">
        <v>67</v>
      </c>
      <c r="F58" s="12">
        <f>IF(ISBLANK(DirtyData[[#This Row],[Score]]),AVERAGE(DirtyData[Score]),DirtyData[[#This Row],[Score]])</f>
        <v>43</v>
      </c>
      <c r="G58" s="3">
        <v>46052</v>
      </c>
      <c r="H58" s="16" t="str">
        <f ca="1">IF(DirtyData37[[#This Row],[Churned (Yes/No)]]=1,"Yes","No")</f>
        <v>Yes</v>
      </c>
      <c r="I58" s="11">
        <f>IF(ISBLANK(DirtyData37[[#This Row],[Age]]),1,0)</f>
        <v>0</v>
      </c>
      <c r="J58" s="11">
        <f>IF(DirtyData37[[#This Row],[Department]]="Engineer",1,0)</f>
        <v>1</v>
      </c>
      <c r="K58" s="11">
        <f>IF(DirtyData37[[#This Row],[Department]]="Analyst",1,0)</f>
        <v>0</v>
      </c>
      <c r="L58" s="11">
        <f>IF(DirtyData37[[#This Row],[Department]]="Developer",1,0)</f>
        <v>0</v>
      </c>
      <c r="M58" s="11">
        <f>IF(DirtyData37[[#This Row],[Department]]="Scientist",1,0)</f>
        <v>0</v>
      </c>
      <c r="N58" s="16">
        <f>DirtyData37[[#This Row],[Is_Eng]]+DirtyData37[[#This Row],[Is_Analyst]]+DirtyData37[[#This Row],[Is_Dev]]+DirtyData37[[#This Row],[Is_Sci]]</f>
        <v>1</v>
      </c>
    </row>
    <row r="59" spans="1:14" x14ac:dyDescent="0.25">
      <c r="A59" s="1">
        <v>158</v>
      </c>
      <c r="B59" s="4" t="s">
        <v>64</v>
      </c>
      <c r="C59" s="12">
        <f>IF(ISBLANK(DirtyData[[#This Row],[Age]]), AVERAGE(DirtyData[Age]),DirtyData[[#This Row],[Age]])</f>
        <v>19</v>
      </c>
      <c r="D59" s="1">
        <v>71295</v>
      </c>
      <c r="E59" s="16" t="s">
        <v>67</v>
      </c>
      <c r="F59" s="12">
        <f>IF(ISBLANK(DirtyData[[#This Row],[Score]]),AVERAGE(DirtyData[Score]),DirtyData[[#This Row],[Score]])</f>
        <v>30</v>
      </c>
      <c r="G59" s="3">
        <v>46052</v>
      </c>
      <c r="H59" s="16" t="str">
        <f ca="1">IF(DirtyData37[[#This Row],[Churned (Yes/No)]]=1,"Yes","No")</f>
        <v>No</v>
      </c>
      <c r="I59" s="11">
        <f>IF(ISBLANK(DirtyData37[[#This Row],[Age]]),1,0)</f>
        <v>0</v>
      </c>
      <c r="J59" s="11">
        <f>IF(DirtyData37[[#This Row],[Department]]="Engineer",1,0)</f>
        <v>1</v>
      </c>
      <c r="K59" s="11">
        <f>IF(DirtyData37[[#This Row],[Department]]="Analyst",1,0)</f>
        <v>0</v>
      </c>
      <c r="L59" s="11">
        <f>IF(DirtyData37[[#This Row],[Department]]="Developer",1,0)</f>
        <v>0</v>
      </c>
      <c r="M59" s="11">
        <f>IF(DirtyData37[[#This Row],[Department]]="Scientist",1,0)</f>
        <v>0</v>
      </c>
      <c r="N59" s="16">
        <f>DirtyData37[[#This Row],[Is_Eng]]+DirtyData37[[#This Row],[Is_Analyst]]+DirtyData37[[#This Row],[Is_Dev]]+DirtyData37[[#This Row],[Is_Sci]]</f>
        <v>1</v>
      </c>
    </row>
    <row r="60" spans="1:14" x14ac:dyDescent="0.25">
      <c r="A60" s="1">
        <v>159</v>
      </c>
      <c r="B60" s="2" t="s">
        <v>65</v>
      </c>
      <c r="C60" s="12">
        <f>IF(ISBLANK(DirtyData[[#This Row],[Age]]), AVERAGE(DirtyData[Age]),DirtyData[[#This Row],[Age]])</f>
        <v>24.170212765957448</v>
      </c>
      <c r="D60" s="1">
        <v>67984</v>
      </c>
      <c r="E60" s="16" t="s">
        <v>68</v>
      </c>
      <c r="F60" s="12">
        <f>IF(ISBLANK(DirtyData[[#This Row],[Score]]),AVERAGE(DirtyData[Score]),DirtyData[[#This Row],[Score]])</f>
        <v>63</v>
      </c>
      <c r="G60" s="3">
        <v>46052</v>
      </c>
      <c r="H60" s="16" t="str">
        <f ca="1">IF(DirtyData37[[#This Row],[Churned (Yes/No)]]=1,"Yes","No")</f>
        <v>Yes</v>
      </c>
      <c r="I60" s="11">
        <f>IF(ISBLANK(DirtyData37[[#This Row],[Age]]),1,0)</f>
        <v>0</v>
      </c>
      <c r="J60" s="11">
        <f>IF(DirtyData37[[#This Row],[Department]]="Engineer",1,0)</f>
        <v>0</v>
      </c>
      <c r="K60" s="11">
        <f>IF(DirtyData37[[#This Row],[Department]]="Analyst",1,0)</f>
        <v>0</v>
      </c>
      <c r="L60" s="11">
        <f>IF(DirtyData37[[#This Row],[Department]]="Developer",1,0)</f>
        <v>0</v>
      </c>
      <c r="M60" s="11">
        <f>IF(DirtyData37[[#This Row],[Department]]="Scientist",1,0)</f>
        <v>1</v>
      </c>
      <c r="N60" s="16">
        <f>DirtyData37[[#This Row],[Is_Eng]]+DirtyData37[[#This Row],[Is_Analyst]]+DirtyData37[[#This Row],[Is_Dev]]+DirtyData37[[#This Row],[Is_Sci]]</f>
        <v>1</v>
      </c>
    </row>
    <row r="61" spans="1:14" x14ac:dyDescent="0.25">
      <c r="A61" s="1">
        <v>160</v>
      </c>
      <c r="B61" s="4" t="s">
        <v>66</v>
      </c>
      <c r="C61" s="12">
        <f>IF(ISBLANK(DirtyData[[#This Row],[Age]]), AVERAGE(DirtyData[Age]),DirtyData[[#This Row],[Age]])</f>
        <v>23</v>
      </c>
      <c r="D61" s="1">
        <v>61922</v>
      </c>
      <c r="E61" s="16" t="s">
        <v>67</v>
      </c>
      <c r="F61" s="12">
        <f>IF(ISBLANK(DirtyData[[#This Row],[Score]]),AVERAGE(DirtyData[Score]),DirtyData[[#This Row],[Score]])</f>
        <v>76</v>
      </c>
      <c r="G61" s="3">
        <v>46052</v>
      </c>
      <c r="H61" s="16" t="str">
        <f ca="1">IF(DirtyData37[[#This Row],[Churned (Yes/No)]]=1,"Yes","No")</f>
        <v>No</v>
      </c>
      <c r="I61" s="11">
        <f>IF(ISBLANK(DirtyData37[[#This Row],[Age]]),1,0)</f>
        <v>0</v>
      </c>
      <c r="J61" s="11">
        <f>IF(DirtyData37[[#This Row],[Department]]="Engineer",1,0)</f>
        <v>1</v>
      </c>
      <c r="K61" s="11">
        <f>IF(DirtyData37[[#This Row],[Department]]="Analyst",1,0)</f>
        <v>0</v>
      </c>
      <c r="L61" s="11">
        <f>IF(DirtyData37[[#This Row],[Department]]="Developer",1,0)</f>
        <v>0</v>
      </c>
      <c r="M61" s="11">
        <f>IF(DirtyData37[[#This Row],[Department]]="Scientist",1,0)</f>
        <v>0</v>
      </c>
      <c r="N61" s="16">
        <f>DirtyData37[[#This Row],[Is_Eng]]+DirtyData37[[#This Row],[Is_Analyst]]+DirtyData37[[#This Row],[Is_Dev]]+DirtyData37[[#This Row],[Is_Sci]]</f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A9B9E4-BA84-4A51-BBB8-048352F0E3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DirtyData</vt:lpstr>
      <vt:lpstr>DirtyData (2)</vt:lpstr>
      <vt:lpstr>Clean Data</vt:lpstr>
      <vt:lpstr>DedupLab</vt:lpstr>
      <vt:lpstr>Encodelab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Batch5</dc:creator>
  <cp:lastModifiedBy>Batch3</cp:lastModifiedBy>
  <dcterms:created xsi:type="dcterms:W3CDTF">2026-05-14T09:48:16Z</dcterms:created>
  <dcterms:modified xsi:type="dcterms:W3CDTF">2026-05-16T10:36:30Z</dcterms:modified>
</cp:coreProperties>
</file>