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Krish\01_Excel\Excel Books\"/>
    </mc:Choice>
  </mc:AlternateContent>
  <xr:revisionPtr revIDLastSave="0" documentId="13_ncr:1_{867F949B-60C4-4D5E-913E-DE61BE737B72}" xr6:coauthVersionLast="47" xr6:coauthVersionMax="47" xr10:uidLastSave="{00000000-0000-0000-0000-000000000000}"/>
  <bookViews>
    <workbookView xWindow="-120" yWindow="-120" windowWidth="24240" windowHeight="13140" activeTab="2" xr2:uid="{08A6A095-D021-4EC9-86F8-C39DA107757A}"/>
  </bookViews>
  <sheets>
    <sheet name="RawData" sheetId="1" r:id="rId1"/>
    <sheet name="OutlierLab" sheetId="2" r:id="rId2"/>
    <sheet name="CorrelLa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I4" i="2"/>
  <c r="I6" i="2" s="1"/>
  <c r="I8" i="2" s="1"/>
  <c r="I3" i="2"/>
  <c r="I2" i="2"/>
  <c r="I1" i="2"/>
  <c r="I7" i="2" l="1"/>
  <c r="F2" i="2" l="1"/>
  <c r="F6" i="2"/>
  <c r="F10" i="2"/>
  <c r="F14" i="2"/>
  <c r="F18" i="2"/>
  <c r="F22" i="2"/>
  <c r="F26" i="2"/>
  <c r="F30" i="2"/>
  <c r="F34" i="2"/>
  <c r="F38" i="2"/>
  <c r="F42" i="2"/>
  <c r="F46" i="2"/>
  <c r="F50" i="2"/>
  <c r="F54" i="2"/>
  <c r="F58" i="2"/>
  <c r="F62" i="2"/>
  <c r="F66" i="2"/>
  <c r="F70" i="2"/>
  <c r="F74" i="2"/>
  <c r="F78" i="2"/>
  <c r="F82" i="2"/>
  <c r="F86" i="2"/>
  <c r="F90" i="2"/>
  <c r="F94" i="2"/>
  <c r="F98" i="2"/>
  <c r="F8" i="2"/>
  <c r="F16" i="2"/>
  <c r="F20" i="2"/>
  <c r="F28" i="2"/>
  <c r="F36" i="2"/>
  <c r="F44" i="2"/>
  <c r="F52" i="2"/>
  <c r="F60" i="2"/>
  <c r="F68" i="2"/>
  <c r="F76" i="2"/>
  <c r="F84" i="2"/>
  <c r="F92" i="2"/>
  <c r="F100" i="2"/>
  <c r="F9" i="2"/>
  <c r="F21" i="2"/>
  <c r="F29" i="2"/>
  <c r="F37" i="2"/>
  <c r="F45" i="2"/>
  <c r="F53" i="2"/>
  <c r="F61" i="2"/>
  <c r="F69" i="2"/>
  <c r="F77" i="2"/>
  <c r="F85" i="2"/>
  <c r="F93" i="2"/>
  <c r="F101" i="2"/>
  <c r="F3" i="2"/>
  <c r="F7" i="2"/>
  <c r="F11" i="2"/>
  <c r="F15" i="2"/>
  <c r="F19" i="2"/>
  <c r="F23" i="2"/>
  <c r="F27" i="2"/>
  <c r="F31" i="2"/>
  <c r="F35" i="2"/>
  <c r="F39" i="2"/>
  <c r="F43" i="2"/>
  <c r="F47" i="2"/>
  <c r="F51" i="2"/>
  <c r="F55" i="2"/>
  <c r="F59" i="2"/>
  <c r="F63" i="2"/>
  <c r="F67" i="2"/>
  <c r="F71" i="2"/>
  <c r="F75" i="2"/>
  <c r="F79" i="2"/>
  <c r="F83" i="2"/>
  <c r="F87" i="2"/>
  <c r="F91" i="2"/>
  <c r="F95" i="2"/>
  <c r="F99" i="2"/>
  <c r="F4" i="2"/>
  <c r="F12" i="2"/>
  <c r="F24" i="2"/>
  <c r="F32" i="2"/>
  <c r="F40" i="2"/>
  <c r="F48" i="2"/>
  <c r="F56" i="2"/>
  <c r="F64" i="2"/>
  <c r="F72" i="2"/>
  <c r="F80" i="2"/>
  <c r="F88" i="2"/>
  <c r="F96" i="2"/>
  <c r="F5" i="2"/>
  <c r="F13" i="2"/>
  <c r="F17" i="2"/>
  <c r="F25" i="2"/>
  <c r="F33" i="2"/>
  <c r="F41" i="2"/>
  <c r="F49" i="2"/>
  <c r="F57" i="2"/>
  <c r="F65" i="2"/>
  <c r="F73" i="2"/>
  <c r="F81" i="2"/>
  <c r="F89" i="2"/>
  <c r="F97" i="2"/>
  <c r="G2" i="2" l="1"/>
  <c r="G6" i="2"/>
  <c r="G10" i="2"/>
  <c r="G14" i="2"/>
  <c r="G18" i="2"/>
  <c r="G22" i="2"/>
  <c r="G26" i="2"/>
  <c r="G30" i="2"/>
  <c r="G34" i="2"/>
  <c r="G38" i="2"/>
  <c r="G42" i="2"/>
  <c r="G46" i="2"/>
  <c r="G50" i="2"/>
  <c r="G54" i="2"/>
  <c r="G58" i="2"/>
  <c r="G62" i="2"/>
  <c r="G66" i="2"/>
  <c r="G70" i="2"/>
  <c r="G74" i="2"/>
  <c r="G78" i="2"/>
  <c r="G82" i="2"/>
  <c r="G86" i="2"/>
  <c r="G90" i="2"/>
  <c r="G94" i="2"/>
  <c r="G98" i="2"/>
  <c r="G8" i="2"/>
  <c r="G24" i="2"/>
  <c r="G32" i="2"/>
  <c r="G36" i="2"/>
  <c r="G48" i="2"/>
  <c r="G56" i="2"/>
  <c r="G64" i="2"/>
  <c r="G68" i="2"/>
  <c r="G76" i="2"/>
  <c r="G84" i="2"/>
  <c r="G92" i="2"/>
  <c r="G96" i="2"/>
  <c r="G17" i="2"/>
  <c r="G37" i="2"/>
  <c r="G45" i="2"/>
  <c r="G53" i="2"/>
  <c r="G61" i="2"/>
  <c r="G69" i="2"/>
  <c r="G73" i="2"/>
  <c r="G81" i="2"/>
  <c r="G93" i="2"/>
  <c r="G97" i="2"/>
  <c r="G3" i="2"/>
  <c r="G7" i="2"/>
  <c r="G11" i="2"/>
  <c r="G15" i="2"/>
  <c r="G19" i="2"/>
  <c r="G23" i="2"/>
  <c r="G27" i="2"/>
  <c r="G31" i="2"/>
  <c r="G35" i="2"/>
  <c r="G39" i="2"/>
  <c r="G43" i="2"/>
  <c r="G47" i="2"/>
  <c r="G51" i="2"/>
  <c r="G55" i="2"/>
  <c r="G59" i="2"/>
  <c r="G63" i="2"/>
  <c r="G67" i="2"/>
  <c r="G71" i="2"/>
  <c r="G75" i="2"/>
  <c r="G79" i="2"/>
  <c r="G83" i="2"/>
  <c r="G87" i="2"/>
  <c r="G91" i="2"/>
  <c r="G95" i="2"/>
  <c r="G99" i="2"/>
  <c r="G4" i="2"/>
  <c r="G12" i="2"/>
  <c r="G16" i="2"/>
  <c r="G20" i="2"/>
  <c r="G28" i="2"/>
  <c r="G40" i="2"/>
  <c r="G44" i="2"/>
  <c r="G52" i="2"/>
  <c r="G60" i="2"/>
  <c r="G72" i="2"/>
  <c r="G80" i="2"/>
  <c r="G88" i="2"/>
  <c r="G100" i="2"/>
  <c r="G5" i="2"/>
  <c r="G9" i="2"/>
  <c r="G13" i="2"/>
  <c r="G21" i="2"/>
  <c r="G25" i="2"/>
  <c r="G29" i="2"/>
  <c r="G33" i="2"/>
  <c r="G41" i="2"/>
  <c r="G49" i="2"/>
  <c r="G57" i="2"/>
  <c r="G65" i="2"/>
  <c r="G77" i="2"/>
  <c r="G85" i="2"/>
  <c r="G89" i="2"/>
  <c r="G101" i="2"/>
</calcChain>
</file>

<file path=xl/sharedStrings.xml><?xml version="1.0" encoding="utf-8"?>
<sst xmlns="http://schemas.openxmlformats.org/spreadsheetml/2006/main" count="254" uniqueCount="135">
  <si>
    <t>STUDENTID</t>
  </si>
  <si>
    <t>SCORE</t>
  </si>
  <si>
    <t>STUDYHOURS</t>
  </si>
  <si>
    <t>ATTENDENCE</t>
  </si>
  <si>
    <t>INCOME</t>
  </si>
  <si>
    <t>ML001</t>
  </si>
  <si>
    <t>ML002</t>
  </si>
  <si>
    <t>ML003</t>
  </si>
  <si>
    <t>ML004</t>
  </si>
  <si>
    <t>ML005</t>
  </si>
  <si>
    <t>ML006</t>
  </si>
  <si>
    <t>ML007</t>
  </si>
  <si>
    <t>ML008</t>
  </si>
  <si>
    <t>ML009</t>
  </si>
  <si>
    <t>ML010</t>
  </si>
  <si>
    <t>ML011</t>
  </si>
  <si>
    <t>ML012</t>
  </si>
  <si>
    <t>ML013</t>
  </si>
  <si>
    <t>ML014</t>
  </si>
  <si>
    <t>ML015</t>
  </si>
  <si>
    <t>ML016</t>
  </si>
  <si>
    <t>ML017</t>
  </si>
  <si>
    <t>ML018</t>
  </si>
  <si>
    <t>ML019</t>
  </si>
  <si>
    <t>ML020</t>
  </si>
  <si>
    <t>ML021</t>
  </si>
  <si>
    <t>ML022</t>
  </si>
  <si>
    <t>ML023</t>
  </si>
  <si>
    <t>ML024</t>
  </si>
  <si>
    <t>ML025</t>
  </si>
  <si>
    <t>ML026</t>
  </si>
  <si>
    <t>ML027</t>
  </si>
  <si>
    <t>ML028</t>
  </si>
  <si>
    <t>ML029</t>
  </si>
  <si>
    <t>ML030</t>
  </si>
  <si>
    <t>ML031</t>
  </si>
  <si>
    <t>ML032</t>
  </si>
  <si>
    <t>ML033</t>
  </si>
  <si>
    <t>ML034</t>
  </si>
  <si>
    <t>ML035</t>
  </si>
  <si>
    <t>ML036</t>
  </si>
  <si>
    <t>ML037</t>
  </si>
  <si>
    <t>ML038</t>
  </si>
  <si>
    <t>ML039</t>
  </si>
  <si>
    <t>ML040</t>
  </si>
  <si>
    <t>ML041</t>
  </si>
  <si>
    <t>ML042</t>
  </si>
  <si>
    <t>ML043</t>
  </si>
  <si>
    <t>ML044</t>
  </si>
  <si>
    <t>ML045</t>
  </si>
  <si>
    <t>ML046</t>
  </si>
  <si>
    <t>ML047</t>
  </si>
  <si>
    <t>ML048</t>
  </si>
  <si>
    <t>ML049</t>
  </si>
  <si>
    <t>ML050</t>
  </si>
  <si>
    <t>ML051</t>
  </si>
  <si>
    <t>ML052</t>
  </si>
  <si>
    <t>ML053</t>
  </si>
  <si>
    <t>ML054</t>
  </si>
  <si>
    <t>ML055</t>
  </si>
  <si>
    <t>ML056</t>
  </si>
  <si>
    <t>ML057</t>
  </si>
  <si>
    <t>ML058</t>
  </si>
  <si>
    <t>ML059</t>
  </si>
  <si>
    <t>ML060</t>
  </si>
  <si>
    <t>ML061</t>
  </si>
  <si>
    <t>ML062</t>
  </si>
  <si>
    <t>ML063</t>
  </si>
  <si>
    <t>ML064</t>
  </si>
  <si>
    <t>ML065</t>
  </si>
  <si>
    <t>ML066</t>
  </si>
  <si>
    <t>ML067</t>
  </si>
  <si>
    <t>ML068</t>
  </si>
  <si>
    <t>ML069</t>
  </si>
  <si>
    <t>ML070</t>
  </si>
  <si>
    <t>ML071</t>
  </si>
  <si>
    <t>ML072</t>
  </si>
  <si>
    <t>ML073</t>
  </si>
  <si>
    <t>ML074</t>
  </si>
  <si>
    <t>ML075</t>
  </si>
  <si>
    <t>ML076</t>
  </si>
  <si>
    <t>ML077</t>
  </si>
  <si>
    <t>ML078</t>
  </si>
  <si>
    <t>ML079</t>
  </si>
  <si>
    <t>ML080</t>
  </si>
  <si>
    <t>ML081</t>
  </si>
  <si>
    <t>ML082</t>
  </si>
  <si>
    <t>ML083</t>
  </si>
  <si>
    <t>ML084</t>
  </si>
  <si>
    <t>ML085</t>
  </si>
  <si>
    <t>ML086</t>
  </si>
  <si>
    <t>ML087</t>
  </si>
  <si>
    <t>ML088</t>
  </si>
  <si>
    <t>ML089</t>
  </si>
  <si>
    <t>ML090</t>
  </si>
  <si>
    <t>ML091</t>
  </si>
  <si>
    <t>ML092</t>
  </si>
  <si>
    <t>ML093</t>
  </si>
  <si>
    <t>ML094</t>
  </si>
  <si>
    <t>ML095</t>
  </si>
  <si>
    <t>ML096</t>
  </si>
  <si>
    <t>ML097</t>
  </si>
  <si>
    <t>ML098</t>
  </si>
  <si>
    <t>ML099</t>
  </si>
  <si>
    <t>ML100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</si>
  <si>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</si>
  <si>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</si>
  <si>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</si>
  <si>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</si>
  <si>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</si>
  <si>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</si>
  <si>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</si>
  <si>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</si>
  <si>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</si>
  <si>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</si>
  <si>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</si>
  <si>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</si>
  <si>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</si>
  <si>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score</t>
  </si>
  <si>
    <t>Income</t>
  </si>
  <si>
    <t>• Mean — average, pulled by outliers</t>
  </si>
  <si>
    <t>• Standard Error — uncertainty of mean estimate</t>
  </si>
  <si>
    <t>• Median — middle value, outlier-resistant</t>
  </si>
  <si>
    <t>• Mode — most common value</t>
  </si>
  <si>
    <t>• Standard Deviation — typical distance from mean</t>
  </si>
  <si>
    <t>• Kurtosis — tail heaviness (0=normal)</t>
  </si>
  <si>
    <t>• Skewness — asymmetry (+= right tail)</t>
  </si>
  <si>
    <t>• Range — max − min</t>
  </si>
  <si>
    <t>• Count — number of rows</t>
  </si>
  <si>
    <t>Meaning</t>
  </si>
  <si>
    <t>Outlier_Score</t>
  </si>
  <si>
    <t>Outlier Count</t>
  </si>
  <si>
    <t> Score</t>
  </si>
  <si>
    <t>StudyHours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</si>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</sst>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Aptos Narrow"/>
      <scheme val="minor"/>
    </font>
    <font>
      <sz val="10"/>
      <color rgb="FF18243A"/>
      <name val="Arial"/>
      <family val="2"/>
    </font>
    <font>
      <sz val="10"/>
      <color rgb="FF18243A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Fill="1" applyBorder="1" applyAlignment="1"/>
    <xf numFmtId="0" fontId="6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971E14-C9AB-42EF-B488-75CE641F9A75}" name="SampleData" displayName="SampleData" ref="A1:E101" totalsRowShown="0" headerRowDxfId="21" dataDxfId="20">
  <autoFilter ref="A1:E101" xr:uid="{F0971E14-C9AB-42EF-B488-75CE641F9A75}"/>
  <tableColumns count="5">
    <tableColumn id="1" xr3:uid="{AE9FCCBC-F83E-417D-A2E3-458E03F086F0}" name="STUDENTID" dataDxfId="19"/>
    <tableColumn id="2" xr3:uid="{FF03B257-9DBF-4725-BDED-6F5B53770239}" name="SCORE" dataDxfId="18"/>
    <tableColumn id="3" xr3:uid="{5EA86BED-2774-4F82-9B0D-4FF625928CD9}" name="STUDYHOURS" dataDxfId="17"/>
    <tableColumn id="4" xr3:uid="{2C3DA93D-FF47-43C5-BCA7-C987AF504652}" name="ATTENDENCE" dataDxfId="16"/>
    <tableColumn id="5" xr3:uid="{5DE9DA26-7DB0-475C-AC3D-9E6ADF05ADBC}" name="INCOME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239EB0-2C37-4B79-B9EE-537AC5ED2E4D}" name="SampleData3" displayName="SampleData3" ref="A1:G101" totalsRowShown="0" headerRowDxfId="0" dataDxfId="11" headerRowBorderDxfId="9" tableBorderDxfId="10" totalsRowBorderDxfId="8">
  <autoFilter ref="A1:G101" xr:uid="{2D239EB0-2C37-4B79-B9EE-537AC5ED2E4D}"/>
  <tableColumns count="7">
    <tableColumn id="1" xr3:uid="{A7DD93C4-2598-4A05-B963-40B57814E03B}" name="STUDENTID" dataDxfId="7"/>
    <tableColumn id="2" xr3:uid="{E8A5C5FD-B1C3-47F2-B1AF-97297C14C46F}" name="SCORE" dataDxfId="6"/>
    <tableColumn id="3" xr3:uid="{747C3DCC-0DC2-4DC5-9BE7-CF8C139D851F}" name="STUDYHOURS" dataDxfId="5"/>
    <tableColumn id="4" xr3:uid="{286AF804-D5D8-4684-95AF-40B8876E0363}" name="ATTENDENCE" dataDxfId="4"/>
    <tableColumn id="5" xr3:uid="{6EB33A26-32DA-4034-9A71-640BCEA350B8}" name="INCOME" dataDxfId="3"/>
    <tableColumn id="6" xr3:uid="{60DE2E1F-4AEA-4A9C-AB2B-F0FD90960F29}" name="Outlier_Score" dataDxfId="2">
      <calculatedColumnFormula>IF(OR(SampleData3[[#This Row],[SCORE]]&lt;$I$7, SampleData3[[#This Row],[SCORE]]&gt;$I$8), "OUTLIER", "Normal")</calculatedColumnFormula>
    </tableColumn>
    <tableColumn id="7" xr3:uid="{F530EEAB-9BF6-48F5-8F82-940AFF01B80D}" name="Outlier Count" dataDxfId="1">
      <calculatedColumnFormula>COUNTIF(SampleData3[Outlier_Score],"OUTLIER")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778E-BC77-4881-8E9F-243252475F73}">
  <dimension ref="A1:K101"/>
  <sheetViews>
    <sheetView topLeftCell="A81" zoomScale="130" zoomScaleNormal="130" workbookViewId="0">
      <selection sqref="A1:E101"/>
    </sheetView>
  </sheetViews>
  <sheetFormatPr defaultRowHeight="14.25"/>
  <cols>
    <col min="1" max="1" width="13.625" style="1" bestFit="1" customWidth="1"/>
    <col min="2" max="2" width="9.875" style="1" bestFit="1" customWidth="1"/>
    <col min="3" max="3" width="15.5" style="1" bestFit="1" customWidth="1"/>
    <col min="4" max="4" width="15" style="1" bestFit="1" customWidth="1"/>
    <col min="5" max="5" width="11.375" style="1" bestFit="1" customWidth="1"/>
    <col min="6" max="6" width="9" style="1"/>
    <col min="7" max="7" width="16.375" style="1" bestFit="1" customWidth="1"/>
    <col min="8" max="8" width="13.125" style="1" bestFit="1" customWidth="1"/>
    <col min="9" max="9" width="9" style="1"/>
    <col min="10" max="10" width="16.375" style="1" bestFit="1" customWidth="1"/>
    <col min="11" max="11" width="13.125" style="1" bestFit="1" customWidth="1"/>
    <col min="12" max="16384" width="9" style="1"/>
  </cols>
  <sheetData>
    <row r="1" spans="1:11" s="4" customFormat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10" t="s">
        <v>118</v>
      </c>
      <c r="H1" s="11"/>
      <c r="J1" s="12" t="s">
        <v>119</v>
      </c>
      <c r="K1" s="12"/>
    </row>
    <row r="2" spans="1:11" ht="15">
      <c r="A2" s="2" t="s">
        <v>5</v>
      </c>
      <c r="B2" s="2">
        <v>96</v>
      </c>
      <c r="C2" s="2">
        <v>5</v>
      </c>
      <c r="D2" s="2">
        <v>86</v>
      </c>
      <c r="E2" s="2">
        <v>139103</v>
      </c>
      <c r="G2" s="5" t="s">
        <v>105</v>
      </c>
      <c r="H2" s="5">
        <v>68.05</v>
      </c>
      <c r="J2" s="5" t="s">
        <v>105</v>
      </c>
      <c r="K2" s="5">
        <v>104934.82</v>
      </c>
    </row>
    <row r="3" spans="1:11" ht="15">
      <c r="A3" s="2" t="s">
        <v>6</v>
      </c>
      <c r="B3" s="2">
        <v>68</v>
      </c>
      <c r="C3" s="2">
        <v>5</v>
      </c>
      <c r="D3" s="2">
        <v>62</v>
      </c>
      <c r="E3" s="2">
        <v>25183</v>
      </c>
      <c r="G3" s="5" t="s">
        <v>106</v>
      </c>
      <c r="H3" s="5">
        <v>1.6649915824703048</v>
      </c>
      <c r="J3" s="5" t="s">
        <v>106</v>
      </c>
      <c r="K3" s="5">
        <v>5516.7242525307174</v>
      </c>
    </row>
    <row r="4" spans="1:11" ht="15">
      <c r="A4" s="2" t="s">
        <v>7</v>
      </c>
      <c r="B4" s="2">
        <v>78</v>
      </c>
      <c r="C4" s="2">
        <v>5</v>
      </c>
      <c r="D4" s="2">
        <v>95</v>
      </c>
      <c r="E4" s="2">
        <v>173727</v>
      </c>
      <c r="G4" s="5" t="s">
        <v>107</v>
      </c>
      <c r="H4" s="5">
        <v>67.5</v>
      </c>
      <c r="J4" s="5" t="s">
        <v>107</v>
      </c>
      <c r="K4" s="5">
        <v>109214.5</v>
      </c>
    </row>
    <row r="5" spans="1:11" ht="15">
      <c r="A5" s="2" t="s">
        <v>8</v>
      </c>
      <c r="B5" s="2">
        <v>53</v>
      </c>
      <c r="C5" s="2">
        <v>5</v>
      </c>
      <c r="D5" s="2">
        <v>63</v>
      </c>
      <c r="E5" s="2">
        <v>60689</v>
      </c>
      <c r="G5" s="5" t="s">
        <v>108</v>
      </c>
      <c r="H5" s="5">
        <v>80</v>
      </c>
      <c r="J5" s="5" t="s">
        <v>108</v>
      </c>
      <c r="K5" s="5">
        <v>139103</v>
      </c>
    </row>
    <row r="6" spans="1:11" ht="15">
      <c r="A6" s="2" t="s">
        <v>9</v>
      </c>
      <c r="B6" s="2">
        <v>83</v>
      </c>
      <c r="C6" s="2">
        <v>8</v>
      </c>
      <c r="D6" s="2">
        <v>65</v>
      </c>
      <c r="E6" s="2">
        <v>19735</v>
      </c>
      <c r="G6" s="5" t="s">
        <v>109</v>
      </c>
      <c r="H6" s="5">
        <v>16.649915824703047</v>
      </c>
      <c r="J6" s="5" t="s">
        <v>109</v>
      </c>
      <c r="K6" s="5">
        <v>55167.242525307178</v>
      </c>
    </row>
    <row r="7" spans="1:11" ht="15">
      <c r="A7" s="2" t="s">
        <v>10</v>
      </c>
      <c r="B7" s="2">
        <v>53</v>
      </c>
      <c r="C7" s="2">
        <v>6</v>
      </c>
      <c r="D7" s="2">
        <v>91</v>
      </c>
      <c r="E7" s="2">
        <v>53791</v>
      </c>
      <c r="G7" s="5" t="s">
        <v>110</v>
      </c>
      <c r="H7" s="5">
        <v>277.219696969697</v>
      </c>
      <c r="J7" s="5" t="s">
        <v>110</v>
      </c>
      <c r="K7" s="5">
        <v>3043424647.8460608</v>
      </c>
    </row>
    <row r="8" spans="1:11" ht="15">
      <c r="A8" s="2" t="s">
        <v>11</v>
      </c>
      <c r="B8" s="2">
        <v>49</v>
      </c>
      <c r="C8" s="2">
        <v>10</v>
      </c>
      <c r="D8" s="2">
        <v>74</v>
      </c>
      <c r="E8" s="2">
        <v>24527</v>
      </c>
      <c r="G8" s="5" t="s">
        <v>111</v>
      </c>
      <c r="H8" s="5">
        <v>-1.166037607674236</v>
      </c>
      <c r="J8" s="5" t="s">
        <v>111</v>
      </c>
      <c r="K8" s="5">
        <v>-1.225168980976683</v>
      </c>
    </row>
    <row r="9" spans="1:11" ht="15">
      <c r="A9" s="2" t="s">
        <v>12</v>
      </c>
      <c r="B9" s="2">
        <v>49</v>
      </c>
      <c r="C9" s="2">
        <v>4</v>
      </c>
      <c r="D9" s="2">
        <v>99</v>
      </c>
      <c r="E9" s="2">
        <v>141484</v>
      </c>
      <c r="G9" s="5" t="s">
        <v>112</v>
      </c>
      <c r="H9" s="5">
        <v>0.17157641952999461</v>
      </c>
      <c r="J9" s="5" t="s">
        <v>112</v>
      </c>
      <c r="K9" s="5">
        <v>-6.2986382654371828E-2</v>
      </c>
    </row>
    <row r="10" spans="1:11" ht="15">
      <c r="A10" s="2" t="s">
        <v>13</v>
      </c>
      <c r="B10" s="2">
        <v>45</v>
      </c>
      <c r="C10" s="2">
        <v>6</v>
      </c>
      <c r="D10" s="2">
        <v>95</v>
      </c>
      <c r="E10" s="2">
        <v>139103</v>
      </c>
      <c r="G10" s="5" t="s">
        <v>113</v>
      </c>
      <c r="H10" s="5">
        <v>58</v>
      </c>
      <c r="J10" s="5" t="s">
        <v>113</v>
      </c>
      <c r="K10" s="5">
        <v>183613</v>
      </c>
    </row>
    <row r="11" spans="1:11" ht="15">
      <c r="A11" s="2" t="s">
        <v>14</v>
      </c>
      <c r="B11" s="2">
        <v>95</v>
      </c>
      <c r="C11" s="2">
        <v>2</v>
      </c>
      <c r="D11" s="2">
        <v>70</v>
      </c>
      <c r="E11" s="2">
        <v>89644</v>
      </c>
      <c r="G11" s="5" t="s">
        <v>114</v>
      </c>
      <c r="H11" s="5">
        <v>40</v>
      </c>
      <c r="J11" s="5" t="s">
        <v>114</v>
      </c>
      <c r="K11" s="5">
        <v>15539</v>
      </c>
    </row>
    <row r="12" spans="1:11" ht="15">
      <c r="A12" s="2" t="s">
        <v>15</v>
      </c>
      <c r="B12" s="2">
        <v>82</v>
      </c>
      <c r="C12" s="2">
        <v>5</v>
      </c>
      <c r="D12" s="2">
        <v>61</v>
      </c>
      <c r="E12" s="2">
        <v>117434</v>
      </c>
      <c r="G12" s="5" t="s">
        <v>115</v>
      </c>
      <c r="H12" s="5">
        <v>98</v>
      </c>
      <c r="J12" s="5" t="s">
        <v>115</v>
      </c>
      <c r="K12" s="5">
        <v>199152</v>
      </c>
    </row>
    <row r="13" spans="1:11" ht="15">
      <c r="A13" s="2" t="s">
        <v>16</v>
      </c>
      <c r="B13" s="2">
        <v>86</v>
      </c>
      <c r="C13" s="2">
        <v>5</v>
      </c>
      <c r="D13" s="2">
        <v>59</v>
      </c>
      <c r="E13" s="2">
        <v>123618</v>
      </c>
      <c r="G13" s="5" t="s">
        <v>116</v>
      </c>
      <c r="H13" s="5">
        <v>6805</v>
      </c>
      <c r="J13" s="5" t="s">
        <v>116</v>
      </c>
      <c r="K13" s="5">
        <v>10493482</v>
      </c>
    </row>
    <row r="14" spans="1:11" ht="15">
      <c r="A14" s="2" t="s">
        <v>17</v>
      </c>
      <c r="B14" s="2">
        <v>49</v>
      </c>
      <c r="C14" s="2">
        <v>8</v>
      </c>
      <c r="D14" s="2">
        <v>57</v>
      </c>
      <c r="E14" s="2">
        <v>173456</v>
      </c>
      <c r="G14" s="5" t="s">
        <v>117</v>
      </c>
      <c r="H14" s="5">
        <v>100</v>
      </c>
      <c r="J14" s="5" t="s">
        <v>117</v>
      </c>
      <c r="K14" s="5">
        <v>100</v>
      </c>
    </row>
    <row r="15" spans="1:11" ht="15">
      <c r="A15" s="2" t="s">
        <v>18</v>
      </c>
      <c r="B15" s="2">
        <v>60</v>
      </c>
      <c r="C15" s="2">
        <v>9</v>
      </c>
      <c r="D15" s="2">
        <v>68</v>
      </c>
      <c r="E15" s="2">
        <v>190666</v>
      </c>
    </row>
    <row r="16" spans="1:11" ht="15">
      <c r="A16" s="2" t="s">
        <v>19</v>
      </c>
      <c r="B16" s="2">
        <v>78</v>
      </c>
      <c r="C16" s="2">
        <v>8</v>
      </c>
      <c r="D16" s="2">
        <v>93</v>
      </c>
      <c r="E16" s="2">
        <v>40321</v>
      </c>
      <c r="H16" s="7" t="s">
        <v>129</v>
      </c>
      <c r="I16" s="8"/>
      <c r="J16" s="9"/>
    </row>
    <row r="17" spans="1:10" ht="15">
      <c r="A17" s="2" t="s">
        <v>20</v>
      </c>
      <c r="B17" s="2">
        <v>63</v>
      </c>
      <c r="C17" s="2">
        <v>2</v>
      </c>
      <c r="D17" s="2">
        <v>83</v>
      </c>
      <c r="E17" s="2">
        <v>155921</v>
      </c>
      <c r="H17" s="6" t="s">
        <v>120</v>
      </c>
      <c r="I17" s="6"/>
      <c r="J17" s="6"/>
    </row>
    <row r="18" spans="1:10" ht="15">
      <c r="A18" s="2" t="s">
        <v>21</v>
      </c>
      <c r="B18" s="2">
        <v>57</v>
      </c>
      <c r="C18" s="2">
        <v>10</v>
      </c>
      <c r="D18" s="2">
        <v>50</v>
      </c>
      <c r="E18" s="2">
        <v>68109</v>
      </c>
      <c r="H18" s="6" t="s">
        <v>121</v>
      </c>
      <c r="I18" s="6"/>
      <c r="J18" s="6"/>
    </row>
    <row r="19" spans="1:10" ht="15">
      <c r="A19" s="2" t="s">
        <v>22</v>
      </c>
      <c r="B19" s="2">
        <v>77</v>
      </c>
      <c r="C19" s="2">
        <v>8</v>
      </c>
      <c r="D19" s="2">
        <v>67</v>
      </c>
      <c r="E19" s="2">
        <v>146329</v>
      </c>
      <c r="H19" s="6" t="s">
        <v>122</v>
      </c>
      <c r="I19" s="6"/>
      <c r="J19" s="6"/>
    </row>
    <row r="20" spans="1:10" ht="15">
      <c r="A20" s="2" t="s">
        <v>23</v>
      </c>
      <c r="B20" s="2">
        <v>48</v>
      </c>
      <c r="C20" s="2">
        <v>9</v>
      </c>
      <c r="D20" s="2">
        <v>75</v>
      </c>
      <c r="E20" s="2">
        <v>158263</v>
      </c>
      <c r="H20" s="6" t="s">
        <v>123</v>
      </c>
      <c r="I20" s="6"/>
      <c r="J20" s="6"/>
    </row>
    <row r="21" spans="1:10" ht="15">
      <c r="A21" s="2" t="s">
        <v>24</v>
      </c>
      <c r="B21" s="2">
        <v>50</v>
      </c>
      <c r="C21" s="2">
        <v>1</v>
      </c>
      <c r="D21" s="2">
        <v>79</v>
      </c>
      <c r="E21" s="2">
        <v>21113</v>
      </c>
      <c r="H21" s="6" t="s">
        <v>124</v>
      </c>
      <c r="I21" s="6"/>
      <c r="J21" s="6"/>
    </row>
    <row r="22" spans="1:10" ht="15">
      <c r="A22" s="2" t="s">
        <v>25</v>
      </c>
      <c r="B22" s="2">
        <v>58</v>
      </c>
      <c r="C22" s="2">
        <v>5</v>
      </c>
      <c r="D22" s="2">
        <v>85</v>
      </c>
      <c r="E22" s="2">
        <v>120575</v>
      </c>
      <c r="H22" s="6" t="s">
        <v>125</v>
      </c>
      <c r="I22" s="6"/>
      <c r="J22" s="6"/>
    </row>
    <row r="23" spans="1:10" ht="15">
      <c r="A23" s="2" t="s">
        <v>26</v>
      </c>
      <c r="B23" s="2">
        <v>70</v>
      </c>
      <c r="C23" s="2">
        <v>7</v>
      </c>
      <c r="D23" s="2">
        <v>90</v>
      </c>
      <c r="E23" s="2">
        <v>122494</v>
      </c>
      <c r="H23" s="6" t="s">
        <v>126</v>
      </c>
      <c r="I23" s="6"/>
      <c r="J23" s="6"/>
    </row>
    <row r="24" spans="1:10" ht="15">
      <c r="A24" s="2" t="s">
        <v>27</v>
      </c>
      <c r="B24" s="2">
        <v>65</v>
      </c>
      <c r="C24" s="2">
        <v>4</v>
      </c>
      <c r="D24" s="2">
        <v>88</v>
      </c>
      <c r="E24" s="2">
        <v>27385</v>
      </c>
      <c r="H24" s="6" t="s">
        <v>127</v>
      </c>
      <c r="I24" s="6"/>
      <c r="J24" s="6"/>
    </row>
    <row r="25" spans="1:10" ht="15">
      <c r="A25" s="2" t="s">
        <v>28</v>
      </c>
      <c r="B25" s="2">
        <v>98</v>
      </c>
      <c r="C25" s="2">
        <v>7</v>
      </c>
      <c r="D25" s="2">
        <v>93</v>
      </c>
      <c r="E25" s="2">
        <v>116814</v>
      </c>
      <c r="H25" s="6" t="s">
        <v>128</v>
      </c>
      <c r="I25" s="6"/>
      <c r="J25" s="6"/>
    </row>
    <row r="26" spans="1:10" ht="15">
      <c r="A26" s="2" t="s">
        <v>29</v>
      </c>
      <c r="B26" s="2">
        <v>80</v>
      </c>
      <c r="C26" s="2">
        <v>2</v>
      </c>
      <c r="D26" s="2">
        <v>67</v>
      </c>
      <c r="E26" s="2">
        <v>26201</v>
      </c>
    </row>
    <row r="27" spans="1:10" ht="15">
      <c r="A27" s="2" t="s">
        <v>30</v>
      </c>
      <c r="B27" s="2">
        <v>76</v>
      </c>
      <c r="C27" s="2">
        <v>5</v>
      </c>
      <c r="D27" s="2">
        <v>72</v>
      </c>
      <c r="E27" s="2">
        <v>149837</v>
      </c>
    </row>
    <row r="28" spans="1:10" ht="15">
      <c r="A28" s="2" t="s">
        <v>31</v>
      </c>
      <c r="B28" s="2">
        <v>56</v>
      </c>
      <c r="C28" s="2">
        <v>2</v>
      </c>
      <c r="D28" s="2">
        <v>76</v>
      </c>
      <c r="E28" s="2">
        <v>144806</v>
      </c>
    </row>
    <row r="29" spans="1:10" ht="15">
      <c r="A29" s="2" t="s">
        <v>32</v>
      </c>
      <c r="B29" s="2">
        <v>51</v>
      </c>
      <c r="C29" s="2">
        <v>4</v>
      </c>
      <c r="D29" s="2">
        <v>74</v>
      </c>
      <c r="E29" s="2">
        <v>107922</v>
      </c>
    </row>
    <row r="30" spans="1:10" ht="15">
      <c r="A30" s="2" t="s">
        <v>33</v>
      </c>
      <c r="B30" s="2">
        <v>82</v>
      </c>
      <c r="C30" s="2">
        <v>7</v>
      </c>
      <c r="D30" s="2">
        <v>83</v>
      </c>
      <c r="E30" s="2">
        <v>189126</v>
      </c>
    </row>
    <row r="31" spans="1:10" ht="15">
      <c r="A31" s="2" t="s">
        <v>34</v>
      </c>
      <c r="B31" s="2">
        <v>97</v>
      </c>
      <c r="C31" s="2">
        <v>9</v>
      </c>
      <c r="D31" s="2">
        <v>83</v>
      </c>
      <c r="E31" s="2">
        <v>15539</v>
      </c>
    </row>
    <row r="32" spans="1:10" ht="15">
      <c r="A32" s="2" t="s">
        <v>35</v>
      </c>
      <c r="B32" s="2">
        <v>69</v>
      </c>
      <c r="C32" s="2">
        <v>2</v>
      </c>
      <c r="D32" s="2">
        <v>91</v>
      </c>
      <c r="E32" s="2">
        <v>32940</v>
      </c>
    </row>
    <row r="33" spans="1:5" ht="15">
      <c r="A33" s="2" t="s">
        <v>36</v>
      </c>
      <c r="B33" s="2">
        <v>92</v>
      </c>
      <c r="C33" s="2">
        <v>2</v>
      </c>
      <c r="D33" s="2">
        <v>56</v>
      </c>
      <c r="E33" s="2">
        <v>16799</v>
      </c>
    </row>
    <row r="34" spans="1:5" ht="15">
      <c r="A34" s="2" t="s">
        <v>37</v>
      </c>
      <c r="B34" s="2">
        <v>45</v>
      </c>
      <c r="C34" s="2">
        <v>4</v>
      </c>
      <c r="D34" s="2">
        <v>80</v>
      </c>
      <c r="E34" s="2">
        <v>64115</v>
      </c>
    </row>
    <row r="35" spans="1:5" ht="15">
      <c r="A35" s="2" t="s">
        <v>38</v>
      </c>
      <c r="B35" s="2">
        <v>69</v>
      </c>
      <c r="C35" s="2">
        <v>6</v>
      </c>
      <c r="D35" s="2">
        <v>77</v>
      </c>
      <c r="E35" s="2">
        <v>199152</v>
      </c>
    </row>
    <row r="36" spans="1:5" ht="15">
      <c r="A36" s="2" t="s">
        <v>39</v>
      </c>
      <c r="B36" s="2">
        <v>51</v>
      </c>
      <c r="C36" s="2">
        <v>2</v>
      </c>
      <c r="D36" s="2">
        <v>96</v>
      </c>
      <c r="E36" s="2">
        <v>166914</v>
      </c>
    </row>
    <row r="37" spans="1:5" ht="15">
      <c r="A37" s="2" t="s">
        <v>40</v>
      </c>
      <c r="B37" s="2">
        <v>75</v>
      </c>
      <c r="C37" s="2">
        <v>10</v>
      </c>
      <c r="D37" s="2">
        <v>97</v>
      </c>
      <c r="E37" s="2">
        <v>158837</v>
      </c>
    </row>
    <row r="38" spans="1:5" ht="15">
      <c r="A38" s="2" t="s">
        <v>41</v>
      </c>
      <c r="B38" s="2">
        <v>64</v>
      </c>
      <c r="C38" s="2">
        <v>9</v>
      </c>
      <c r="D38" s="2">
        <v>68</v>
      </c>
      <c r="E38" s="2">
        <v>48984</v>
      </c>
    </row>
    <row r="39" spans="1:5" ht="15">
      <c r="A39" s="2" t="s">
        <v>42</v>
      </c>
      <c r="B39" s="2">
        <v>69</v>
      </c>
      <c r="C39" s="2">
        <v>2</v>
      </c>
      <c r="D39" s="2">
        <v>61</v>
      </c>
      <c r="E39" s="2">
        <v>117223</v>
      </c>
    </row>
    <row r="40" spans="1:5" ht="15">
      <c r="A40" s="2" t="s">
        <v>43</v>
      </c>
      <c r="B40" s="2">
        <v>66</v>
      </c>
      <c r="C40" s="2">
        <v>2</v>
      </c>
      <c r="D40" s="2">
        <v>98</v>
      </c>
      <c r="E40" s="2">
        <v>127769</v>
      </c>
    </row>
    <row r="41" spans="1:5" ht="15">
      <c r="A41" s="2" t="s">
        <v>44</v>
      </c>
      <c r="B41" s="2">
        <v>72</v>
      </c>
      <c r="C41" s="2">
        <v>9</v>
      </c>
      <c r="D41" s="2">
        <v>83</v>
      </c>
      <c r="E41" s="2">
        <v>175604</v>
      </c>
    </row>
    <row r="42" spans="1:5" ht="15">
      <c r="A42" s="2" t="s">
        <v>45</v>
      </c>
      <c r="B42" s="2">
        <v>84</v>
      </c>
      <c r="C42" s="2">
        <v>8</v>
      </c>
      <c r="D42" s="2">
        <v>100</v>
      </c>
      <c r="E42" s="2">
        <v>78805</v>
      </c>
    </row>
    <row r="43" spans="1:5" ht="15">
      <c r="A43" s="2" t="s">
        <v>46</v>
      </c>
      <c r="B43" s="2">
        <v>59</v>
      </c>
      <c r="C43" s="2">
        <v>2</v>
      </c>
      <c r="D43" s="2">
        <v>59</v>
      </c>
      <c r="E43" s="2">
        <v>152399</v>
      </c>
    </row>
    <row r="44" spans="1:5" ht="15">
      <c r="A44" s="2" t="s">
        <v>47</v>
      </c>
      <c r="B44" s="2">
        <v>49</v>
      </c>
      <c r="C44" s="2">
        <v>9</v>
      </c>
      <c r="D44" s="2">
        <v>71</v>
      </c>
      <c r="E44" s="2">
        <v>50652</v>
      </c>
    </row>
    <row r="45" spans="1:5" ht="15">
      <c r="A45" s="2" t="s">
        <v>48</v>
      </c>
      <c r="B45" s="2">
        <v>40</v>
      </c>
      <c r="C45" s="2">
        <v>3</v>
      </c>
      <c r="D45" s="2">
        <v>96</v>
      </c>
      <c r="E45" s="2">
        <v>102116</v>
      </c>
    </row>
    <row r="46" spans="1:5" ht="15">
      <c r="A46" s="2" t="s">
        <v>49</v>
      </c>
      <c r="B46" s="2">
        <v>87</v>
      </c>
      <c r="C46" s="2">
        <v>4</v>
      </c>
      <c r="D46" s="2">
        <v>63</v>
      </c>
      <c r="E46" s="2">
        <v>124362</v>
      </c>
    </row>
    <row r="47" spans="1:5" ht="15">
      <c r="A47" s="2" t="s">
        <v>50</v>
      </c>
      <c r="B47" s="2">
        <v>55</v>
      </c>
      <c r="C47" s="2">
        <v>8</v>
      </c>
      <c r="D47" s="2">
        <v>51</v>
      </c>
      <c r="E47" s="2">
        <v>65845</v>
      </c>
    </row>
    <row r="48" spans="1:5" ht="15">
      <c r="A48" s="2" t="s">
        <v>51</v>
      </c>
      <c r="B48" s="2">
        <v>94</v>
      </c>
      <c r="C48" s="2">
        <v>5</v>
      </c>
      <c r="D48" s="2">
        <v>61</v>
      </c>
      <c r="E48" s="2">
        <v>133153</v>
      </c>
    </row>
    <row r="49" spans="1:5" ht="15">
      <c r="A49" s="2" t="s">
        <v>52</v>
      </c>
      <c r="B49" s="2">
        <v>47</v>
      </c>
      <c r="C49" s="2">
        <v>9</v>
      </c>
      <c r="D49" s="2">
        <v>84</v>
      </c>
      <c r="E49" s="2">
        <v>110507</v>
      </c>
    </row>
    <row r="50" spans="1:5" ht="15">
      <c r="A50" s="2" t="s">
        <v>53</v>
      </c>
      <c r="B50" s="2">
        <v>92</v>
      </c>
      <c r="C50" s="2">
        <v>3</v>
      </c>
      <c r="D50" s="2">
        <v>94</v>
      </c>
      <c r="E50" s="2">
        <v>60368</v>
      </c>
    </row>
    <row r="51" spans="1:5" ht="15">
      <c r="A51" s="2" t="s">
        <v>54</v>
      </c>
      <c r="B51" s="2">
        <v>95</v>
      </c>
      <c r="C51" s="2">
        <v>7</v>
      </c>
      <c r="D51" s="2">
        <v>80</v>
      </c>
      <c r="E51" s="2">
        <v>55303</v>
      </c>
    </row>
    <row r="52" spans="1:5" ht="15">
      <c r="A52" s="2" t="s">
        <v>55</v>
      </c>
      <c r="B52" s="2">
        <v>44</v>
      </c>
      <c r="C52" s="2">
        <v>5</v>
      </c>
      <c r="D52" s="2">
        <v>51</v>
      </c>
      <c r="E52" s="2">
        <v>44912</v>
      </c>
    </row>
    <row r="53" spans="1:5" ht="15">
      <c r="A53" s="2" t="s">
        <v>56</v>
      </c>
      <c r="B53" s="2">
        <v>61</v>
      </c>
      <c r="C53" s="2">
        <v>9</v>
      </c>
      <c r="D53" s="2">
        <v>60</v>
      </c>
      <c r="E53" s="2">
        <v>90699</v>
      </c>
    </row>
    <row r="54" spans="1:5" ht="15">
      <c r="A54" s="2" t="s">
        <v>57</v>
      </c>
      <c r="B54" s="2">
        <v>88</v>
      </c>
      <c r="C54" s="2">
        <v>8</v>
      </c>
      <c r="D54" s="2">
        <v>50</v>
      </c>
      <c r="E54" s="2">
        <v>92356</v>
      </c>
    </row>
    <row r="55" spans="1:5" ht="15">
      <c r="A55" s="2" t="s">
        <v>58</v>
      </c>
      <c r="B55" s="2">
        <v>70</v>
      </c>
      <c r="C55" s="2">
        <v>2</v>
      </c>
      <c r="D55" s="2">
        <v>96</v>
      </c>
      <c r="E55" s="2">
        <v>188677</v>
      </c>
    </row>
    <row r="56" spans="1:5" ht="15">
      <c r="A56" s="2" t="s">
        <v>59</v>
      </c>
      <c r="B56" s="2">
        <v>43</v>
      </c>
      <c r="C56" s="2">
        <v>3</v>
      </c>
      <c r="D56" s="2">
        <v>52</v>
      </c>
      <c r="E56" s="2">
        <v>153912</v>
      </c>
    </row>
    <row r="57" spans="1:5" ht="15">
      <c r="A57" s="2" t="s">
        <v>60</v>
      </c>
      <c r="B57" s="2">
        <v>86</v>
      </c>
      <c r="C57" s="2">
        <v>3</v>
      </c>
      <c r="D57" s="2">
        <v>75</v>
      </c>
      <c r="E57" s="2">
        <v>197630</v>
      </c>
    </row>
    <row r="58" spans="1:5" ht="15">
      <c r="A58" s="2" t="s">
        <v>61</v>
      </c>
      <c r="B58" s="2">
        <v>43</v>
      </c>
      <c r="C58" s="2">
        <v>1</v>
      </c>
      <c r="D58" s="2">
        <v>88</v>
      </c>
      <c r="E58" s="2">
        <v>18060</v>
      </c>
    </row>
    <row r="59" spans="1:5" ht="15">
      <c r="A59" s="2" t="s">
        <v>62</v>
      </c>
      <c r="B59" s="2">
        <v>56</v>
      </c>
      <c r="C59" s="2">
        <v>7</v>
      </c>
      <c r="D59" s="2">
        <v>55</v>
      </c>
      <c r="E59" s="2">
        <v>16877</v>
      </c>
    </row>
    <row r="60" spans="1:5" ht="15">
      <c r="A60" s="2" t="s">
        <v>63</v>
      </c>
      <c r="B60" s="2">
        <v>76</v>
      </c>
      <c r="C60" s="2">
        <v>9</v>
      </c>
      <c r="D60" s="2">
        <v>89</v>
      </c>
      <c r="E60" s="2">
        <v>164082</v>
      </c>
    </row>
    <row r="61" spans="1:5" ht="15">
      <c r="A61" s="2" t="s">
        <v>64</v>
      </c>
      <c r="B61" s="2">
        <v>84</v>
      </c>
      <c r="C61" s="2">
        <v>9</v>
      </c>
      <c r="D61" s="2">
        <v>90</v>
      </c>
      <c r="E61" s="2">
        <v>98460</v>
      </c>
    </row>
    <row r="62" spans="1:5" ht="15">
      <c r="A62" s="2" t="s">
        <v>65</v>
      </c>
      <c r="B62" s="2">
        <v>80</v>
      </c>
      <c r="C62" s="2">
        <v>10</v>
      </c>
      <c r="D62" s="2">
        <v>97</v>
      </c>
      <c r="E62" s="2">
        <v>160566</v>
      </c>
    </row>
    <row r="63" spans="1:5" ht="15">
      <c r="A63" s="2" t="s">
        <v>66</v>
      </c>
      <c r="B63" s="2">
        <v>80</v>
      </c>
      <c r="C63" s="2">
        <v>4</v>
      </c>
      <c r="D63" s="2">
        <v>88</v>
      </c>
      <c r="E63" s="2">
        <v>166693</v>
      </c>
    </row>
    <row r="64" spans="1:5" ht="15">
      <c r="A64" s="2" t="s">
        <v>67</v>
      </c>
      <c r="B64" s="2">
        <v>43</v>
      </c>
      <c r="C64" s="2">
        <v>1</v>
      </c>
      <c r="D64" s="2">
        <v>95</v>
      </c>
      <c r="E64" s="2">
        <v>197163</v>
      </c>
    </row>
    <row r="65" spans="1:5" ht="15">
      <c r="A65" s="2" t="s">
        <v>68</v>
      </c>
      <c r="B65" s="2">
        <v>52</v>
      </c>
      <c r="C65" s="2">
        <v>6</v>
      </c>
      <c r="D65" s="2">
        <v>50</v>
      </c>
      <c r="E65" s="2">
        <v>84045</v>
      </c>
    </row>
    <row r="66" spans="1:5" ht="15">
      <c r="A66" s="2" t="s">
        <v>69</v>
      </c>
      <c r="B66" s="2">
        <v>85</v>
      </c>
      <c r="C66" s="2">
        <v>2</v>
      </c>
      <c r="D66" s="2">
        <v>62</v>
      </c>
      <c r="E66" s="2">
        <v>128917</v>
      </c>
    </row>
    <row r="67" spans="1:5" ht="15">
      <c r="A67" s="2" t="s">
        <v>70</v>
      </c>
      <c r="B67" s="2">
        <v>59</v>
      </c>
      <c r="C67" s="2">
        <v>6</v>
      </c>
      <c r="D67" s="2">
        <v>85</v>
      </c>
      <c r="E67" s="2">
        <v>29448</v>
      </c>
    </row>
    <row r="68" spans="1:5" ht="15">
      <c r="A68" s="2" t="s">
        <v>71</v>
      </c>
      <c r="B68" s="2">
        <v>89</v>
      </c>
      <c r="C68" s="2">
        <v>7</v>
      </c>
      <c r="D68" s="2">
        <v>55</v>
      </c>
      <c r="E68" s="2">
        <v>124016</v>
      </c>
    </row>
    <row r="69" spans="1:5" ht="15">
      <c r="A69" s="2" t="s">
        <v>72</v>
      </c>
      <c r="B69" s="2">
        <v>89</v>
      </c>
      <c r="C69" s="2">
        <v>4</v>
      </c>
      <c r="D69" s="2">
        <v>53</v>
      </c>
      <c r="E69" s="2">
        <v>71179</v>
      </c>
    </row>
    <row r="70" spans="1:5" ht="15">
      <c r="A70" s="2" t="s">
        <v>73</v>
      </c>
      <c r="B70" s="2">
        <v>54</v>
      </c>
      <c r="C70" s="2">
        <v>9</v>
      </c>
      <c r="D70" s="2">
        <v>72</v>
      </c>
      <c r="E70" s="2">
        <v>67763</v>
      </c>
    </row>
    <row r="71" spans="1:5" ht="15">
      <c r="A71" s="2" t="s">
        <v>74</v>
      </c>
      <c r="B71" s="2">
        <v>52</v>
      </c>
      <c r="C71" s="2">
        <v>6</v>
      </c>
      <c r="D71" s="2">
        <v>79</v>
      </c>
      <c r="E71" s="2">
        <v>185444</v>
      </c>
    </row>
    <row r="72" spans="1:5" ht="15">
      <c r="A72" s="2" t="s">
        <v>75</v>
      </c>
      <c r="B72" s="2">
        <v>64</v>
      </c>
      <c r="C72" s="2">
        <v>2</v>
      </c>
      <c r="D72" s="2">
        <v>76</v>
      </c>
      <c r="E72" s="2">
        <v>102996</v>
      </c>
    </row>
    <row r="73" spans="1:5" ht="15">
      <c r="A73" s="2" t="s">
        <v>76</v>
      </c>
      <c r="B73" s="2">
        <v>75</v>
      </c>
      <c r="C73" s="2">
        <v>10</v>
      </c>
      <c r="D73" s="2">
        <v>68</v>
      </c>
      <c r="E73" s="2">
        <v>97115</v>
      </c>
    </row>
    <row r="74" spans="1:5" ht="15">
      <c r="A74" s="2" t="s">
        <v>77</v>
      </c>
      <c r="B74" s="2">
        <v>85</v>
      </c>
      <c r="C74" s="2">
        <v>1</v>
      </c>
      <c r="D74" s="2">
        <v>72</v>
      </c>
      <c r="E74" s="2">
        <v>20708</v>
      </c>
    </row>
    <row r="75" spans="1:5" ht="15">
      <c r="A75" s="2" t="s">
        <v>78</v>
      </c>
      <c r="B75" s="2">
        <v>60</v>
      </c>
      <c r="C75" s="2">
        <v>2</v>
      </c>
      <c r="D75" s="2">
        <v>68</v>
      </c>
      <c r="E75" s="2">
        <v>45169</v>
      </c>
    </row>
    <row r="76" spans="1:5" ht="15">
      <c r="A76" s="2" t="s">
        <v>79</v>
      </c>
      <c r="B76" s="2">
        <v>56</v>
      </c>
      <c r="C76" s="2">
        <v>3</v>
      </c>
      <c r="D76" s="2">
        <v>77</v>
      </c>
      <c r="E76" s="2">
        <v>115364</v>
      </c>
    </row>
    <row r="77" spans="1:5" ht="15">
      <c r="A77" s="2" t="s">
        <v>80</v>
      </c>
      <c r="B77" s="2">
        <v>43</v>
      </c>
      <c r="C77" s="2">
        <v>10</v>
      </c>
      <c r="D77" s="2">
        <v>90</v>
      </c>
      <c r="E77" s="2">
        <v>77258</v>
      </c>
    </row>
    <row r="78" spans="1:5" ht="15">
      <c r="A78" s="2" t="s">
        <v>81</v>
      </c>
      <c r="B78" s="2">
        <v>86</v>
      </c>
      <c r="C78" s="2">
        <v>1</v>
      </c>
      <c r="D78" s="2">
        <v>59</v>
      </c>
      <c r="E78" s="2">
        <v>49538</v>
      </c>
    </row>
    <row r="79" spans="1:5" ht="15">
      <c r="A79" s="2" t="s">
        <v>82</v>
      </c>
      <c r="B79" s="2">
        <v>53</v>
      </c>
      <c r="C79" s="2">
        <v>4</v>
      </c>
      <c r="D79" s="2">
        <v>69</v>
      </c>
      <c r="E79" s="2">
        <v>170584</v>
      </c>
    </row>
    <row r="80" spans="1:5" ht="15">
      <c r="A80" s="2" t="s">
        <v>83</v>
      </c>
      <c r="B80" s="2">
        <v>45</v>
      </c>
      <c r="C80" s="2">
        <v>3</v>
      </c>
      <c r="D80" s="2">
        <v>91</v>
      </c>
      <c r="E80" s="2">
        <v>177945</v>
      </c>
    </row>
    <row r="81" spans="1:5" ht="15">
      <c r="A81" s="2" t="s">
        <v>84</v>
      </c>
      <c r="B81" s="2">
        <v>95</v>
      </c>
      <c r="C81" s="2">
        <v>2</v>
      </c>
      <c r="D81" s="2">
        <v>83</v>
      </c>
      <c r="E81" s="2">
        <v>164193</v>
      </c>
    </row>
    <row r="82" spans="1:5" ht="15">
      <c r="A82" s="2" t="s">
        <v>85</v>
      </c>
      <c r="B82" s="2">
        <v>80</v>
      </c>
      <c r="C82" s="2">
        <v>10</v>
      </c>
      <c r="D82" s="2">
        <v>98</v>
      </c>
      <c r="E82" s="2">
        <v>81183</v>
      </c>
    </row>
    <row r="83" spans="1:5" ht="15">
      <c r="A83" s="2" t="s">
        <v>86</v>
      </c>
      <c r="B83" s="2">
        <v>61</v>
      </c>
      <c r="C83" s="2">
        <v>9</v>
      </c>
      <c r="D83" s="2">
        <v>69</v>
      </c>
      <c r="E83" s="2">
        <v>168242</v>
      </c>
    </row>
    <row r="84" spans="1:5" ht="15">
      <c r="A84" s="2" t="s">
        <v>87</v>
      </c>
      <c r="B84" s="2">
        <v>47</v>
      </c>
      <c r="C84" s="2">
        <v>6</v>
      </c>
      <c r="D84" s="2">
        <v>70</v>
      </c>
      <c r="E84" s="2">
        <v>50311</v>
      </c>
    </row>
    <row r="85" spans="1:5" ht="15">
      <c r="A85" s="2" t="s">
        <v>88</v>
      </c>
      <c r="B85" s="2">
        <v>70</v>
      </c>
      <c r="C85" s="2">
        <v>9</v>
      </c>
      <c r="D85" s="2">
        <v>71</v>
      </c>
      <c r="E85" s="2">
        <v>79477</v>
      </c>
    </row>
    <row r="86" spans="1:5" ht="15">
      <c r="A86" s="2" t="s">
        <v>89</v>
      </c>
      <c r="B86" s="2">
        <v>55</v>
      </c>
      <c r="C86" s="2">
        <v>3</v>
      </c>
      <c r="D86" s="2">
        <v>96</v>
      </c>
      <c r="E86" s="2">
        <v>56638</v>
      </c>
    </row>
    <row r="87" spans="1:5" ht="15">
      <c r="A87" s="2" t="s">
        <v>90</v>
      </c>
      <c r="B87" s="2">
        <v>58</v>
      </c>
      <c r="C87" s="2">
        <v>4</v>
      </c>
      <c r="D87" s="2">
        <v>77</v>
      </c>
      <c r="E87" s="2">
        <v>123006</v>
      </c>
    </row>
    <row r="88" spans="1:5" ht="15">
      <c r="A88" s="2" t="s">
        <v>91</v>
      </c>
      <c r="B88" s="2">
        <v>68</v>
      </c>
      <c r="C88" s="2">
        <v>7</v>
      </c>
      <c r="D88" s="2">
        <v>84</v>
      </c>
      <c r="E88" s="2">
        <v>140163</v>
      </c>
    </row>
    <row r="89" spans="1:5" ht="15">
      <c r="A89" s="2" t="s">
        <v>92</v>
      </c>
      <c r="B89" s="2">
        <v>75</v>
      </c>
      <c r="C89" s="2">
        <v>3</v>
      </c>
      <c r="D89" s="2">
        <v>69</v>
      </c>
      <c r="E89" s="2">
        <v>161898</v>
      </c>
    </row>
    <row r="90" spans="1:5" ht="15">
      <c r="A90" s="2" t="s">
        <v>93</v>
      </c>
      <c r="B90" s="2">
        <v>48</v>
      </c>
      <c r="C90" s="2">
        <v>10</v>
      </c>
      <c r="D90" s="2">
        <v>62</v>
      </c>
      <c r="E90" s="2">
        <v>26199</v>
      </c>
    </row>
    <row r="91" spans="1:5" ht="15">
      <c r="A91" s="2" t="s">
        <v>94</v>
      </c>
      <c r="B91" s="2">
        <v>96</v>
      </c>
      <c r="C91" s="2">
        <v>6</v>
      </c>
      <c r="D91" s="2">
        <v>52</v>
      </c>
      <c r="E91" s="2">
        <v>19307</v>
      </c>
    </row>
    <row r="92" spans="1:5" ht="15">
      <c r="A92" s="2" t="s">
        <v>95</v>
      </c>
      <c r="B92" s="2">
        <v>80</v>
      </c>
      <c r="C92" s="2">
        <v>1</v>
      </c>
      <c r="D92" s="2">
        <v>72</v>
      </c>
      <c r="E92" s="2">
        <v>116053</v>
      </c>
    </row>
    <row r="93" spans="1:5" ht="15">
      <c r="A93" s="2" t="s">
        <v>96</v>
      </c>
      <c r="B93" s="2">
        <v>73</v>
      </c>
      <c r="C93" s="2">
        <v>9</v>
      </c>
      <c r="D93" s="2">
        <v>54</v>
      </c>
      <c r="E93" s="2">
        <v>85271</v>
      </c>
    </row>
    <row r="94" spans="1:5" ht="15">
      <c r="A94" s="2" t="s">
        <v>97</v>
      </c>
      <c r="B94" s="2">
        <v>50</v>
      </c>
      <c r="C94" s="2">
        <v>5</v>
      </c>
      <c r="D94" s="2">
        <v>68</v>
      </c>
      <c r="E94" s="2">
        <v>142113</v>
      </c>
    </row>
    <row r="95" spans="1:5" ht="15">
      <c r="A95" s="2" t="s">
        <v>98</v>
      </c>
      <c r="B95" s="2">
        <v>97</v>
      </c>
      <c r="C95" s="2">
        <v>10</v>
      </c>
      <c r="D95" s="2">
        <v>89</v>
      </c>
      <c r="E95" s="2">
        <v>59616</v>
      </c>
    </row>
    <row r="96" spans="1:5" ht="15">
      <c r="A96" s="2" t="s">
        <v>99</v>
      </c>
      <c r="B96" s="2">
        <v>66</v>
      </c>
      <c r="C96" s="2">
        <v>8</v>
      </c>
      <c r="D96" s="2">
        <v>56</v>
      </c>
      <c r="E96" s="2">
        <v>163267</v>
      </c>
    </row>
    <row r="97" spans="1:5" ht="15">
      <c r="A97" s="2" t="s">
        <v>100</v>
      </c>
      <c r="B97" s="2">
        <v>59</v>
      </c>
      <c r="C97" s="2">
        <v>6</v>
      </c>
      <c r="D97" s="2">
        <v>77</v>
      </c>
      <c r="E97" s="2">
        <v>32871</v>
      </c>
    </row>
    <row r="98" spans="1:5" ht="15">
      <c r="A98" s="2" t="s">
        <v>101</v>
      </c>
      <c r="B98" s="2">
        <v>67</v>
      </c>
      <c r="C98" s="2">
        <v>6</v>
      </c>
      <c r="D98" s="2">
        <v>80</v>
      </c>
      <c r="E98" s="2">
        <v>193452</v>
      </c>
    </row>
    <row r="99" spans="1:5" ht="15">
      <c r="A99" s="2" t="s">
        <v>102</v>
      </c>
      <c r="B99" s="2">
        <v>96</v>
      </c>
      <c r="C99" s="2">
        <v>3</v>
      </c>
      <c r="D99" s="2">
        <v>89</v>
      </c>
      <c r="E99" s="2">
        <v>107447</v>
      </c>
    </row>
    <row r="100" spans="1:5" ht="15">
      <c r="A100" s="2" t="s">
        <v>103</v>
      </c>
      <c r="B100" s="2">
        <v>72</v>
      </c>
      <c r="C100" s="2">
        <v>10</v>
      </c>
      <c r="D100" s="2">
        <v>65</v>
      </c>
      <c r="E100" s="2">
        <v>156269</v>
      </c>
    </row>
    <row r="101" spans="1:5" ht="15">
      <c r="A101" s="2" t="s">
        <v>104</v>
      </c>
      <c r="B101" s="2">
        <v>65</v>
      </c>
      <c r="C101" s="2">
        <v>4</v>
      </c>
      <c r="D101" s="2">
        <v>80</v>
      </c>
      <c r="E101" s="2">
        <v>104168</v>
      </c>
    </row>
  </sheetData>
  <mergeCells count="12">
    <mergeCell ref="H24:J24"/>
    <mergeCell ref="H25:J25"/>
    <mergeCell ref="H16:J16"/>
    <mergeCell ref="G1:H1"/>
    <mergeCell ref="J1:K1"/>
    <mergeCell ref="H17:J17"/>
    <mergeCell ref="H18:J18"/>
    <mergeCell ref="H19:J19"/>
    <mergeCell ref="H20:J20"/>
    <mergeCell ref="H21:J21"/>
    <mergeCell ref="H22:J22"/>
    <mergeCell ref="H23:J23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6A8D-0CE1-4E4F-9DE3-055771201B7B}">
  <dimension ref="A1:I101"/>
  <sheetViews>
    <sheetView zoomScale="130" zoomScaleNormal="130" workbookViewId="0">
      <selection activeCell="H7" sqref="H7"/>
    </sheetView>
  </sheetViews>
  <sheetFormatPr defaultRowHeight="15"/>
  <cols>
    <col min="1" max="1" width="13.625" style="15" bestFit="1" customWidth="1"/>
    <col min="2" max="2" width="9.875" style="15" bestFit="1" customWidth="1"/>
    <col min="3" max="3" width="15.5" style="15" bestFit="1" customWidth="1"/>
    <col min="4" max="4" width="15" style="15" bestFit="1" customWidth="1"/>
    <col min="5" max="5" width="11.375" style="15" bestFit="1" customWidth="1"/>
    <col min="6" max="6" width="15.5" style="15" bestFit="1" customWidth="1"/>
    <col min="7" max="7" width="15.375" style="15" bestFit="1" customWidth="1"/>
    <col min="8" max="8" width="10.625" style="15" customWidth="1"/>
    <col min="9" max="9" width="5.25" style="15" bestFit="1" customWidth="1"/>
    <col min="10" max="16384" width="9" style="15"/>
  </cols>
  <sheetData>
    <row r="1" spans="1:9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130</v>
      </c>
      <c r="G1" s="21" t="s">
        <v>131</v>
      </c>
      <c r="H1" s="14"/>
      <c r="I1" s="16">
        <f>MIN(SampleData[SCORE])</f>
        <v>40</v>
      </c>
    </row>
    <row r="2" spans="1:9">
      <c r="A2" s="22" t="s">
        <v>5</v>
      </c>
      <c r="B2" s="18">
        <v>96</v>
      </c>
      <c r="C2" s="18">
        <v>5</v>
      </c>
      <c r="D2" s="18">
        <v>86</v>
      </c>
      <c r="E2" s="18">
        <v>139103</v>
      </c>
      <c r="F2" s="17" t="str">
        <f>IF(OR(SampleData3[[#This Row],[SCORE]]&lt;$I$7, SampleData3[[#This Row],[SCORE]]&gt;$I$8), "OUTLIER", "Normal")</f>
        <v>Normal</v>
      </c>
      <c r="G2" s="23">
        <f>COUNTIF(SampleData3[Outlier_Score],"OUTLIER")</f>
        <v>0</v>
      </c>
      <c r="I2" s="16">
        <f>_xlfn.QUARTILE.INC(SampleData[SCORE],1)</f>
        <v>53</v>
      </c>
    </row>
    <row r="3" spans="1:9">
      <c r="A3" s="22" t="s">
        <v>6</v>
      </c>
      <c r="B3" s="18">
        <v>68</v>
      </c>
      <c r="C3" s="18">
        <v>5</v>
      </c>
      <c r="D3" s="18">
        <v>62</v>
      </c>
      <c r="E3" s="18">
        <v>25183</v>
      </c>
      <c r="F3" s="18" t="str">
        <f>IF(OR(SampleData3[[#This Row],[SCORE]]&lt;$I$7, SampleData3[[#This Row],[SCORE]]&gt;$I$8), "OUTLIER", "Normal")</f>
        <v>Normal</v>
      </c>
      <c r="G3" s="23">
        <f>COUNTIF(SampleData3[Outlier_Score],"OUTLIER")</f>
        <v>0</v>
      </c>
      <c r="I3" s="16">
        <f>_xlfn.QUARTILE.INC(SampleData[SCORE],2)</f>
        <v>67.5</v>
      </c>
    </row>
    <row r="4" spans="1:9">
      <c r="A4" s="22" t="s">
        <v>7</v>
      </c>
      <c r="B4" s="18">
        <v>78</v>
      </c>
      <c r="C4" s="18">
        <v>5</v>
      </c>
      <c r="D4" s="18">
        <v>95</v>
      </c>
      <c r="E4" s="18">
        <v>173727</v>
      </c>
      <c r="F4" s="18" t="str">
        <f>IF(OR(SampleData3[[#This Row],[SCORE]]&lt;$I$7, SampleData3[[#This Row],[SCORE]]&gt;$I$8), "OUTLIER", "Normal")</f>
        <v>Normal</v>
      </c>
      <c r="G4" s="23">
        <f>COUNTIF(SampleData3[Outlier_Score],"OUTLIER")</f>
        <v>0</v>
      </c>
      <c r="I4" s="16">
        <f>_xlfn.QUARTILE.INC(SampleData[SCORE],3)</f>
        <v>82</v>
      </c>
    </row>
    <row r="5" spans="1:9">
      <c r="A5" s="22" t="s">
        <v>8</v>
      </c>
      <c r="B5" s="18">
        <v>53</v>
      </c>
      <c r="C5" s="18">
        <v>5</v>
      </c>
      <c r="D5" s="18">
        <v>63</v>
      </c>
      <c r="E5" s="18">
        <v>60689</v>
      </c>
      <c r="F5" s="18" t="str">
        <f>IF(OR(SampleData3[[#This Row],[SCORE]]&lt;$I$7, SampleData3[[#This Row],[SCORE]]&gt;$I$8), "OUTLIER", "Normal")</f>
        <v>Normal</v>
      </c>
      <c r="G5" s="23">
        <f>COUNTIF(SampleData3[Outlier_Score],"OUTLIER")</f>
        <v>0</v>
      </c>
      <c r="I5" s="16">
        <f>MAX(SampleData[SCORE])</f>
        <v>98</v>
      </c>
    </row>
    <row r="6" spans="1:9">
      <c r="A6" s="22" t="s">
        <v>9</v>
      </c>
      <c r="B6" s="18">
        <v>83</v>
      </c>
      <c r="C6" s="18">
        <v>8</v>
      </c>
      <c r="D6" s="18">
        <v>65</v>
      </c>
      <c r="E6" s="18">
        <v>19735</v>
      </c>
      <c r="F6" s="18" t="str">
        <f>IF(OR(SampleData3[[#This Row],[SCORE]]&lt;$I$7, SampleData3[[#This Row],[SCORE]]&gt;$I$8), "OUTLIER", "Normal")</f>
        <v>Normal</v>
      </c>
      <c r="G6" s="23">
        <f>COUNTIF(SampleData3[Outlier_Score],"OUTLIER")</f>
        <v>0</v>
      </c>
      <c r="I6" s="16">
        <f>$I$4-$I$2</f>
        <v>29</v>
      </c>
    </row>
    <row r="7" spans="1:9">
      <c r="A7" s="22" t="s">
        <v>10</v>
      </c>
      <c r="B7" s="18">
        <v>53</v>
      </c>
      <c r="C7" s="18">
        <v>6</v>
      </c>
      <c r="D7" s="18">
        <v>91</v>
      </c>
      <c r="E7" s="18">
        <v>53791</v>
      </c>
      <c r="F7" s="18" t="str">
        <f>IF(OR(SampleData3[[#This Row],[SCORE]]&lt;$I$7, SampleData3[[#This Row],[SCORE]]&gt;$I$8), "OUTLIER", "Normal")</f>
        <v>Normal</v>
      </c>
      <c r="G7" s="23">
        <f>COUNTIF(SampleData3[Outlier_Score],"OUTLIER")</f>
        <v>0</v>
      </c>
      <c r="I7" s="16">
        <f>$I$2-1.5*$I$6</f>
        <v>9.5</v>
      </c>
    </row>
    <row r="8" spans="1:9">
      <c r="A8" s="22" t="s">
        <v>11</v>
      </c>
      <c r="B8" s="18">
        <v>49</v>
      </c>
      <c r="C8" s="18">
        <v>10</v>
      </c>
      <c r="D8" s="18">
        <v>74</v>
      </c>
      <c r="E8" s="18">
        <v>24527</v>
      </c>
      <c r="F8" s="18" t="str">
        <f>IF(OR(SampleData3[[#This Row],[SCORE]]&lt;$I$7, SampleData3[[#This Row],[SCORE]]&gt;$I$8), "OUTLIER", "Normal")</f>
        <v>Normal</v>
      </c>
      <c r="G8" s="23">
        <f>COUNTIF(SampleData3[Outlier_Score],"OUTLIER")</f>
        <v>0</v>
      </c>
      <c r="I8" s="16">
        <f>$I$4+1.5*$I$6</f>
        <v>125.5</v>
      </c>
    </row>
    <row r="9" spans="1:9">
      <c r="A9" s="22" t="s">
        <v>12</v>
      </c>
      <c r="B9" s="18">
        <v>49</v>
      </c>
      <c r="C9" s="18">
        <v>4</v>
      </c>
      <c r="D9" s="18">
        <v>99</v>
      </c>
      <c r="E9" s="18">
        <v>141484</v>
      </c>
      <c r="F9" s="18" t="str">
        <f>IF(OR(SampleData3[[#This Row],[SCORE]]&lt;$I$7, SampleData3[[#This Row],[SCORE]]&gt;$I$8), "OUTLIER", "Normal")</f>
        <v>Normal</v>
      </c>
      <c r="G9" s="23">
        <f>COUNTIF(SampleData3[Outlier_Score],"OUTLIER")</f>
        <v>0</v>
      </c>
    </row>
    <row r="10" spans="1:9">
      <c r="A10" s="22" t="s">
        <v>13</v>
      </c>
      <c r="B10" s="18">
        <v>45</v>
      </c>
      <c r="C10" s="18">
        <v>6</v>
      </c>
      <c r="D10" s="18">
        <v>95</v>
      </c>
      <c r="E10" s="18">
        <v>139103</v>
      </c>
      <c r="F10" s="18" t="str">
        <f>IF(OR(SampleData3[[#This Row],[SCORE]]&lt;$I$7, SampleData3[[#This Row],[SCORE]]&gt;$I$8), "OUTLIER", "Normal")</f>
        <v>Normal</v>
      </c>
      <c r="G10" s="23">
        <f>COUNTIF(SampleData3[Outlier_Score],"OUTLIER")</f>
        <v>0</v>
      </c>
    </row>
    <row r="11" spans="1:9">
      <c r="A11" s="22" t="s">
        <v>14</v>
      </c>
      <c r="B11" s="18">
        <v>95</v>
      </c>
      <c r="C11" s="18">
        <v>2</v>
      </c>
      <c r="D11" s="18">
        <v>70</v>
      </c>
      <c r="E11" s="18">
        <v>89644</v>
      </c>
      <c r="F11" s="18" t="str">
        <f>IF(OR(SampleData3[[#This Row],[SCORE]]&lt;$I$7, SampleData3[[#This Row],[SCORE]]&gt;$I$8), "OUTLIER", "Normal")</f>
        <v>Normal</v>
      </c>
      <c r="G11" s="23">
        <f>COUNTIF(SampleData3[Outlier_Score],"OUTLIER")</f>
        <v>0</v>
      </c>
    </row>
    <row r="12" spans="1:9">
      <c r="A12" s="22" t="s">
        <v>15</v>
      </c>
      <c r="B12" s="18">
        <v>82</v>
      </c>
      <c r="C12" s="18">
        <v>5</v>
      </c>
      <c r="D12" s="18">
        <v>61</v>
      </c>
      <c r="E12" s="18">
        <v>117434</v>
      </c>
      <c r="F12" s="18" t="str">
        <f>IF(OR(SampleData3[[#This Row],[SCORE]]&lt;$I$7, SampleData3[[#This Row],[SCORE]]&gt;$I$8), "OUTLIER", "Normal")</f>
        <v>Normal</v>
      </c>
      <c r="G12" s="23">
        <f>COUNTIF(SampleData3[Outlier_Score],"OUTLIER")</f>
        <v>0</v>
      </c>
    </row>
    <row r="13" spans="1:9">
      <c r="A13" s="22" t="s">
        <v>16</v>
      </c>
      <c r="B13" s="18">
        <v>86</v>
      </c>
      <c r="C13" s="18">
        <v>5</v>
      </c>
      <c r="D13" s="18">
        <v>59</v>
      </c>
      <c r="E13" s="18">
        <v>123618</v>
      </c>
      <c r="F13" s="18" t="str">
        <f>IF(OR(SampleData3[[#This Row],[SCORE]]&lt;$I$7, SampleData3[[#This Row],[SCORE]]&gt;$I$8), "OUTLIER", "Normal")</f>
        <v>Normal</v>
      </c>
      <c r="G13" s="23">
        <f>COUNTIF(SampleData3[Outlier_Score],"OUTLIER")</f>
        <v>0</v>
      </c>
    </row>
    <row r="14" spans="1:9">
      <c r="A14" s="22" t="s">
        <v>17</v>
      </c>
      <c r="B14" s="18">
        <v>49</v>
      </c>
      <c r="C14" s="18">
        <v>8</v>
      </c>
      <c r="D14" s="18">
        <v>57</v>
      </c>
      <c r="E14" s="18">
        <v>173456</v>
      </c>
      <c r="F14" s="18" t="str">
        <f>IF(OR(SampleData3[[#This Row],[SCORE]]&lt;$I$7, SampleData3[[#This Row],[SCORE]]&gt;$I$8), "OUTLIER", "Normal")</f>
        <v>Normal</v>
      </c>
      <c r="G14" s="23">
        <f>COUNTIF(SampleData3[Outlier_Score],"OUTLIER")</f>
        <v>0</v>
      </c>
    </row>
    <row r="15" spans="1:9">
      <c r="A15" s="22" t="s">
        <v>18</v>
      </c>
      <c r="B15" s="18">
        <v>60</v>
      </c>
      <c r="C15" s="18">
        <v>9</v>
      </c>
      <c r="D15" s="18">
        <v>68</v>
      </c>
      <c r="E15" s="18">
        <v>190666</v>
      </c>
      <c r="F15" s="18" t="str">
        <f>IF(OR(SampleData3[[#This Row],[SCORE]]&lt;$I$7, SampleData3[[#This Row],[SCORE]]&gt;$I$8), "OUTLIER", "Normal")</f>
        <v>Normal</v>
      </c>
      <c r="G15" s="23">
        <f>COUNTIF(SampleData3[Outlier_Score],"OUTLIER")</f>
        <v>0</v>
      </c>
    </row>
    <row r="16" spans="1:9">
      <c r="A16" s="22" t="s">
        <v>19</v>
      </c>
      <c r="B16" s="18">
        <v>78</v>
      </c>
      <c r="C16" s="18">
        <v>8</v>
      </c>
      <c r="D16" s="18">
        <v>93</v>
      </c>
      <c r="E16" s="18">
        <v>40321</v>
      </c>
      <c r="F16" s="18" t="str">
        <f>IF(OR(SampleData3[[#This Row],[SCORE]]&lt;$I$7, SampleData3[[#This Row],[SCORE]]&gt;$I$8), "OUTLIER", "Normal")</f>
        <v>Normal</v>
      </c>
      <c r="G16" s="23">
        <f>COUNTIF(SampleData3[Outlier_Score],"OUTLIER")</f>
        <v>0</v>
      </c>
    </row>
    <row r="17" spans="1:7">
      <c r="A17" s="22" t="s">
        <v>20</v>
      </c>
      <c r="B17" s="18">
        <v>63</v>
      </c>
      <c r="C17" s="18">
        <v>2</v>
      </c>
      <c r="D17" s="18">
        <v>83</v>
      </c>
      <c r="E17" s="18">
        <v>155921</v>
      </c>
      <c r="F17" s="18" t="str">
        <f>IF(OR(SampleData3[[#This Row],[SCORE]]&lt;$I$7, SampleData3[[#This Row],[SCORE]]&gt;$I$8), "OUTLIER", "Normal")</f>
        <v>Normal</v>
      </c>
      <c r="G17" s="23">
        <f>COUNTIF(SampleData3[Outlier_Score],"OUTLIER")</f>
        <v>0</v>
      </c>
    </row>
    <row r="18" spans="1:7">
      <c r="A18" s="22" t="s">
        <v>21</v>
      </c>
      <c r="B18" s="18">
        <v>57</v>
      </c>
      <c r="C18" s="18">
        <v>10</v>
      </c>
      <c r="D18" s="18">
        <v>50</v>
      </c>
      <c r="E18" s="18">
        <v>68109</v>
      </c>
      <c r="F18" s="18" t="str">
        <f>IF(OR(SampleData3[[#This Row],[SCORE]]&lt;$I$7, SampleData3[[#This Row],[SCORE]]&gt;$I$8), "OUTLIER", "Normal")</f>
        <v>Normal</v>
      </c>
      <c r="G18" s="23">
        <f>COUNTIF(SampleData3[Outlier_Score],"OUTLIER")</f>
        <v>0</v>
      </c>
    </row>
    <row r="19" spans="1:7">
      <c r="A19" s="22" t="s">
        <v>22</v>
      </c>
      <c r="B19" s="18">
        <v>77</v>
      </c>
      <c r="C19" s="18">
        <v>8</v>
      </c>
      <c r="D19" s="18">
        <v>67</v>
      </c>
      <c r="E19" s="18">
        <v>146329</v>
      </c>
      <c r="F19" s="18" t="str">
        <f>IF(OR(SampleData3[[#This Row],[SCORE]]&lt;$I$7, SampleData3[[#This Row],[SCORE]]&gt;$I$8), "OUTLIER", "Normal")</f>
        <v>Normal</v>
      </c>
      <c r="G19" s="23">
        <f>COUNTIF(SampleData3[Outlier_Score],"OUTLIER")</f>
        <v>0</v>
      </c>
    </row>
    <row r="20" spans="1:7">
      <c r="A20" s="22" t="s">
        <v>23</v>
      </c>
      <c r="B20" s="18">
        <v>48</v>
      </c>
      <c r="C20" s="18">
        <v>9</v>
      </c>
      <c r="D20" s="18">
        <v>75</v>
      </c>
      <c r="E20" s="18">
        <v>158263</v>
      </c>
      <c r="F20" s="18" t="str">
        <f>IF(OR(SampleData3[[#This Row],[SCORE]]&lt;$I$7, SampleData3[[#This Row],[SCORE]]&gt;$I$8), "OUTLIER", "Normal")</f>
        <v>Normal</v>
      </c>
      <c r="G20" s="23">
        <f>COUNTIF(SampleData3[Outlier_Score],"OUTLIER")</f>
        <v>0</v>
      </c>
    </row>
    <row r="21" spans="1:7">
      <c r="A21" s="22" t="s">
        <v>24</v>
      </c>
      <c r="B21" s="18">
        <v>50</v>
      </c>
      <c r="C21" s="18">
        <v>1</v>
      </c>
      <c r="D21" s="18">
        <v>79</v>
      </c>
      <c r="E21" s="18">
        <v>21113</v>
      </c>
      <c r="F21" s="18" t="str">
        <f>IF(OR(SampleData3[[#This Row],[SCORE]]&lt;$I$7, SampleData3[[#This Row],[SCORE]]&gt;$I$8), "OUTLIER", "Normal")</f>
        <v>Normal</v>
      </c>
      <c r="G21" s="23">
        <f>COUNTIF(SampleData3[Outlier_Score],"OUTLIER")</f>
        <v>0</v>
      </c>
    </row>
    <row r="22" spans="1:7">
      <c r="A22" s="22" t="s">
        <v>25</v>
      </c>
      <c r="B22" s="18">
        <v>58</v>
      </c>
      <c r="C22" s="18">
        <v>5</v>
      </c>
      <c r="D22" s="18">
        <v>85</v>
      </c>
      <c r="E22" s="18">
        <v>120575</v>
      </c>
      <c r="F22" s="18" t="str">
        <f>IF(OR(SampleData3[[#This Row],[SCORE]]&lt;$I$7, SampleData3[[#This Row],[SCORE]]&gt;$I$8), "OUTLIER", "Normal")</f>
        <v>Normal</v>
      </c>
      <c r="G22" s="23">
        <f>COUNTIF(SampleData3[Outlier_Score],"OUTLIER")</f>
        <v>0</v>
      </c>
    </row>
    <row r="23" spans="1:7">
      <c r="A23" s="22" t="s">
        <v>26</v>
      </c>
      <c r="B23" s="18">
        <v>70</v>
      </c>
      <c r="C23" s="18">
        <v>7</v>
      </c>
      <c r="D23" s="18">
        <v>90</v>
      </c>
      <c r="E23" s="18">
        <v>122494</v>
      </c>
      <c r="F23" s="18" t="str">
        <f>IF(OR(SampleData3[[#This Row],[SCORE]]&lt;$I$7, SampleData3[[#This Row],[SCORE]]&gt;$I$8), "OUTLIER", "Normal")</f>
        <v>Normal</v>
      </c>
      <c r="G23" s="23">
        <f>COUNTIF(SampleData3[Outlier_Score],"OUTLIER")</f>
        <v>0</v>
      </c>
    </row>
    <row r="24" spans="1:7">
      <c r="A24" s="22" t="s">
        <v>27</v>
      </c>
      <c r="B24" s="18">
        <v>65</v>
      </c>
      <c r="C24" s="18">
        <v>4</v>
      </c>
      <c r="D24" s="18">
        <v>88</v>
      </c>
      <c r="E24" s="18">
        <v>27385</v>
      </c>
      <c r="F24" s="18" t="str">
        <f>IF(OR(SampleData3[[#This Row],[SCORE]]&lt;$I$7, SampleData3[[#This Row],[SCORE]]&gt;$I$8), "OUTLIER", "Normal")</f>
        <v>Normal</v>
      </c>
      <c r="G24" s="23">
        <f>COUNTIF(SampleData3[Outlier_Score],"OUTLIER")</f>
        <v>0</v>
      </c>
    </row>
    <row r="25" spans="1:7">
      <c r="A25" s="22" t="s">
        <v>28</v>
      </c>
      <c r="B25" s="18">
        <v>98</v>
      </c>
      <c r="C25" s="18">
        <v>7</v>
      </c>
      <c r="D25" s="18">
        <v>93</v>
      </c>
      <c r="E25" s="18">
        <v>116814</v>
      </c>
      <c r="F25" s="18" t="str">
        <f>IF(OR(SampleData3[[#This Row],[SCORE]]&lt;$I$7, SampleData3[[#This Row],[SCORE]]&gt;$I$8), "OUTLIER", "Normal")</f>
        <v>Normal</v>
      </c>
      <c r="G25" s="23">
        <f>COUNTIF(SampleData3[Outlier_Score],"OUTLIER")</f>
        <v>0</v>
      </c>
    </row>
    <row r="26" spans="1:7">
      <c r="A26" s="22" t="s">
        <v>29</v>
      </c>
      <c r="B26" s="18">
        <v>80</v>
      </c>
      <c r="C26" s="18">
        <v>2</v>
      </c>
      <c r="D26" s="18">
        <v>67</v>
      </c>
      <c r="E26" s="18">
        <v>26201</v>
      </c>
      <c r="F26" s="18" t="str">
        <f>IF(OR(SampleData3[[#This Row],[SCORE]]&lt;$I$7, SampleData3[[#This Row],[SCORE]]&gt;$I$8), "OUTLIER", "Normal")</f>
        <v>Normal</v>
      </c>
      <c r="G26" s="23">
        <f>COUNTIF(SampleData3[Outlier_Score],"OUTLIER")</f>
        <v>0</v>
      </c>
    </row>
    <row r="27" spans="1:7">
      <c r="A27" s="22" t="s">
        <v>30</v>
      </c>
      <c r="B27" s="18">
        <v>76</v>
      </c>
      <c r="C27" s="18">
        <v>5</v>
      </c>
      <c r="D27" s="18">
        <v>72</v>
      </c>
      <c r="E27" s="18">
        <v>149837</v>
      </c>
      <c r="F27" s="18" t="str">
        <f>IF(OR(SampleData3[[#This Row],[SCORE]]&lt;$I$7, SampleData3[[#This Row],[SCORE]]&gt;$I$8), "OUTLIER", "Normal")</f>
        <v>Normal</v>
      </c>
      <c r="G27" s="23">
        <f>COUNTIF(SampleData3[Outlier_Score],"OUTLIER")</f>
        <v>0</v>
      </c>
    </row>
    <row r="28" spans="1:7">
      <c r="A28" s="22" t="s">
        <v>31</v>
      </c>
      <c r="B28" s="18">
        <v>56</v>
      </c>
      <c r="C28" s="18">
        <v>2</v>
      </c>
      <c r="D28" s="18">
        <v>76</v>
      </c>
      <c r="E28" s="18">
        <v>144806</v>
      </c>
      <c r="F28" s="18" t="str">
        <f>IF(OR(SampleData3[[#This Row],[SCORE]]&lt;$I$7, SampleData3[[#This Row],[SCORE]]&gt;$I$8), "OUTLIER", "Normal")</f>
        <v>Normal</v>
      </c>
      <c r="G28" s="23">
        <f>COUNTIF(SampleData3[Outlier_Score],"OUTLIER")</f>
        <v>0</v>
      </c>
    </row>
    <row r="29" spans="1:7">
      <c r="A29" s="22" t="s">
        <v>32</v>
      </c>
      <c r="B29" s="18">
        <v>51</v>
      </c>
      <c r="C29" s="18">
        <v>4</v>
      </c>
      <c r="D29" s="18">
        <v>74</v>
      </c>
      <c r="E29" s="18">
        <v>107922</v>
      </c>
      <c r="F29" s="18" t="str">
        <f>IF(OR(SampleData3[[#This Row],[SCORE]]&lt;$I$7, SampleData3[[#This Row],[SCORE]]&gt;$I$8), "OUTLIER", "Normal")</f>
        <v>Normal</v>
      </c>
      <c r="G29" s="23">
        <f>COUNTIF(SampleData3[Outlier_Score],"OUTLIER")</f>
        <v>0</v>
      </c>
    </row>
    <row r="30" spans="1:7">
      <c r="A30" s="22" t="s">
        <v>33</v>
      </c>
      <c r="B30" s="18">
        <v>82</v>
      </c>
      <c r="C30" s="18">
        <v>7</v>
      </c>
      <c r="D30" s="18">
        <v>83</v>
      </c>
      <c r="E30" s="18">
        <v>189126</v>
      </c>
      <c r="F30" s="18" t="str">
        <f>IF(OR(SampleData3[[#This Row],[SCORE]]&lt;$I$7, SampleData3[[#This Row],[SCORE]]&gt;$I$8), "OUTLIER", "Normal")</f>
        <v>Normal</v>
      </c>
      <c r="G30" s="23">
        <f>COUNTIF(SampleData3[Outlier_Score],"OUTLIER")</f>
        <v>0</v>
      </c>
    </row>
    <row r="31" spans="1:7">
      <c r="A31" s="22" t="s">
        <v>34</v>
      </c>
      <c r="B31" s="18">
        <v>97</v>
      </c>
      <c r="C31" s="18">
        <v>9</v>
      </c>
      <c r="D31" s="18">
        <v>83</v>
      </c>
      <c r="E31" s="18">
        <v>15539</v>
      </c>
      <c r="F31" s="18" t="str">
        <f>IF(OR(SampleData3[[#This Row],[SCORE]]&lt;$I$7, SampleData3[[#This Row],[SCORE]]&gt;$I$8), "OUTLIER", "Normal")</f>
        <v>Normal</v>
      </c>
      <c r="G31" s="23">
        <f>COUNTIF(SampleData3[Outlier_Score],"OUTLIER")</f>
        <v>0</v>
      </c>
    </row>
    <row r="32" spans="1:7">
      <c r="A32" s="22" t="s">
        <v>35</v>
      </c>
      <c r="B32" s="18">
        <v>69</v>
      </c>
      <c r="C32" s="18">
        <v>2</v>
      </c>
      <c r="D32" s="18">
        <v>91</v>
      </c>
      <c r="E32" s="18">
        <v>32940</v>
      </c>
      <c r="F32" s="18" t="str">
        <f>IF(OR(SampleData3[[#This Row],[SCORE]]&lt;$I$7, SampleData3[[#This Row],[SCORE]]&gt;$I$8), "OUTLIER", "Normal")</f>
        <v>Normal</v>
      </c>
      <c r="G32" s="23">
        <f>COUNTIF(SampleData3[Outlier_Score],"OUTLIER")</f>
        <v>0</v>
      </c>
    </row>
    <row r="33" spans="1:7">
      <c r="A33" s="22" t="s">
        <v>36</v>
      </c>
      <c r="B33" s="18">
        <v>92</v>
      </c>
      <c r="C33" s="18">
        <v>2</v>
      </c>
      <c r="D33" s="18">
        <v>56</v>
      </c>
      <c r="E33" s="18">
        <v>16799</v>
      </c>
      <c r="F33" s="18" t="str">
        <f>IF(OR(SampleData3[[#This Row],[SCORE]]&lt;$I$7, SampleData3[[#This Row],[SCORE]]&gt;$I$8), "OUTLIER", "Normal")</f>
        <v>Normal</v>
      </c>
      <c r="G33" s="23">
        <f>COUNTIF(SampleData3[Outlier_Score],"OUTLIER")</f>
        <v>0</v>
      </c>
    </row>
    <row r="34" spans="1:7">
      <c r="A34" s="22" t="s">
        <v>37</v>
      </c>
      <c r="B34" s="18">
        <v>45</v>
      </c>
      <c r="C34" s="18">
        <v>4</v>
      </c>
      <c r="D34" s="18">
        <v>80</v>
      </c>
      <c r="E34" s="18">
        <v>64115</v>
      </c>
      <c r="F34" s="18" t="str">
        <f>IF(OR(SampleData3[[#This Row],[SCORE]]&lt;$I$7, SampleData3[[#This Row],[SCORE]]&gt;$I$8), "OUTLIER", "Normal")</f>
        <v>Normal</v>
      </c>
      <c r="G34" s="23">
        <f>COUNTIF(SampleData3[Outlier_Score],"OUTLIER")</f>
        <v>0</v>
      </c>
    </row>
    <row r="35" spans="1:7">
      <c r="A35" s="22" t="s">
        <v>38</v>
      </c>
      <c r="B35" s="18">
        <v>69</v>
      </c>
      <c r="C35" s="18">
        <v>6</v>
      </c>
      <c r="D35" s="18">
        <v>77</v>
      </c>
      <c r="E35" s="18">
        <v>199152</v>
      </c>
      <c r="F35" s="18" t="str">
        <f>IF(OR(SampleData3[[#This Row],[SCORE]]&lt;$I$7, SampleData3[[#This Row],[SCORE]]&gt;$I$8), "OUTLIER", "Normal")</f>
        <v>Normal</v>
      </c>
      <c r="G35" s="23">
        <f>COUNTIF(SampleData3[Outlier_Score],"OUTLIER")</f>
        <v>0</v>
      </c>
    </row>
    <row r="36" spans="1:7">
      <c r="A36" s="22" t="s">
        <v>39</v>
      </c>
      <c r="B36" s="18">
        <v>51</v>
      </c>
      <c r="C36" s="18">
        <v>2</v>
      </c>
      <c r="D36" s="18">
        <v>96</v>
      </c>
      <c r="E36" s="18">
        <v>166914</v>
      </c>
      <c r="F36" s="18" t="str">
        <f>IF(OR(SampleData3[[#This Row],[SCORE]]&lt;$I$7, SampleData3[[#This Row],[SCORE]]&gt;$I$8), "OUTLIER", "Normal")</f>
        <v>Normal</v>
      </c>
      <c r="G36" s="23">
        <f>COUNTIF(SampleData3[Outlier_Score],"OUTLIER")</f>
        <v>0</v>
      </c>
    </row>
    <row r="37" spans="1:7">
      <c r="A37" s="22" t="s">
        <v>40</v>
      </c>
      <c r="B37" s="18">
        <v>75</v>
      </c>
      <c r="C37" s="18">
        <v>10</v>
      </c>
      <c r="D37" s="18">
        <v>97</v>
      </c>
      <c r="E37" s="18">
        <v>158837</v>
      </c>
      <c r="F37" s="18" t="str">
        <f>IF(OR(SampleData3[[#This Row],[SCORE]]&lt;$I$7, SampleData3[[#This Row],[SCORE]]&gt;$I$8), "OUTLIER", "Normal")</f>
        <v>Normal</v>
      </c>
      <c r="G37" s="23">
        <f>COUNTIF(SampleData3[Outlier_Score],"OUTLIER")</f>
        <v>0</v>
      </c>
    </row>
    <row r="38" spans="1:7">
      <c r="A38" s="22" t="s">
        <v>41</v>
      </c>
      <c r="B38" s="18">
        <v>64</v>
      </c>
      <c r="C38" s="18">
        <v>9</v>
      </c>
      <c r="D38" s="18">
        <v>68</v>
      </c>
      <c r="E38" s="18">
        <v>48984</v>
      </c>
      <c r="F38" s="18" t="str">
        <f>IF(OR(SampleData3[[#This Row],[SCORE]]&lt;$I$7, SampleData3[[#This Row],[SCORE]]&gt;$I$8), "OUTLIER", "Normal")</f>
        <v>Normal</v>
      </c>
      <c r="G38" s="23">
        <f>COUNTIF(SampleData3[Outlier_Score],"OUTLIER")</f>
        <v>0</v>
      </c>
    </row>
    <row r="39" spans="1:7">
      <c r="A39" s="22" t="s">
        <v>42</v>
      </c>
      <c r="B39" s="18">
        <v>69</v>
      </c>
      <c r="C39" s="18">
        <v>2</v>
      </c>
      <c r="D39" s="18">
        <v>61</v>
      </c>
      <c r="E39" s="18">
        <v>117223</v>
      </c>
      <c r="F39" s="18" t="str">
        <f>IF(OR(SampleData3[[#This Row],[SCORE]]&lt;$I$7, SampleData3[[#This Row],[SCORE]]&gt;$I$8), "OUTLIER", "Normal")</f>
        <v>Normal</v>
      </c>
      <c r="G39" s="23">
        <f>COUNTIF(SampleData3[Outlier_Score],"OUTLIER")</f>
        <v>0</v>
      </c>
    </row>
    <row r="40" spans="1:7">
      <c r="A40" s="22" t="s">
        <v>43</v>
      </c>
      <c r="B40" s="18">
        <v>66</v>
      </c>
      <c r="C40" s="18">
        <v>2</v>
      </c>
      <c r="D40" s="18">
        <v>98</v>
      </c>
      <c r="E40" s="18">
        <v>127769</v>
      </c>
      <c r="F40" s="18" t="str">
        <f>IF(OR(SampleData3[[#This Row],[SCORE]]&lt;$I$7, SampleData3[[#This Row],[SCORE]]&gt;$I$8), "OUTLIER", "Normal")</f>
        <v>Normal</v>
      </c>
      <c r="G40" s="23">
        <f>COUNTIF(SampleData3[Outlier_Score],"OUTLIER")</f>
        <v>0</v>
      </c>
    </row>
    <row r="41" spans="1:7">
      <c r="A41" s="22" t="s">
        <v>44</v>
      </c>
      <c r="B41" s="18">
        <v>72</v>
      </c>
      <c r="C41" s="18">
        <v>9</v>
      </c>
      <c r="D41" s="18">
        <v>83</v>
      </c>
      <c r="E41" s="18">
        <v>175604</v>
      </c>
      <c r="F41" s="18" t="str">
        <f>IF(OR(SampleData3[[#This Row],[SCORE]]&lt;$I$7, SampleData3[[#This Row],[SCORE]]&gt;$I$8), "OUTLIER", "Normal")</f>
        <v>Normal</v>
      </c>
      <c r="G41" s="23">
        <f>COUNTIF(SampleData3[Outlier_Score],"OUTLIER")</f>
        <v>0</v>
      </c>
    </row>
    <row r="42" spans="1:7">
      <c r="A42" s="22" t="s">
        <v>45</v>
      </c>
      <c r="B42" s="18">
        <v>84</v>
      </c>
      <c r="C42" s="18">
        <v>8</v>
      </c>
      <c r="D42" s="18">
        <v>100</v>
      </c>
      <c r="E42" s="18">
        <v>78805</v>
      </c>
      <c r="F42" s="18" t="str">
        <f>IF(OR(SampleData3[[#This Row],[SCORE]]&lt;$I$7, SampleData3[[#This Row],[SCORE]]&gt;$I$8), "OUTLIER", "Normal")</f>
        <v>Normal</v>
      </c>
      <c r="G42" s="23">
        <f>COUNTIF(SampleData3[Outlier_Score],"OUTLIER")</f>
        <v>0</v>
      </c>
    </row>
    <row r="43" spans="1:7">
      <c r="A43" s="22" t="s">
        <v>46</v>
      </c>
      <c r="B43" s="18">
        <v>59</v>
      </c>
      <c r="C43" s="18">
        <v>2</v>
      </c>
      <c r="D43" s="18">
        <v>59</v>
      </c>
      <c r="E43" s="18">
        <v>152399</v>
      </c>
      <c r="F43" s="18" t="str">
        <f>IF(OR(SampleData3[[#This Row],[SCORE]]&lt;$I$7, SampleData3[[#This Row],[SCORE]]&gt;$I$8), "OUTLIER", "Normal")</f>
        <v>Normal</v>
      </c>
      <c r="G43" s="23">
        <f>COUNTIF(SampleData3[Outlier_Score],"OUTLIER")</f>
        <v>0</v>
      </c>
    </row>
    <row r="44" spans="1:7">
      <c r="A44" s="22" t="s">
        <v>47</v>
      </c>
      <c r="B44" s="18">
        <v>49</v>
      </c>
      <c r="C44" s="18">
        <v>9</v>
      </c>
      <c r="D44" s="18">
        <v>71</v>
      </c>
      <c r="E44" s="18">
        <v>50652</v>
      </c>
      <c r="F44" s="18" t="str">
        <f>IF(OR(SampleData3[[#This Row],[SCORE]]&lt;$I$7, SampleData3[[#This Row],[SCORE]]&gt;$I$8), "OUTLIER", "Normal")</f>
        <v>Normal</v>
      </c>
      <c r="G44" s="23">
        <f>COUNTIF(SampleData3[Outlier_Score],"OUTLIER")</f>
        <v>0</v>
      </c>
    </row>
    <row r="45" spans="1:7">
      <c r="A45" s="22" t="s">
        <v>48</v>
      </c>
      <c r="B45" s="18">
        <v>40</v>
      </c>
      <c r="C45" s="18">
        <v>3</v>
      </c>
      <c r="D45" s="18">
        <v>96</v>
      </c>
      <c r="E45" s="18">
        <v>102116</v>
      </c>
      <c r="F45" s="18" t="str">
        <f>IF(OR(SampleData3[[#This Row],[SCORE]]&lt;$I$7, SampleData3[[#This Row],[SCORE]]&gt;$I$8), "OUTLIER", "Normal")</f>
        <v>Normal</v>
      </c>
      <c r="G45" s="23">
        <f>COUNTIF(SampleData3[Outlier_Score],"OUTLIER")</f>
        <v>0</v>
      </c>
    </row>
    <row r="46" spans="1:7">
      <c r="A46" s="22" t="s">
        <v>49</v>
      </c>
      <c r="B46" s="18">
        <v>87</v>
      </c>
      <c r="C46" s="18">
        <v>4</v>
      </c>
      <c r="D46" s="18">
        <v>63</v>
      </c>
      <c r="E46" s="18">
        <v>124362</v>
      </c>
      <c r="F46" s="18" t="str">
        <f>IF(OR(SampleData3[[#This Row],[SCORE]]&lt;$I$7, SampleData3[[#This Row],[SCORE]]&gt;$I$8), "OUTLIER", "Normal")</f>
        <v>Normal</v>
      </c>
      <c r="G46" s="23">
        <f>COUNTIF(SampleData3[Outlier_Score],"OUTLIER")</f>
        <v>0</v>
      </c>
    </row>
    <row r="47" spans="1:7">
      <c r="A47" s="22" t="s">
        <v>50</v>
      </c>
      <c r="B47" s="18">
        <v>55</v>
      </c>
      <c r="C47" s="18">
        <v>8</v>
      </c>
      <c r="D47" s="18">
        <v>51</v>
      </c>
      <c r="E47" s="18">
        <v>65845</v>
      </c>
      <c r="F47" s="18" t="str">
        <f>IF(OR(SampleData3[[#This Row],[SCORE]]&lt;$I$7, SampleData3[[#This Row],[SCORE]]&gt;$I$8), "OUTLIER", "Normal")</f>
        <v>Normal</v>
      </c>
      <c r="G47" s="23">
        <f>COUNTIF(SampleData3[Outlier_Score],"OUTLIER")</f>
        <v>0</v>
      </c>
    </row>
    <row r="48" spans="1:7">
      <c r="A48" s="22" t="s">
        <v>51</v>
      </c>
      <c r="B48" s="18">
        <v>94</v>
      </c>
      <c r="C48" s="18">
        <v>5</v>
      </c>
      <c r="D48" s="18">
        <v>61</v>
      </c>
      <c r="E48" s="18">
        <v>133153</v>
      </c>
      <c r="F48" s="18" t="str">
        <f>IF(OR(SampleData3[[#This Row],[SCORE]]&lt;$I$7, SampleData3[[#This Row],[SCORE]]&gt;$I$8), "OUTLIER", "Normal")</f>
        <v>Normal</v>
      </c>
      <c r="G48" s="23">
        <f>COUNTIF(SampleData3[Outlier_Score],"OUTLIER")</f>
        <v>0</v>
      </c>
    </row>
    <row r="49" spans="1:7">
      <c r="A49" s="22" t="s">
        <v>52</v>
      </c>
      <c r="B49" s="18">
        <v>47</v>
      </c>
      <c r="C49" s="18">
        <v>9</v>
      </c>
      <c r="D49" s="18">
        <v>84</v>
      </c>
      <c r="E49" s="18">
        <v>110507</v>
      </c>
      <c r="F49" s="18" t="str">
        <f>IF(OR(SampleData3[[#This Row],[SCORE]]&lt;$I$7, SampleData3[[#This Row],[SCORE]]&gt;$I$8), "OUTLIER", "Normal")</f>
        <v>Normal</v>
      </c>
      <c r="G49" s="23">
        <f>COUNTIF(SampleData3[Outlier_Score],"OUTLIER")</f>
        <v>0</v>
      </c>
    </row>
    <row r="50" spans="1:7">
      <c r="A50" s="22" t="s">
        <v>53</v>
      </c>
      <c r="B50" s="18">
        <v>92</v>
      </c>
      <c r="C50" s="18">
        <v>3</v>
      </c>
      <c r="D50" s="18">
        <v>94</v>
      </c>
      <c r="E50" s="18">
        <v>60368</v>
      </c>
      <c r="F50" s="18" t="str">
        <f>IF(OR(SampleData3[[#This Row],[SCORE]]&lt;$I$7, SampleData3[[#This Row],[SCORE]]&gt;$I$8), "OUTLIER", "Normal")</f>
        <v>Normal</v>
      </c>
      <c r="G50" s="23">
        <f>COUNTIF(SampleData3[Outlier_Score],"OUTLIER")</f>
        <v>0</v>
      </c>
    </row>
    <row r="51" spans="1:7">
      <c r="A51" s="22" t="s">
        <v>54</v>
      </c>
      <c r="B51" s="18">
        <v>95</v>
      </c>
      <c r="C51" s="18">
        <v>7</v>
      </c>
      <c r="D51" s="18">
        <v>80</v>
      </c>
      <c r="E51" s="18">
        <v>55303</v>
      </c>
      <c r="F51" s="18" t="str">
        <f>IF(OR(SampleData3[[#This Row],[SCORE]]&lt;$I$7, SampleData3[[#This Row],[SCORE]]&gt;$I$8), "OUTLIER", "Normal")</f>
        <v>Normal</v>
      </c>
      <c r="G51" s="23">
        <f>COUNTIF(SampleData3[Outlier_Score],"OUTLIER")</f>
        <v>0</v>
      </c>
    </row>
    <row r="52" spans="1:7">
      <c r="A52" s="22" t="s">
        <v>55</v>
      </c>
      <c r="B52" s="18">
        <v>44</v>
      </c>
      <c r="C52" s="18">
        <v>5</v>
      </c>
      <c r="D52" s="18">
        <v>51</v>
      </c>
      <c r="E52" s="18">
        <v>44912</v>
      </c>
      <c r="F52" s="18" t="str">
        <f>IF(OR(SampleData3[[#This Row],[SCORE]]&lt;$I$7, SampleData3[[#This Row],[SCORE]]&gt;$I$8), "OUTLIER", "Normal")</f>
        <v>Normal</v>
      </c>
      <c r="G52" s="23">
        <f>COUNTIF(SampleData3[Outlier_Score],"OUTLIER")</f>
        <v>0</v>
      </c>
    </row>
    <row r="53" spans="1:7">
      <c r="A53" s="22" t="s">
        <v>56</v>
      </c>
      <c r="B53" s="18">
        <v>61</v>
      </c>
      <c r="C53" s="18">
        <v>9</v>
      </c>
      <c r="D53" s="18">
        <v>60</v>
      </c>
      <c r="E53" s="18">
        <v>90699</v>
      </c>
      <c r="F53" s="18" t="str">
        <f>IF(OR(SampleData3[[#This Row],[SCORE]]&lt;$I$7, SampleData3[[#This Row],[SCORE]]&gt;$I$8), "OUTLIER", "Normal")</f>
        <v>Normal</v>
      </c>
      <c r="G53" s="23">
        <f>COUNTIF(SampleData3[Outlier_Score],"OUTLIER")</f>
        <v>0</v>
      </c>
    </row>
    <row r="54" spans="1:7">
      <c r="A54" s="22" t="s">
        <v>57</v>
      </c>
      <c r="B54" s="18">
        <v>88</v>
      </c>
      <c r="C54" s="18">
        <v>8</v>
      </c>
      <c r="D54" s="18">
        <v>50</v>
      </c>
      <c r="E54" s="18">
        <v>92356</v>
      </c>
      <c r="F54" s="18" t="str">
        <f>IF(OR(SampleData3[[#This Row],[SCORE]]&lt;$I$7, SampleData3[[#This Row],[SCORE]]&gt;$I$8), "OUTLIER", "Normal")</f>
        <v>Normal</v>
      </c>
      <c r="G54" s="23">
        <f>COUNTIF(SampleData3[Outlier_Score],"OUTLIER")</f>
        <v>0</v>
      </c>
    </row>
    <row r="55" spans="1:7">
      <c r="A55" s="22" t="s">
        <v>58</v>
      </c>
      <c r="B55" s="18">
        <v>70</v>
      </c>
      <c r="C55" s="18">
        <v>2</v>
      </c>
      <c r="D55" s="18">
        <v>96</v>
      </c>
      <c r="E55" s="18">
        <v>188677</v>
      </c>
      <c r="F55" s="18" t="str">
        <f>IF(OR(SampleData3[[#This Row],[SCORE]]&lt;$I$7, SampleData3[[#This Row],[SCORE]]&gt;$I$8), "OUTLIER", "Normal")</f>
        <v>Normal</v>
      </c>
      <c r="G55" s="23">
        <f>COUNTIF(SampleData3[Outlier_Score],"OUTLIER")</f>
        <v>0</v>
      </c>
    </row>
    <row r="56" spans="1:7">
      <c r="A56" s="22" t="s">
        <v>59</v>
      </c>
      <c r="B56" s="18">
        <v>43</v>
      </c>
      <c r="C56" s="18">
        <v>3</v>
      </c>
      <c r="D56" s="18">
        <v>52</v>
      </c>
      <c r="E56" s="18">
        <v>153912</v>
      </c>
      <c r="F56" s="18" t="str">
        <f>IF(OR(SampleData3[[#This Row],[SCORE]]&lt;$I$7, SampleData3[[#This Row],[SCORE]]&gt;$I$8), "OUTLIER", "Normal")</f>
        <v>Normal</v>
      </c>
      <c r="G56" s="23">
        <f>COUNTIF(SampleData3[Outlier_Score],"OUTLIER")</f>
        <v>0</v>
      </c>
    </row>
    <row r="57" spans="1:7">
      <c r="A57" s="22" t="s">
        <v>60</v>
      </c>
      <c r="B57" s="18">
        <v>86</v>
      </c>
      <c r="C57" s="18">
        <v>3</v>
      </c>
      <c r="D57" s="18">
        <v>75</v>
      </c>
      <c r="E57" s="18">
        <v>197630</v>
      </c>
      <c r="F57" s="18" t="str">
        <f>IF(OR(SampleData3[[#This Row],[SCORE]]&lt;$I$7, SampleData3[[#This Row],[SCORE]]&gt;$I$8), "OUTLIER", "Normal")</f>
        <v>Normal</v>
      </c>
      <c r="G57" s="23">
        <f>COUNTIF(SampleData3[Outlier_Score],"OUTLIER")</f>
        <v>0</v>
      </c>
    </row>
    <row r="58" spans="1:7">
      <c r="A58" s="22" t="s">
        <v>61</v>
      </c>
      <c r="B58" s="18">
        <v>43</v>
      </c>
      <c r="C58" s="18">
        <v>1</v>
      </c>
      <c r="D58" s="18">
        <v>88</v>
      </c>
      <c r="E58" s="18">
        <v>18060</v>
      </c>
      <c r="F58" s="18" t="str">
        <f>IF(OR(SampleData3[[#This Row],[SCORE]]&lt;$I$7, SampleData3[[#This Row],[SCORE]]&gt;$I$8), "OUTLIER", "Normal")</f>
        <v>Normal</v>
      </c>
      <c r="G58" s="23">
        <f>COUNTIF(SampleData3[Outlier_Score],"OUTLIER")</f>
        <v>0</v>
      </c>
    </row>
    <row r="59" spans="1:7">
      <c r="A59" s="22" t="s">
        <v>62</v>
      </c>
      <c r="B59" s="18">
        <v>56</v>
      </c>
      <c r="C59" s="18">
        <v>7</v>
      </c>
      <c r="D59" s="18">
        <v>55</v>
      </c>
      <c r="E59" s="18">
        <v>16877</v>
      </c>
      <c r="F59" s="18" t="str">
        <f>IF(OR(SampleData3[[#This Row],[SCORE]]&lt;$I$7, SampleData3[[#This Row],[SCORE]]&gt;$I$8), "OUTLIER", "Normal")</f>
        <v>Normal</v>
      </c>
      <c r="G59" s="23">
        <f>COUNTIF(SampleData3[Outlier_Score],"OUTLIER")</f>
        <v>0</v>
      </c>
    </row>
    <row r="60" spans="1:7">
      <c r="A60" s="22" t="s">
        <v>63</v>
      </c>
      <c r="B60" s="18">
        <v>76</v>
      </c>
      <c r="C60" s="18">
        <v>9</v>
      </c>
      <c r="D60" s="18">
        <v>89</v>
      </c>
      <c r="E60" s="18">
        <v>164082</v>
      </c>
      <c r="F60" s="18" t="str">
        <f>IF(OR(SampleData3[[#This Row],[SCORE]]&lt;$I$7, SampleData3[[#This Row],[SCORE]]&gt;$I$8), "OUTLIER", "Normal")</f>
        <v>Normal</v>
      </c>
      <c r="G60" s="23">
        <f>COUNTIF(SampleData3[Outlier_Score],"OUTLIER")</f>
        <v>0</v>
      </c>
    </row>
    <row r="61" spans="1:7">
      <c r="A61" s="22" t="s">
        <v>64</v>
      </c>
      <c r="B61" s="18">
        <v>84</v>
      </c>
      <c r="C61" s="18">
        <v>9</v>
      </c>
      <c r="D61" s="18">
        <v>90</v>
      </c>
      <c r="E61" s="18">
        <v>98460</v>
      </c>
      <c r="F61" s="18" t="str">
        <f>IF(OR(SampleData3[[#This Row],[SCORE]]&lt;$I$7, SampleData3[[#This Row],[SCORE]]&gt;$I$8), "OUTLIER", "Normal")</f>
        <v>Normal</v>
      </c>
      <c r="G61" s="23">
        <f>COUNTIF(SampleData3[Outlier_Score],"OUTLIER")</f>
        <v>0</v>
      </c>
    </row>
    <row r="62" spans="1:7">
      <c r="A62" s="22" t="s">
        <v>65</v>
      </c>
      <c r="B62" s="18">
        <v>80</v>
      </c>
      <c r="C62" s="18">
        <v>10</v>
      </c>
      <c r="D62" s="18">
        <v>97</v>
      </c>
      <c r="E62" s="18">
        <v>160566</v>
      </c>
      <c r="F62" s="18" t="str">
        <f>IF(OR(SampleData3[[#This Row],[SCORE]]&lt;$I$7, SampleData3[[#This Row],[SCORE]]&gt;$I$8), "OUTLIER", "Normal")</f>
        <v>Normal</v>
      </c>
      <c r="G62" s="23">
        <f>COUNTIF(SampleData3[Outlier_Score],"OUTLIER")</f>
        <v>0</v>
      </c>
    </row>
    <row r="63" spans="1:7">
      <c r="A63" s="22" t="s">
        <v>66</v>
      </c>
      <c r="B63" s="18">
        <v>80</v>
      </c>
      <c r="C63" s="18">
        <v>4</v>
      </c>
      <c r="D63" s="18">
        <v>88</v>
      </c>
      <c r="E63" s="18">
        <v>166693</v>
      </c>
      <c r="F63" s="18" t="str">
        <f>IF(OR(SampleData3[[#This Row],[SCORE]]&lt;$I$7, SampleData3[[#This Row],[SCORE]]&gt;$I$8), "OUTLIER", "Normal")</f>
        <v>Normal</v>
      </c>
      <c r="G63" s="23">
        <f>COUNTIF(SampleData3[Outlier_Score],"OUTLIER")</f>
        <v>0</v>
      </c>
    </row>
    <row r="64" spans="1:7">
      <c r="A64" s="22" t="s">
        <v>67</v>
      </c>
      <c r="B64" s="18">
        <v>43</v>
      </c>
      <c r="C64" s="18">
        <v>1</v>
      </c>
      <c r="D64" s="18">
        <v>95</v>
      </c>
      <c r="E64" s="18">
        <v>197163</v>
      </c>
      <c r="F64" s="18" t="str">
        <f>IF(OR(SampleData3[[#This Row],[SCORE]]&lt;$I$7, SampleData3[[#This Row],[SCORE]]&gt;$I$8), "OUTLIER", "Normal")</f>
        <v>Normal</v>
      </c>
      <c r="G64" s="23">
        <f>COUNTIF(SampleData3[Outlier_Score],"OUTLIER")</f>
        <v>0</v>
      </c>
    </row>
    <row r="65" spans="1:7">
      <c r="A65" s="22" t="s">
        <v>68</v>
      </c>
      <c r="B65" s="18">
        <v>52</v>
      </c>
      <c r="C65" s="18">
        <v>6</v>
      </c>
      <c r="D65" s="18">
        <v>50</v>
      </c>
      <c r="E65" s="18">
        <v>84045</v>
      </c>
      <c r="F65" s="18" t="str">
        <f>IF(OR(SampleData3[[#This Row],[SCORE]]&lt;$I$7, SampleData3[[#This Row],[SCORE]]&gt;$I$8), "OUTLIER", "Normal")</f>
        <v>Normal</v>
      </c>
      <c r="G65" s="23">
        <f>COUNTIF(SampleData3[Outlier_Score],"OUTLIER")</f>
        <v>0</v>
      </c>
    </row>
    <row r="66" spans="1:7">
      <c r="A66" s="22" t="s">
        <v>69</v>
      </c>
      <c r="B66" s="18">
        <v>85</v>
      </c>
      <c r="C66" s="18">
        <v>2</v>
      </c>
      <c r="D66" s="18">
        <v>62</v>
      </c>
      <c r="E66" s="18">
        <v>128917</v>
      </c>
      <c r="F66" s="18" t="str">
        <f>IF(OR(SampleData3[[#This Row],[SCORE]]&lt;$I$7, SampleData3[[#This Row],[SCORE]]&gt;$I$8), "OUTLIER", "Normal")</f>
        <v>Normal</v>
      </c>
      <c r="G66" s="23">
        <f>COUNTIF(SampleData3[Outlier_Score],"OUTLIER")</f>
        <v>0</v>
      </c>
    </row>
    <row r="67" spans="1:7">
      <c r="A67" s="22" t="s">
        <v>70</v>
      </c>
      <c r="B67" s="18">
        <v>59</v>
      </c>
      <c r="C67" s="18">
        <v>6</v>
      </c>
      <c r="D67" s="18">
        <v>85</v>
      </c>
      <c r="E67" s="18">
        <v>29448</v>
      </c>
      <c r="F67" s="18" t="str">
        <f>IF(OR(SampleData3[[#This Row],[SCORE]]&lt;$I$7, SampleData3[[#This Row],[SCORE]]&gt;$I$8), "OUTLIER", "Normal")</f>
        <v>Normal</v>
      </c>
      <c r="G67" s="23">
        <f>COUNTIF(SampleData3[Outlier_Score],"OUTLIER")</f>
        <v>0</v>
      </c>
    </row>
    <row r="68" spans="1:7">
      <c r="A68" s="22" t="s">
        <v>71</v>
      </c>
      <c r="B68" s="18">
        <v>89</v>
      </c>
      <c r="C68" s="18">
        <v>7</v>
      </c>
      <c r="D68" s="18">
        <v>55</v>
      </c>
      <c r="E68" s="18">
        <v>124016</v>
      </c>
      <c r="F68" s="18" t="str">
        <f>IF(OR(SampleData3[[#This Row],[SCORE]]&lt;$I$7, SampleData3[[#This Row],[SCORE]]&gt;$I$8), "OUTLIER", "Normal")</f>
        <v>Normal</v>
      </c>
      <c r="G68" s="23">
        <f>COUNTIF(SampleData3[Outlier_Score],"OUTLIER")</f>
        <v>0</v>
      </c>
    </row>
    <row r="69" spans="1:7">
      <c r="A69" s="22" t="s">
        <v>72</v>
      </c>
      <c r="B69" s="18">
        <v>89</v>
      </c>
      <c r="C69" s="18">
        <v>4</v>
      </c>
      <c r="D69" s="18">
        <v>53</v>
      </c>
      <c r="E69" s="18">
        <v>71179</v>
      </c>
      <c r="F69" s="18" t="str">
        <f>IF(OR(SampleData3[[#This Row],[SCORE]]&lt;$I$7, SampleData3[[#This Row],[SCORE]]&gt;$I$8), "OUTLIER", "Normal")</f>
        <v>Normal</v>
      </c>
      <c r="G69" s="23">
        <f>COUNTIF(SampleData3[Outlier_Score],"OUTLIER")</f>
        <v>0</v>
      </c>
    </row>
    <row r="70" spans="1:7">
      <c r="A70" s="22" t="s">
        <v>73</v>
      </c>
      <c r="B70" s="18">
        <v>54</v>
      </c>
      <c r="C70" s="18">
        <v>9</v>
      </c>
      <c r="D70" s="18">
        <v>72</v>
      </c>
      <c r="E70" s="18">
        <v>67763</v>
      </c>
      <c r="F70" s="18" t="str">
        <f>IF(OR(SampleData3[[#This Row],[SCORE]]&lt;$I$7, SampleData3[[#This Row],[SCORE]]&gt;$I$8), "OUTLIER", "Normal")</f>
        <v>Normal</v>
      </c>
      <c r="G70" s="23">
        <f>COUNTIF(SampleData3[Outlier_Score],"OUTLIER")</f>
        <v>0</v>
      </c>
    </row>
    <row r="71" spans="1:7">
      <c r="A71" s="22" t="s">
        <v>74</v>
      </c>
      <c r="B71" s="18">
        <v>52</v>
      </c>
      <c r="C71" s="18">
        <v>6</v>
      </c>
      <c r="D71" s="18">
        <v>79</v>
      </c>
      <c r="E71" s="18">
        <v>185444</v>
      </c>
      <c r="F71" s="18" t="str">
        <f>IF(OR(SampleData3[[#This Row],[SCORE]]&lt;$I$7, SampleData3[[#This Row],[SCORE]]&gt;$I$8), "OUTLIER", "Normal")</f>
        <v>Normal</v>
      </c>
      <c r="G71" s="23">
        <f>COUNTIF(SampleData3[Outlier_Score],"OUTLIER")</f>
        <v>0</v>
      </c>
    </row>
    <row r="72" spans="1:7">
      <c r="A72" s="22" t="s">
        <v>75</v>
      </c>
      <c r="B72" s="18">
        <v>64</v>
      </c>
      <c r="C72" s="18">
        <v>2</v>
      </c>
      <c r="D72" s="18">
        <v>76</v>
      </c>
      <c r="E72" s="18">
        <v>102996</v>
      </c>
      <c r="F72" s="18" t="str">
        <f>IF(OR(SampleData3[[#This Row],[SCORE]]&lt;$I$7, SampleData3[[#This Row],[SCORE]]&gt;$I$8), "OUTLIER", "Normal")</f>
        <v>Normal</v>
      </c>
      <c r="G72" s="23">
        <f>COUNTIF(SampleData3[Outlier_Score],"OUTLIER")</f>
        <v>0</v>
      </c>
    </row>
    <row r="73" spans="1:7">
      <c r="A73" s="22" t="s">
        <v>76</v>
      </c>
      <c r="B73" s="18">
        <v>75</v>
      </c>
      <c r="C73" s="18">
        <v>10</v>
      </c>
      <c r="D73" s="18">
        <v>68</v>
      </c>
      <c r="E73" s="18">
        <v>97115</v>
      </c>
      <c r="F73" s="18" t="str">
        <f>IF(OR(SampleData3[[#This Row],[SCORE]]&lt;$I$7, SampleData3[[#This Row],[SCORE]]&gt;$I$8), "OUTLIER", "Normal")</f>
        <v>Normal</v>
      </c>
      <c r="G73" s="23">
        <f>COUNTIF(SampleData3[Outlier_Score],"OUTLIER")</f>
        <v>0</v>
      </c>
    </row>
    <row r="74" spans="1:7">
      <c r="A74" s="22" t="s">
        <v>77</v>
      </c>
      <c r="B74" s="18">
        <v>85</v>
      </c>
      <c r="C74" s="18">
        <v>1</v>
      </c>
      <c r="D74" s="18">
        <v>72</v>
      </c>
      <c r="E74" s="18">
        <v>20708</v>
      </c>
      <c r="F74" s="18" t="str">
        <f>IF(OR(SampleData3[[#This Row],[SCORE]]&lt;$I$7, SampleData3[[#This Row],[SCORE]]&gt;$I$8), "OUTLIER", "Normal")</f>
        <v>Normal</v>
      </c>
      <c r="G74" s="23">
        <f>COUNTIF(SampleData3[Outlier_Score],"OUTLIER")</f>
        <v>0</v>
      </c>
    </row>
    <row r="75" spans="1:7">
      <c r="A75" s="22" t="s">
        <v>78</v>
      </c>
      <c r="B75" s="18">
        <v>60</v>
      </c>
      <c r="C75" s="18">
        <v>2</v>
      </c>
      <c r="D75" s="18">
        <v>68</v>
      </c>
      <c r="E75" s="18">
        <v>45169</v>
      </c>
      <c r="F75" s="18" t="str">
        <f>IF(OR(SampleData3[[#This Row],[SCORE]]&lt;$I$7, SampleData3[[#This Row],[SCORE]]&gt;$I$8), "OUTLIER", "Normal")</f>
        <v>Normal</v>
      </c>
      <c r="G75" s="23">
        <f>COUNTIF(SampleData3[Outlier_Score],"OUTLIER")</f>
        <v>0</v>
      </c>
    </row>
    <row r="76" spans="1:7">
      <c r="A76" s="22" t="s">
        <v>79</v>
      </c>
      <c r="B76" s="18">
        <v>56</v>
      </c>
      <c r="C76" s="18">
        <v>3</v>
      </c>
      <c r="D76" s="18">
        <v>77</v>
      </c>
      <c r="E76" s="18">
        <v>115364</v>
      </c>
      <c r="F76" s="18" t="str">
        <f>IF(OR(SampleData3[[#This Row],[SCORE]]&lt;$I$7, SampleData3[[#This Row],[SCORE]]&gt;$I$8), "OUTLIER", "Normal")</f>
        <v>Normal</v>
      </c>
      <c r="G76" s="23">
        <f>COUNTIF(SampleData3[Outlier_Score],"OUTLIER")</f>
        <v>0</v>
      </c>
    </row>
    <row r="77" spans="1:7">
      <c r="A77" s="22" t="s">
        <v>80</v>
      </c>
      <c r="B77" s="18">
        <v>43</v>
      </c>
      <c r="C77" s="18">
        <v>10</v>
      </c>
      <c r="D77" s="18">
        <v>90</v>
      </c>
      <c r="E77" s="18">
        <v>77258</v>
      </c>
      <c r="F77" s="18" t="str">
        <f>IF(OR(SampleData3[[#This Row],[SCORE]]&lt;$I$7, SampleData3[[#This Row],[SCORE]]&gt;$I$8), "OUTLIER", "Normal")</f>
        <v>Normal</v>
      </c>
      <c r="G77" s="23">
        <f>COUNTIF(SampleData3[Outlier_Score],"OUTLIER")</f>
        <v>0</v>
      </c>
    </row>
    <row r="78" spans="1:7">
      <c r="A78" s="22" t="s">
        <v>81</v>
      </c>
      <c r="B78" s="18">
        <v>86</v>
      </c>
      <c r="C78" s="18">
        <v>1</v>
      </c>
      <c r="D78" s="18">
        <v>59</v>
      </c>
      <c r="E78" s="18">
        <v>49538</v>
      </c>
      <c r="F78" s="18" t="str">
        <f>IF(OR(SampleData3[[#This Row],[SCORE]]&lt;$I$7, SampleData3[[#This Row],[SCORE]]&gt;$I$8), "OUTLIER", "Normal")</f>
        <v>Normal</v>
      </c>
      <c r="G78" s="23">
        <f>COUNTIF(SampleData3[Outlier_Score],"OUTLIER")</f>
        <v>0</v>
      </c>
    </row>
    <row r="79" spans="1:7">
      <c r="A79" s="22" t="s">
        <v>82</v>
      </c>
      <c r="B79" s="18">
        <v>53</v>
      </c>
      <c r="C79" s="18">
        <v>4</v>
      </c>
      <c r="D79" s="18">
        <v>69</v>
      </c>
      <c r="E79" s="18">
        <v>170584</v>
      </c>
      <c r="F79" s="18" t="str">
        <f>IF(OR(SampleData3[[#This Row],[SCORE]]&lt;$I$7, SampleData3[[#This Row],[SCORE]]&gt;$I$8), "OUTLIER", "Normal")</f>
        <v>Normal</v>
      </c>
      <c r="G79" s="23">
        <f>COUNTIF(SampleData3[Outlier_Score],"OUTLIER")</f>
        <v>0</v>
      </c>
    </row>
    <row r="80" spans="1:7">
      <c r="A80" s="22" t="s">
        <v>83</v>
      </c>
      <c r="B80" s="18">
        <v>45</v>
      </c>
      <c r="C80" s="18">
        <v>3</v>
      </c>
      <c r="D80" s="18">
        <v>91</v>
      </c>
      <c r="E80" s="18">
        <v>177945</v>
      </c>
      <c r="F80" s="18" t="str">
        <f>IF(OR(SampleData3[[#This Row],[SCORE]]&lt;$I$7, SampleData3[[#This Row],[SCORE]]&gt;$I$8), "OUTLIER", "Normal")</f>
        <v>Normal</v>
      </c>
      <c r="G80" s="23">
        <f>COUNTIF(SampleData3[Outlier_Score],"OUTLIER")</f>
        <v>0</v>
      </c>
    </row>
    <row r="81" spans="1:7">
      <c r="A81" s="22" t="s">
        <v>84</v>
      </c>
      <c r="B81" s="18">
        <v>95</v>
      </c>
      <c r="C81" s="18">
        <v>2</v>
      </c>
      <c r="D81" s="18">
        <v>83</v>
      </c>
      <c r="E81" s="18">
        <v>164193</v>
      </c>
      <c r="F81" s="18" t="str">
        <f>IF(OR(SampleData3[[#This Row],[SCORE]]&lt;$I$7, SampleData3[[#This Row],[SCORE]]&gt;$I$8), "OUTLIER", "Normal")</f>
        <v>Normal</v>
      </c>
      <c r="G81" s="23">
        <f>COUNTIF(SampleData3[Outlier_Score],"OUTLIER")</f>
        <v>0</v>
      </c>
    </row>
    <row r="82" spans="1:7">
      <c r="A82" s="22" t="s">
        <v>85</v>
      </c>
      <c r="B82" s="18">
        <v>80</v>
      </c>
      <c r="C82" s="18">
        <v>10</v>
      </c>
      <c r="D82" s="18">
        <v>98</v>
      </c>
      <c r="E82" s="18">
        <v>81183</v>
      </c>
      <c r="F82" s="18" t="str">
        <f>IF(OR(SampleData3[[#This Row],[SCORE]]&lt;$I$7, SampleData3[[#This Row],[SCORE]]&gt;$I$8), "OUTLIER", "Normal")</f>
        <v>Normal</v>
      </c>
      <c r="G82" s="23">
        <f>COUNTIF(SampleData3[Outlier_Score],"OUTLIER")</f>
        <v>0</v>
      </c>
    </row>
    <row r="83" spans="1:7">
      <c r="A83" s="22" t="s">
        <v>86</v>
      </c>
      <c r="B83" s="18">
        <v>61</v>
      </c>
      <c r="C83" s="18">
        <v>9</v>
      </c>
      <c r="D83" s="18">
        <v>69</v>
      </c>
      <c r="E83" s="18">
        <v>168242</v>
      </c>
      <c r="F83" s="18" t="str">
        <f>IF(OR(SampleData3[[#This Row],[SCORE]]&lt;$I$7, SampleData3[[#This Row],[SCORE]]&gt;$I$8), "OUTLIER", "Normal")</f>
        <v>Normal</v>
      </c>
      <c r="G83" s="23">
        <f>COUNTIF(SampleData3[Outlier_Score],"OUTLIER")</f>
        <v>0</v>
      </c>
    </row>
    <row r="84" spans="1:7">
      <c r="A84" s="22" t="s">
        <v>87</v>
      </c>
      <c r="B84" s="18">
        <v>47</v>
      </c>
      <c r="C84" s="18">
        <v>6</v>
      </c>
      <c r="D84" s="18">
        <v>70</v>
      </c>
      <c r="E84" s="18">
        <v>50311</v>
      </c>
      <c r="F84" s="18" t="str">
        <f>IF(OR(SampleData3[[#This Row],[SCORE]]&lt;$I$7, SampleData3[[#This Row],[SCORE]]&gt;$I$8), "OUTLIER", "Normal")</f>
        <v>Normal</v>
      </c>
      <c r="G84" s="23">
        <f>COUNTIF(SampleData3[Outlier_Score],"OUTLIER")</f>
        <v>0</v>
      </c>
    </row>
    <row r="85" spans="1:7">
      <c r="A85" s="22" t="s">
        <v>88</v>
      </c>
      <c r="B85" s="18">
        <v>70</v>
      </c>
      <c r="C85" s="18">
        <v>9</v>
      </c>
      <c r="D85" s="18">
        <v>71</v>
      </c>
      <c r="E85" s="18">
        <v>79477</v>
      </c>
      <c r="F85" s="18" t="str">
        <f>IF(OR(SampleData3[[#This Row],[SCORE]]&lt;$I$7, SampleData3[[#This Row],[SCORE]]&gt;$I$8), "OUTLIER", "Normal")</f>
        <v>Normal</v>
      </c>
      <c r="G85" s="23">
        <f>COUNTIF(SampleData3[Outlier_Score],"OUTLIER")</f>
        <v>0</v>
      </c>
    </row>
    <row r="86" spans="1:7">
      <c r="A86" s="22" t="s">
        <v>89</v>
      </c>
      <c r="B86" s="18">
        <v>55</v>
      </c>
      <c r="C86" s="18">
        <v>3</v>
      </c>
      <c r="D86" s="18">
        <v>96</v>
      </c>
      <c r="E86" s="18">
        <v>56638</v>
      </c>
      <c r="F86" s="18" t="str">
        <f>IF(OR(SampleData3[[#This Row],[SCORE]]&lt;$I$7, SampleData3[[#This Row],[SCORE]]&gt;$I$8), "OUTLIER", "Normal")</f>
        <v>Normal</v>
      </c>
      <c r="G86" s="23">
        <f>COUNTIF(SampleData3[Outlier_Score],"OUTLIER")</f>
        <v>0</v>
      </c>
    </row>
    <row r="87" spans="1:7">
      <c r="A87" s="22" t="s">
        <v>90</v>
      </c>
      <c r="B87" s="18">
        <v>58</v>
      </c>
      <c r="C87" s="18">
        <v>4</v>
      </c>
      <c r="D87" s="18">
        <v>77</v>
      </c>
      <c r="E87" s="18">
        <v>123006</v>
      </c>
      <c r="F87" s="18" t="str">
        <f>IF(OR(SampleData3[[#This Row],[SCORE]]&lt;$I$7, SampleData3[[#This Row],[SCORE]]&gt;$I$8), "OUTLIER", "Normal")</f>
        <v>Normal</v>
      </c>
      <c r="G87" s="23">
        <f>COUNTIF(SampleData3[Outlier_Score],"OUTLIER")</f>
        <v>0</v>
      </c>
    </row>
    <row r="88" spans="1:7">
      <c r="A88" s="22" t="s">
        <v>91</v>
      </c>
      <c r="B88" s="18">
        <v>68</v>
      </c>
      <c r="C88" s="18">
        <v>7</v>
      </c>
      <c r="D88" s="18">
        <v>84</v>
      </c>
      <c r="E88" s="18">
        <v>140163</v>
      </c>
      <c r="F88" s="18" t="str">
        <f>IF(OR(SampleData3[[#This Row],[SCORE]]&lt;$I$7, SampleData3[[#This Row],[SCORE]]&gt;$I$8), "OUTLIER", "Normal")</f>
        <v>Normal</v>
      </c>
      <c r="G88" s="23">
        <f>COUNTIF(SampleData3[Outlier_Score],"OUTLIER")</f>
        <v>0</v>
      </c>
    </row>
    <row r="89" spans="1:7">
      <c r="A89" s="22" t="s">
        <v>92</v>
      </c>
      <c r="B89" s="18">
        <v>75</v>
      </c>
      <c r="C89" s="18">
        <v>3</v>
      </c>
      <c r="D89" s="18">
        <v>69</v>
      </c>
      <c r="E89" s="18">
        <v>161898</v>
      </c>
      <c r="F89" s="18" t="str">
        <f>IF(OR(SampleData3[[#This Row],[SCORE]]&lt;$I$7, SampleData3[[#This Row],[SCORE]]&gt;$I$8), "OUTLIER", "Normal")</f>
        <v>Normal</v>
      </c>
      <c r="G89" s="23">
        <f>COUNTIF(SampleData3[Outlier_Score],"OUTLIER")</f>
        <v>0</v>
      </c>
    </row>
    <row r="90" spans="1:7">
      <c r="A90" s="22" t="s">
        <v>93</v>
      </c>
      <c r="B90" s="18">
        <v>48</v>
      </c>
      <c r="C90" s="18">
        <v>10</v>
      </c>
      <c r="D90" s="18">
        <v>62</v>
      </c>
      <c r="E90" s="18">
        <v>26199</v>
      </c>
      <c r="F90" s="18" t="str">
        <f>IF(OR(SampleData3[[#This Row],[SCORE]]&lt;$I$7, SampleData3[[#This Row],[SCORE]]&gt;$I$8), "OUTLIER", "Normal")</f>
        <v>Normal</v>
      </c>
      <c r="G90" s="23">
        <f>COUNTIF(SampleData3[Outlier_Score],"OUTLIER")</f>
        <v>0</v>
      </c>
    </row>
    <row r="91" spans="1:7">
      <c r="A91" s="22" t="s">
        <v>94</v>
      </c>
      <c r="B91" s="18">
        <v>96</v>
      </c>
      <c r="C91" s="18">
        <v>6</v>
      </c>
      <c r="D91" s="18">
        <v>52</v>
      </c>
      <c r="E91" s="18">
        <v>19307</v>
      </c>
      <c r="F91" s="18" t="str">
        <f>IF(OR(SampleData3[[#This Row],[SCORE]]&lt;$I$7, SampleData3[[#This Row],[SCORE]]&gt;$I$8), "OUTLIER", "Normal")</f>
        <v>Normal</v>
      </c>
      <c r="G91" s="23">
        <f>COUNTIF(SampleData3[Outlier_Score],"OUTLIER")</f>
        <v>0</v>
      </c>
    </row>
    <row r="92" spans="1:7">
      <c r="A92" s="22" t="s">
        <v>95</v>
      </c>
      <c r="B92" s="18">
        <v>80</v>
      </c>
      <c r="C92" s="18">
        <v>1</v>
      </c>
      <c r="D92" s="18">
        <v>72</v>
      </c>
      <c r="E92" s="18">
        <v>116053</v>
      </c>
      <c r="F92" s="18" t="str">
        <f>IF(OR(SampleData3[[#This Row],[SCORE]]&lt;$I$7, SampleData3[[#This Row],[SCORE]]&gt;$I$8), "OUTLIER", "Normal")</f>
        <v>Normal</v>
      </c>
      <c r="G92" s="23">
        <f>COUNTIF(SampleData3[Outlier_Score],"OUTLIER")</f>
        <v>0</v>
      </c>
    </row>
    <row r="93" spans="1:7">
      <c r="A93" s="22" t="s">
        <v>96</v>
      </c>
      <c r="B93" s="18">
        <v>73</v>
      </c>
      <c r="C93" s="18">
        <v>9</v>
      </c>
      <c r="D93" s="18">
        <v>54</v>
      </c>
      <c r="E93" s="18">
        <v>85271</v>
      </c>
      <c r="F93" s="18" t="str">
        <f>IF(OR(SampleData3[[#This Row],[SCORE]]&lt;$I$7, SampleData3[[#This Row],[SCORE]]&gt;$I$8), "OUTLIER", "Normal")</f>
        <v>Normal</v>
      </c>
      <c r="G93" s="23">
        <f>COUNTIF(SampleData3[Outlier_Score],"OUTLIER")</f>
        <v>0</v>
      </c>
    </row>
    <row r="94" spans="1:7">
      <c r="A94" s="22" t="s">
        <v>97</v>
      </c>
      <c r="B94" s="18">
        <v>50</v>
      </c>
      <c r="C94" s="18">
        <v>5</v>
      </c>
      <c r="D94" s="18">
        <v>68</v>
      </c>
      <c r="E94" s="18">
        <v>142113</v>
      </c>
      <c r="F94" s="18" t="str">
        <f>IF(OR(SampleData3[[#This Row],[SCORE]]&lt;$I$7, SampleData3[[#This Row],[SCORE]]&gt;$I$8), "OUTLIER", "Normal")</f>
        <v>Normal</v>
      </c>
      <c r="G94" s="23">
        <f>COUNTIF(SampleData3[Outlier_Score],"OUTLIER")</f>
        <v>0</v>
      </c>
    </row>
    <row r="95" spans="1:7">
      <c r="A95" s="22" t="s">
        <v>98</v>
      </c>
      <c r="B95" s="18">
        <v>97</v>
      </c>
      <c r="C95" s="18">
        <v>10</v>
      </c>
      <c r="D95" s="18">
        <v>89</v>
      </c>
      <c r="E95" s="18">
        <v>59616</v>
      </c>
      <c r="F95" s="18" t="str">
        <f>IF(OR(SampleData3[[#This Row],[SCORE]]&lt;$I$7, SampleData3[[#This Row],[SCORE]]&gt;$I$8), "OUTLIER", "Normal")</f>
        <v>Normal</v>
      </c>
      <c r="G95" s="23">
        <f>COUNTIF(SampleData3[Outlier_Score],"OUTLIER")</f>
        <v>0</v>
      </c>
    </row>
    <row r="96" spans="1:7">
      <c r="A96" s="22" t="s">
        <v>99</v>
      </c>
      <c r="B96" s="18">
        <v>66</v>
      </c>
      <c r="C96" s="18">
        <v>8</v>
      </c>
      <c r="D96" s="18">
        <v>56</v>
      </c>
      <c r="E96" s="18">
        <v>163267</v>
      </c>
      <c r="F96" s="18" t="str">
        <f>IF(OR(SampleData3[[#This Row],[SCORE]]&lt;$I$7, SampleData3[[#This Row],[SCORE]]&gt;$I$8), "OUTLIER", "Normal")</f>
        <v>Normal</v>
      </c>
      <c r="G96" s="23">
        <f>COUNTIF(SampleData3[Outlier_Score],"OUTLIER")</f>
        <v>0</v>
      </c>
    </row>
    <row r="97" spans="1:7">
      <c r="A97" s="22" t="s">
        <v>100</v>
      </c>
      <c r="B97" s="18">
        <v>59</v>
      </c>
      <c r="C97" s="18">
        <v>6</v>
      </c>
      <c r="D97" s="18">
        <v>77</v>
      </c>
      <c r="E97" s="18">
        <v>32871</v>
      </c>
      <c r="F97" s="18" t="str">
        <f>IF(OR(SampleData3[[#This Row],[SCORE]]&lt;$I$7, SampleData3[[#This Row],[SCORE]]&gt;$I$8), "OUTLIER", "Normal")</f>
        <v>Normal</v>
      </c>
      <c r="G97" s="23">
        <f>COUNTIF(SampleData3[Outlier_Score],"OUTLIER")</f>
        <v>0</v>
      </c>
    </row>
    <row r="98" spans="1:7">
      <c r="A98" s="22" t="s">
        <v>101</v>
      </c>
      <c r="B98" s="18">
        <v>67</v>
      </c>
      <c r="C98" s="18">
        <v>6</v>
      </c>
      <c r="D98" s="18">
        <v>80</v>
      </c>
      <c r="E98" s="18">
        <v>193452</v>
      </c>
      <c r="F98" s="18" t="str">
        <f>IF(OR(SampleData3[[#This Row],[SCORE]]&lt;$I$7, SampleData3[[#This Row],[SCORE]]&gt;$I$8), "OUTLIER", "Normal")</f>
        <v>Normal</v>
      </c>
      <c r="G98" s="23">
        <f>COUNTIF(SampleData3[Outlier_Score],"OUTLIER")</f>
        <v>0</v>
      </c>
    </row>
    <row r="99" spans="1:7">
      <c r="A99" s="22" t="s">
        <v>102</v>
      </c>
      <c r="B99" s="18">
        <v>96</v>
      </c>
      <c r="C99" s="18">
        <v>3</v>
      </c>
      <c r="D99" s="18">
        <v>89</v>
      </c>
      <c r="E99" s="18">
        <v>107447</v>
      </c>
      <c r="F99" s="18" t="str">
        <f>IF(OR(SampleData3[[#This Row],[SCORE]]&lt;$I$7, SampleData3[[#This Row],[SCORE]]&gt;$I$8), "OUTLIER", "Normal")</f>
        <v>Normal</v>
      </c>
      <c r="G99" s="23">
        <f>COUNTIF(SampleData3[Outlier_Score],"OUTLIER")</f>
        <v>0</v>
      </c>
    </row>
    <row r="100" spans="1:7">
      <c r="A100" s="22" t="s">
        <v>103</v>
      </c>
      <c r="B100" s="18">
        <v>72</v>
      </c>
      <c r="C100" s="18">
        <v>10</v>
      </c>
      <c r="D100" s="18">
        <v>65</v>
      </c>
      <c r="E100" s="18">
        <v>156269</v>
      </c>
      <c r="F100" s="18" t="str">
        <f>IF(OR(SampleData3[[#This Row],[SCORE]]&lt;$I$7, SampleData3[[#This Row],[SCORE]]&gt;$I$8), "OUTLIER", "Normal")</f>
        <v>Normal</v>
      </c>
      <c r="G100" s="23">
        <f>COUNTIF(SampleData3[Outlier_Score],"OUTLIER")</f>
        <v>0</v>
      </c>
    </row>
    <row r="101" spans="1:7">
      <c r="A101" s="24" t="s">
        <v>104</v>
      </c>
      <c r="B101" s="25">
        <v>65</v>
      </c>
      <c r="C101" s="25">
        <v>4</v>
      </c>
      <c r="D101" s="25">
        <v>80</v>
      </c>
      <c r="E101" s="25">
        <v>104168</v>
      </c>
      <c r="F101" s="25" t="str">
        <f>IF(OR(SampleData3[[#This Row],[SCORE]]&lt;$I$7, SampleData3[[#This Row],[SCORE]]&gt;$I$8), "OUTLIER", "Normal")</f>
        <v>Normal</v>
      </c>
      <c r="G101" s="26">
        <f>COUNTIF(SampleData3[Outlier_Score],"OUTLIER")</f>
        <v>0</v>
      </c>
    </row>
  </sheetData>
  <conditionalFormatting sqref="F2:F101">
    <cfRule type="cellIs" dxfId="12" priority="2" operator="equal">
      <formula>"Outlier"</formula>
    </cfRule>
    <cfRule type="cellIs" dxfId="13" priority="1" operator="equal">
      <formula>"Normal"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0443-12B7-4038-ACF8-453D24C5D120}">
  <dimension ref="A1:D1"/>
  <sheetViews>
    <sheetView tabSelected="1" zoomScale="175" zoomScaleNormal="175" workbookViewId="0">
      <selection activeCell="A2" sqref="A2"/>
    </sheetView>
  </sheetViews>
  <sheetFormatPr defaultRowHeight="14.25"/>
  <cols>
    <col min="1" max="1" width="6.125" bestFit="1" customWidth="1"/>
    <col min="2" max="2" width="10.875" bestFit="1" customWidth="1"/>
    <col min="3" max="3" width="10.5" bestFit="1" customWidth="1"/>
    <col min="4" max="4" width="6.875" bestFit="1" customWidth="1"/>
  </cols>
  <sheetData>
    <row r="1" spans="1:4">
      <c r="A1" s="13" t="s">
        <v>132</v>
      </c>
      <c r="B1" t="s">
        <v>133</v>
      </c>
      <c r="C1" t="s">
        <v>134</v>
      </c>
      <c r="D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OutlierLab</vt:lpstr>
      <vt:lpstr>CorrelLab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IICL Faculty</dc:creator>
  <cp:lastModifiedBy>Batch5</cp:lastModifiedBy>
  <dcterms:created xsi:type="dcterms:W3CDTF">2026-05-09T10:15:25Z</dcterms:created>
  <dcterms:modified xsi:type="dcterms:W3CDTF">2026-05-11T09:58:14Z</dcterms:modified>
</cp:coreProperties>
</file>