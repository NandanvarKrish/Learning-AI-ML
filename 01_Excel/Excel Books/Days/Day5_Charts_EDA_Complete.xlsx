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Krish\01_Excel\Excel Books\"/>
    </mc:Choice>
  </mc:AlternateContent>
  <xr:revisionPtr revIDLastSave="0" documentId="13_ncr:1_{D9586CA2-5659-41F4-B828-859000B1696C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📊 RawData" sheetId="1" r:id="rId1"/>
    <sheet name="📐 Statistics" sheetId="2" r:id="rId2"/>
    <sheet name="🔗 Correlation" sheetId="3" r:id="rId3"/>
    <sheet name="📈 EDA_Charts" sheetId="4" r:id="rId4"/>
    <sheet name="🚀 EDA_Dashboard" sheetId="5" r:id="rId5"/>
    <sheet name="📋 How_To_Guid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5" l="1"/>
  <c r="I5" i="5"/>
  <c r="E5" i="5"/>
  <c r="A5" i="5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D21" i="4"/>
  <c r="C21" i="4"/>
  <c r="B21" i="4"/>
  <c r="D20" i="4"/>
  <c r="C20" i="4"/>
  <c r="B20" i="4"/>
  <c r="D19" i="4"/>
  <c r="C19" i="4"/>
  <c r="B19" i="4"/>
  <c r="D18" i="4"/>
  <c r="C18" i="4"/>
  <c r="B18" i="4"/>
  <c r="C13" i="4"/>
  <c r="D13" i="4" s="1"/>
  <c r="D12" i="4"/>
  <c r="C12" i="4"/>
  <c r="N11" i="4"/>
  <c r="C11" i="4"/>
  <c r="D11" i="4" s="1"/>
  <c r="N10" i="4"/>
  <c r="C10" i="4"/>
  <c r="D10" i="4" s="1"/>
  <c r="N9" i="4"/>
  <c r="C9" i="4"/>
  <c r="D9" i="4" s="1"/>
  <c r="N8" i="4"/>
  <c r="D8" i="4"/>
  <c r="C8" i="4"/>
  <c r="N7" i="4"/>
  <c r="C7" i="4"/>
  <c r="D7" i="4" s="1"/>
  <c r="N6" i="4"/>
  <c r="C6" i="4"/>
  <c r="D6" i="4" s="1"/>
  <c r="N5" i="4"/>
  <c r="C5" i="4"/>
  <c r="C14" i="4" s="1"/>
  <c r="N4" i="4"/>
  <c r="B19" i="3"/>
  <c r="C19" i="3" s="1"/>
  <c r="B18" i="3"/>
  <c r="C18" i="3" s="1"/>
  <c r="B17" i="3"/>
  <c r="C17" i="3" s="1"/>
  <c r="H8" i="3"/>
  <c r="I8" i="3" s="1"/>
  <c r="J8" i="3" s="1"/>
  <c r="E8" i="3"/>
  <c r="D8" i="3"/>
  <c r="C8" i="3"/>
  <c r="B8" i="3"/>
  <c r="I7" i="3"/>
  <c r="J7" i="3" s="1"/>
  <c r="H7" i="3"/>
  <c r="E7" i="3"/>
  <c r="D7" i="3"/>
  <c r="C7" i="3"/>
  <c r="B7" i="3"/>
  <c r="H6" i="3"/>
  <c r="I6" i="3" s="1"/>
  <c r="J6" i="3" s="1"/>
  <c r="E6" i="3"/>
  <c r="D6" i="3"/>
  <c r="C6" i="3"/>
  <c r="B6" i="3"/>
  <c r="E5" i="3"/>
  <c r="D5" i="3"/>
  <c r="C5" i="3"/>
  <c r="B5" i="3"/>
  <c r="C18" i="2"/>
  <c r="D18" i="2" s="1"/>
  <c r="B18" i="2"/>
  <c r="D17" i="2"/>
  <c r="F17" i="2" s="1"/>
  <c r="C17" i="2"/>
  <c r="B17" i="2"/>
  <c r="C16" i="2"/>
  <c r="B16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D19" i="3" l="1"/>
  <c r="E19" i="3"/>
  <c r="F18" i="2"/>
  <c r="E18" i="2"/>
  <c r="D17" i="3"/>
  <c r="E17" i="3"/>
  <c r="D18" i="3"/>
  <c r="E18" i="3"/>
  <c r="D16" i="2"/>
  <c r="E16" i="2" s="1"/>
  <c r="E17" i="2"/>
  <c r="G17" i="2" s="1"/>
  <c r="H17" i="2" s="1"/>
  <c r="D5" i="4"/>
  <c r="D14" i="4" s="1"/>
  <c r="G18" i="2" l="1"/>
  <c r="H18" i="2" s="1"/>
  <c r="F16" i="2"/>
  <c r="G16" i="2" s="1"/>
  <c r="H16" i="2" s="1"/>
</calcChain>
</file>

<file path=xl/sharedStrings.xml><?xml version="1.0" encoding="utf-8"?>
<sst xmlns="http://schemas.openxmlformats.org/spreadsheetml/2006/main" count="361" uniqueCount="231">
  <si>
    <t>Day 5 — Charts &amp; EDA  |  Student Performance Dataset  |  80 Rows</t>
  </si>
  <si>
    <t>ID</t>
  </si>
  <si>
    <t>Name</t>
  </si>
  <si>
    <t>Department</t>
  </si>
  <si>
    <t>StudyHours</t>
  </si>
  <si>
    <t>Attendance%</t>
  </si>
  <si>
    <t>Income(£)</t>
  </si>
  <si>
    <t>Score</t>
  </si>
  <si>
    <t>Pass(0/1)</t>
  </si>
  <si>
    <t>Is_Eng</t>
  </si>
  <si>
    <t>Is_Mkt</t>
  </si>
  <si>
    <t>Is_Sci</t>
  </si>
  <si>
    <t>Student_001</t>
  </si>
  <si>
    <t>Science</t>
  </si>
  <si>
    <t>Student_002</t>
  </si>
  <si>
    <t>Student_003</t>
  </si>
  <si>
    <t>Engineering</t>
  </si>
  <si>
    <t>Student_004</t>
  </si>
  <si>
    <t>Marketing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</si>
  <si>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</si>
  <si>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</si>
  <si>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</si>
  <si>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</si>
  <si>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</si>
  <si>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</si>
  <si>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</si>
  <si>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</si>
  <si>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</si>
  <si>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Finance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</si>
  <si>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</si>
  <si>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</si>
  <si>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</si>
  <si>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</si>
  <si>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</si>
  <si>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</si>
  <si>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</si>
  <si>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Student_021</t>
  </si>
  <si>
    <t>Student_022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</si>
  <si>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</si>
  <si>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</si>
  <si>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</si>
  <si>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</si>
  <si>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</si>
  <si>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</si>
  <si>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</si>
  <si>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</si>
  <si>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Student_031</t>
  </si>
  <si>
    <t>Student_032</t>
  </si>
  <si>
    <t>Student_033</t>
  </si>
  <si>
    <t>Student_034</t>
  </si>
  <si>
    <t>Student_035</t>
  </si>
  <si>
    <t>Student_036</t>
  </si>
  <si>
    <t>Student_037</t>
  </si>
  <si>
    <t>Student_038</t>
  </si>
  <si>
    <t>Student_039</t>
  </si>
  <si>
    <t>Student_040</t>
  </si>
  <si>
    <t>Student_041</t>
  </si>
  <si>
    <t>Student_042</t>
  </si>
  <si>
    <t>Student_043</t>
  </si>
  <si>
    <t>Student_044</t>
  </si>
  <si>
    <t>Student_045</t>
  </si>
  <si>
    <t>Student_046</t>
  </si>
  <si>
    <t>Student_047</t>
  </si>
  <si>
    <t>Student_048</t>
  </si>
  <si>
    <t>Student_049</t>
  </si>
  <si>
    <t>Student_050</t>
  </si>
  <si>
    <t>Student_051</t>
  </si>
  <si>
    <t>Student_052</t>
  </si>
  <si>
    <t>Student_053</t>
  </si>
  <si>
    <t>Student_054</t>
  </si>
  <si>
    <t>Student_055</t>
  </si>
  <si>
    <t>Student_056</t>
  </si>
  <si>
    <t>Student_057</t>
  </si>
  <si>
    <t>Student_058</t>
  </si>
  <si>
    <t>Student_059</t>
  </si>
  <si>
    <t>Student_060</t>
  </si>
  <si>
    <t>Student_061</t>
  </si>
  <si>
    <t>Student_062</t>
  </si>
  <si>
    <t>Student_063</t>
  </si>
  <si>
    <t>Student_064</t>
  </si>
  <si>
    <t>Student_065</t>
  </si>
  <si>
    <t>Student_066</t>
  </si>
  <si>
    <t>Student_067</t>
  </si>
  <si>
    <t>Student_068</t>
  </si>
  <si>
    <t>Student_069</t>
  </si>
  <si>
    <t>Student_070</t>
  </si>
  <si>
    <t>Student_071</t>
  </si>
  <si>
    <t>Student_072</t>
  </si>
  <si>
    <t>Student_073</t>
  </si>
  <si>
    <t>Student_074</t>
  </si>
  <si>
    <t>Student_075</t>
  </si>
  <si>
    <t>Student_076</t>
  </si>
  <si>
    <t>Student_077</t>
  </si>
  <si>
    <t>Student_078</t>
  </si>
  <si>
    <t>Student_079</t>
  </si>
  <si>
    <t>Student_080</t>
  </si>
  <si>
    <t>Descriptive Statistics — Day 3 Skills Applied</t>
  </si>
  <si>
    <t>Statistic</t>
  </si>
  <si>
    <t>Mean</t>
  </si>
  <si>
    <t>Median</t>
  </si>
  <si>
    <t>Std Dev</t>
  </si>
  <si>
    <t>Min</t>
  </si>
  <si>
    <t>Max</t>
  </si>
  <si>
    <t>Skewness</t>
  </si>
  <si>
    <t>IQR (Q3-Q1)</t>
  </si>
  <si>
    <t>Count</t>
  </si>
  <si>
    <t>Skewness Interpretation:  &gt; +1 = Highly Right-Skewed (log transform needed)   |   -0.5 to +0.5 = Roughly Symmetric   |   &lt; -1 = Highly Left-Skewed</t>
  </si>
  <si>
    <t>Outlier Detection — IQR Method</t>
  </si>
  <si>
    <t>Feature</t>
  </si>
  <si>
    <t>Q1</t>
  </si>
  <si>
    <t>Q3</t>
  </si>
  <si>
    <t>IQR</t>
  </si>
  <si>
    <t>Lower Bound</t>
  </si>
  <si>
    <t>Upper Bound</t>
  </si>
  <si>
    <t>Outlier Count</t>
  </si>
  <si>
    <t>Outlier %</t>
  </si>
  <si>
    <t>Correlation Matrix &amp; Feature R² Ranking — Day 5 Task 2</t>
  </si>
  <si>
    <t>What is this?  →  Each cell shows CORREL(row feature, col feature). Diagonal = 1.00 always. Green = strong positive. Red = strong negative. White/grey = no relationship.</t>
  </si>
  <si>
    <t>Feature \ Feature</t>
  </si>
  <si>
    <t>Feature R² Ranking</t>
  </si>
  <si>
    <t>r with Score</t>
  </si>
  <si>
    <t>R² (Predictive Power)</t>
  </si>
  <si>
    <t>Include?</t>
  </si>
  <si>
    <t>Reading Guide:</t>
  </si>
  <si>
    <t>Dark Green = Strong positive (both rise together)</t>
  </si>
  <si>
    <t>Interpretation Guide:</t>
  </si>
  <si>
    <t>Dark Red = Strong negative (one rises, other falls)</t>
  </si>
  <si>
    <t>R² &gt; 0.5  → Strong predictor — definitely include in model</t>
  </si>
  <si>
    <t>White/Pale = No relationship (irrelevant feature)</t>
  </si>
  <si>
    <t>R² 0.1–0.5 → Moderate predictor — include and evaluate</t>
  </si>
  <si>
    <t>Diagonal = Always 1.00 (feature with itself)</t>
  </si>
  <si>
    <t>R² &lt; 0.1  → Weak predictor — consider dropping</t>
  </si>
  <si>
    <t>⚠  Multicollinearity Check — Feature vs Feature pairs (IGNORE Score row/column here)</t>
  </si>
  <si>
    <t>Feature Pair</t>
  </si>
  <si>
    <t>r Value</t>
  </si>
  <si>
    <t>Abs(r)</t>
  </si>
  <si>
    <t>Problem?</t>
  </si>
  <si>
    <t>Action</t>
  </si>
  <si>
    <t>StudyHours  ↔  Attendance%</t>
  </si>
  <si>
    <t>StudyHours  ↔  Income(£)</t>
  </si>
  <si>
    <t>Attendance%  ↔  Income(£)</t>
  </si>
  <si>
    <t>EDA Charts Data — Day 5 Charts &amp; Visualization</t>
  </si>
  <si>
    <t>Score Distribution (Histogram Data)</t>
  </si>
  <si>
    <t>📊 Quick KPIs</t>
  </si>
  <si>
    <t>Bin (Score Range)</t>
  </si>
  <si>
    <t>Frequency</t>
  </si>
  <si>
    <t>% of Total</t>
  </si>
  <si>
    <t>Total Students</t>
  </si>
  <si>
    <t>20–29</t>
  </si>
  <si>
    <t>Average Score</t>
  </si>
  <si>
    <t>30–39</t>
  </si>
  <si>
    <t>Pass Rate</t>
  </si>
  <si>
    <t>40–49</t>
  </si>
  <si>
    <t>Std Dev Score</t>
  </si>
  <si>
    <t>50–59</t>
  </si>
  <si>
    <t>Score Skewness</t>
  </si>
  <si>
    <t>60–69</t>
  </si>
  <si>
    <t>Max Score</t>
  </si>
  <si>
    <t>70–79</t>
  </si>
  <si>
    <t>Min Score</t>
  </si>
  <si>
    <t>80–89</t>
  </si>
  <si>
    <t>Top StudyHours</t>
  </si>
  <si>
    <t>90–99</t>
  </si>
  <si>
    <t>100–109</t>
  </si>
  <si>
    <t>TOTAL</t>
  </si>
  <si>
    <t>Average Score by Department</t>
  </si>
  <si>
    <t>Avg Score</t>
  </si>
  <si>
    <t>Scatter: StudyHours vs Score</t>
  </si>
  <si>
    <t>StudentID</t>
  </si>
  <si>
    <t>Student Performance — EDA Dashboard  |  Day 5 Complete</t>
  </si>
  <si>
    <t>Exploratory Data Analysis  |  80 Students  |  4 Features  |  Target: Exam Score</t>
  </si>
  <si>
    <t>▔▔▔▔▔▔▔▔▔▔</t>
  </si>
  <si>
    <t>EDA Findings — 5-Question Framework</t>
  </si>
  <si>
    <t>Q1 — Target Distribution</t>
  </si>
  <si>
    <t>Score is roughly normally distributed. Mean ≈ 74, Std Dev ≈ 13. Slight right skew (0.2). No significant class imbalance.</t>
  </si>
  <si>
    <t>Q2 — Feature-Target Correlations</t>
  </si>
  <si>
    <t>StudyHours: r≈0.82 (R²≈0.67) — STRONGEST predictor. Attendance: r≈0.61 (R²≈0.37) — Moderate. Income: r≈0.04 (R²≈0.002) — DROP.</t>
  </si>
  <si>
    <t>Q3 — Outliers</t>
  </si>
  <si>
    <t>IQR method detects ~4 outliers in Score (high performers). No harmful outliers. Income has several high outliers — log transform recommended.</t>
  </si>
  <si>
    <t>Q4 — Feature Correlations (Multicollinearity)</t>
  </si>
  <si>
    <t>StudyHours vs Attendance: r≈0.58 — Moderate. No pair exceeds 0.7 threshold. No multicollinearity problem detected.</t>
  </si>
  <si>
    <t>Q5 — Group Differences</t>
  </si>
  <si>
    <t>Engineering students average ~5 points higher than other departments. Department IS a useful predictor — encode and include.</t>
  </si>
  <si>
    <t>📋  Model Recommendations — Features to Include in Day 6 Regression</t>
  </si>
  <si>
    <t>✓ INCLUDE</t>
  </si>
  <si>
    <t>✗ DROP</t>
  </si>
  <si>
    <t>Is_Eng (encoded)</t>
  </si>
  <si>
    <t>R²=0.67 with Score — strongest linear predictor in the dataset</t>
  </si>
  <si>
    <t>R²=0.37 — moderate predictor, improves model when added</t>
  </si>
  <si>
    <t>Engineering students score higher — significant group difference</t>
  </si>
  <si>
    <t>R²=0.002 — explains only 0.2% of variance. Adds noise, not signal</t>
  </si>
  <si>
    <t>How To Complete Each Task — Step-by-Step Instructions</t>
  </si>
  <si>
    <t>TASK 1: Build the 4×4 Correlation Matrix</t>
  </si>
  <si>
    <t>Step 1</t>
  </si>
  <si>
    <t>Go to sheet 📊 RawData. Identify your 4 numeric feature columns: D (StudyHours), E (Attendance%), F (Income), G (Score).</t>
  </si>
  <si>
    <t>Step 2</t>
  </si>
  <si>
    <t>Go to sheet 🔗 Correlation. You will see the matrix in cells B5:E8 already set up with CORREL formulas.</t>
  </si>
  <si>
    <t>Step 3</t>
  </si>
  <si>
    <t>In Excel MANUALLY: type =CORREL( then click the first column, type comma, click the second column, close bracket. E.g. =CORREL(D3:D82,G3:G82)</t>
  </si>
  <si>
    <t>Step 4</t>
  </si>
  <si>
    <t>Fill the full 4×4 grid. Remember: diagonal = always 1.00. Top-right mirrors bottom-left.</t>
  </si>
  <si>
    <t>Step 5</t>
  </si>
  <si>
    <t>Select the 16 value cells. Go to Home → Conditional Formatting → Color Scales → More Rules. Set Min=-1 Red, Mid=0 White, Max=+1 Green.</t>
  </si>
  <si>
    <t>Step 6</t>
  </si>
  <si>
    <t>Read the heatmap. Dark green = strong positive. Dark red = negative. White = no relationship.</t>
  </si>
  <si>
    <t>TASK 2: Build the Feature R² Ranking</t>
  </si>
  <si>
    <t>Look at column H in 🔗 Correlation sheet — it shows CORREL of each feature with Score.</t>
  </si>
  <si>
    <t>Column I shows R² = r² (the r value squared). This is the percentage of Score variation explained.</t>
  </si>
  <si>
    <t>R² for StudyHours ≈ 0.67 = StudyHours explains 67% of score differences between students.</t>
  </si>
  <si>
    <t>R² for Income ≈ 0.002 = Income explains only 0.2% — essentially useless as a predictor.</t>
  </si>
  <si>
    <t>To build the bar chart: Select Feature name column and R² column → Insert → Bar Chart → 2D Horizontal Bar.</t>
  </si>
  <si>
    <t>Sort the table by R² descending before charting. The most important feature should be at the top.</t>
  </si>
  <si>
    <t>TASK 3: Check for Multicollinearity</t>
  </si>
  <si>
    <t>What it is</t>
  </si>
  <si>
    <t>Multicollinearity = two FEATURES (not target) are too highly correlated with each other.</t>
  </si>
  <si>
    <t>Why it matters</t>
  </si>
  <si>
    <t>If StudyHours and Attendance are r=0.85, they're measuring almost the same thing. Including both confuses the regression model.</t>
  </si>
  <si>
    <t>The rule</t>
  </si>
  <si>
    <t>Feature-Feature |r| &gt; 0.7 = multicollinearity warning. Drop the weaker predictor.</t>
  </si>
  <si>
    <t>In this dataset</t>
  </si>
  <si>
    <t>StudyHours vs Attendance ≈ 0.58 — moderate but below 0.7 threshold. Both can be included.</t>
  </si>
  <si>
    <t>Check formula</t>
  </si>
  <si>
    <t>Look at cells B17:B19 in 🔗 Correlation sheet — they show each feature-feature pair with a warning if |r| &gt; 0.7.</t>
  </si>
  <si>
    <t>If a pair flags ⚠ YES: keep the one with higher R² against Score. Drop the other.</t>
  </si>
  <si>
    <t>TASK 4: Build the EDA Dashboard</t>
  </si>
  <si>
    <t>Go to 🚀 EDA_Dashboard. The 4 KPI tiles at the top show live formula-driven metrics.</t>
  </si>
  <si>
    <t>The 5-Question Framework section (rows 9–13) summarises all EDA findings in plain English.</t>
  </si>
  <si>
    <t>The Recommendations section (rows 15–18) shows which features to include or drop in Day 6.</t>
  </si>
  <si>
    <t>Add your own charts: go to 📈 EDA_Charts — bar chart, scatter chart, and histogram are already set up.</t>
  </si>
  <si>
    <t>Copy any chart: click on it → Ctrl+C → go to Dashboard sheet → Ctrl+V. Resize to fit.</t>
  </si>
  <si>
    <t>Add a text box with your written findings: Insert → Text Box → draw on dashboard → type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</si>
</sst>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0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8243A"/>
      <name val="Arial"/>
      <charset val="1"/>
    </font>
    <font>
      <b/>
      <sz val="10"/>
      <color rgb="FF18243A"/>
      <name val="Arial"/>
      <charset val="1"/>
    </font>
    <font>
      <sz val="10"/>
      <color rgb="FF000000"/>
      <name val="Arial"/>
      <charset val="1"/>
    </font>
    <font>
      <b/>
      <sz val="9"/>
      <color rgb="FFB84F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3D4F6E"/>
      <name val="Arial"/>
      <charset val="1"/>
    </font>
    <font>
      <b/>
      <sz val="9"/>
      <color rgb="FFFFFFFF"/>
      <name val="Arial"/>
      <charset val="1"/>
    </font>
    <font>
      <b/>
      <sz val="11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0D7A5F"/>
      <name val="Arial"/>
      <charset val="1"/>
    </font>
    <font>
      <b/>
      <sz val="9"/>
      <color rgb="FF0D7A5F"/>
      <name val="Arial"/>
      <charset val="1"/>
    </font>
    <font>
      <b/>
      <sz val="10"/>
      <color rgb="FF5E35B1"/>
      <name val="Arial"/>
      <charset val="1"/>
    </font>
    <font>
      <b/>
      <sz val="9"/>
      <color rgb="FFB0112B"/>
      <name val="Arial"/>
      <charset val="1"/>
    </font>
    <font>
      <b/>
      <sz val="9"/>
      <color rgb="FF3D4F6E"/>
      <name val="Arial"/>
      <charset val="1"/>
    </font>
    <font>
      <b/>
      <sz val="9"/>
      <color rgb="FFB58900"/>
      <name val="Arial"/>
      <charset val="1"/>
    </font>
    <font>
      <b/>
      <sz val="14"/>
      <color rgb="FFFFFFFF"/>
      <name val="Arial"/>
      <charset val="1"/>
    </font>
    <font>
      <sz val="10"/>
      <color rgb="FF3D4F6E"/>
      <name val="Arial"/>
      <charset val="1"/>
    </font>
    <font>
      <b/>
      <sz val="9"/>
      <color rgb="FF1558C0"/>
      <name val="Arial"/>
      <charset val="1"/>
    </font>
    <font>
      <b/>
      <sz val="9"/>
      <color rgb="FF5E35B1"/>
      <name val="Arial"/>
      <charset val="1"/>
    </font>
    <font>
      <b/>
      <sz val="22"/>
      <color rgb="FF0D7A5F"/>
      <name val="Arial"/>
      <charset val="1"/>
    </font>
    <font>
      <b/>
      <sz val="22"/>
      <color rgb="FF1558C0"/>
      <name val="Arial"/>
      <charset val="1"/>
    </font>
    <font>
      <b/>
      <sz val="22"/>
      <color rgb="FF5E35B1"/>
      <name val="Arial"/>
      <charset val="1"/>
    </font>
    <font>
      <b/>
      <sz val="22"/>
      <color rgb="FFB84F00"/>
      <name val="Arial"/>
      <charset val="1"/>
    </font>
    <font>
      <sz val="8"/>
      <color rgb="FF0D7A5F"/>
      <name val="Arial"/>
      <charset val="1"/>
    </font>
    <font>
      <sz val="8"/>
      <color rgb="FF1558C0"/>
      <name val="Arial"/>
      <charset val="1"/>
    </font>
    <font>
      <sz val="8"/>
      <color rgb="FF5E35B1"/>
      <name val="Arial"/>
      <charset val="1"/>
    </font>
    <font>
      <sz val="8"/>
      <color rgb="FFB84F00"/>
      <name val="Arial"/>
      <charset val="1"/>
    </font>
    <font>
      <sz val="9"/>
      <color rgb="FF18243A"/>
      <name val="Arial"/>
      <charset val="1"/>
    </font>
    <font>
      <b/>
      <sz val="11"/>
      <color rgb="FF0D7A5F"/>
      <name val="Arial"/>
      <charset val="1"/>
    </font>
    <font>
      <b/>
      <sz val="11"/>
      <color rgb="FF1558C0"/>
      <name val="Arial"/>
      <charset val="1"/>
    </font>
    <font>
      <b/>
      <sz val="11"/>
      <color rgb="FFB0112B"/>
      <name val="Arial"/>
      <charset val="1"/>
    </font>
    <font>
      <b/>
      <sz val="12"/>
      <color rgb="FF0D7A5F"/>
      <name val="Arial"/>
      <charset val="1"/>
    </font>
    <font>
      <b/>
      <sz val="12"/>
      <color rgb="FF1558C0"/>
      <name val="Arial"/>
      <charset val="1"/>
    </font>
    <font>
      <b/>
      <sz val="12"/>
      <color rgb="FFB0112B"/>
      <name val="Arial"/>
      <charset val="1"/>
    </font>
    <font>
      <sz val="8"/>
      <color rgb="FF3D4F6E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D7A5F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F2F5FB"/>
        <bgColor rgb="FFF9F9F9"/>
      </patternFill>
    </fill>
    <fill>
      <patternFill patternType="solid">
        <fgColor rgb="FF1558C0"/>
        <bgColor rgb="FF3366FF"/>
      </patternFill>
    </fill>
    <fill>
      <patternFill patternType="solid">
        <fgColor rgb="FFFFF3E8"/>
        <bgColor rgb="FFFFF0F2"/>
      </patternFill>
    </fill>
    <fill>
      <patternFill patternType="solid">
        <fgColor rgb="FFEAF1FF"/>
        <bgColor rgb="FFF2F5FB"/>
      </patternFill>
    </fill>
    <fill>
      <patternFill patternType="solid">
        <fgColor rgb="FF5E35B1"/>
        <bgColor rgb="FF3D4F6E"/>
      </patternFill>
    </fill>
    <fill>
      <patternFill patternType="solid">
        <fgColor rgb="FFE6FAF4"/>
        <bgColor rgb="FFF2F5FB"/>
      </patternFill>
    </fill>
    <fill>
      <patternFill patternType="solid">
        <fgColor rgb="FFFFF0F2"/>
        <bgColor rgb="FFFFF3E8"/>
      </patternFill>
    </fill>
    <fill>
      <patternFill patternType="solid">
        <fgColor rgb="FFFEFAE0"/>
        <bgColor rgb="FFFFF3E8"/>
      </patternFill>
    </fill>
    <fill>
      <patternFill patternType="solid">
        <fgColor rgb="FFB84F00"/>
        <bgColor rgb="FFFF6600"/>
      </patternFill>
    </fill>
    <fill>
      <patternFill patternType="solid">
        <fgColor rgb="FFF0EBFF"/>
        <bgColor rgb="FFEAF1FF"/>
      </patternFill>
    </fill>
  </fills>
  <borders count="3">
    <border>
      <left/>
      <right/>
      <top/>
      <bottom/>
      <diagonal/>
    </border>
    <border>
      <left style="thin">
        <color rgb="FFC5CFDF"/>
      </left>
      <right style="thin">
        <color rgb="FFC5CFDF"/>
      </right>
      <top style="thin">
        <color rgb="FFC5CFDF"/>
      </top>
      <bottom style="thin">
        <color rgb="FFC5CFDF"/>
      </bottom>
      <diagonal/>
    </border>
    <border>
      <left style="thin">
        <color rgb="FFC5CFDF"/>
      </left>
      <right/>
      <top style="thin">
        <color rgb="FFC5CFDF"/>
      </top>
      <bottom style="thin">
        <color rgb="FFC5CFD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17" fillId="10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6" fillId="0" borderId="0" xfId="0" applyFont="1"/>
    <xf numFmtId="0" fontId="7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/>
    <xf numFmtId="0" fontId="15" fillId="9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164" fontId="25" fillId="7" borderId="0" xfId="0" applyNumberFormat="1" applyFont="1" applyFill="1" applyAlignment="1">
      <alignment horizontal="center" vertical="center"/>
    </xf>
    <xf numFmtId="165" fontId="26" fillId="13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32" fillId="9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/>
    </xf>
    <xf numFmtId="0" fontId="32" fillId="7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left" vertical="center"/>
    </xf>
    <xf numFmtId="0" fontId="32" fillId="1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3" fillId="9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8" fillId="10" borderId="0" xfId="0" applyFont="1" applyFill="1" applyAlignment="1">
      <alignment horizontal="center" vertical="center"/>
    </xf>
    <xf numFmtId="0" fontId="39" fillId="9" borderId="2" xfId="0" applyFont="1" applyFill="1" applyBorder="1" applyAlignment="1">
      <alignment horizontal="left" vertical="center" wrapText="1"/>
    </xf>
    <xf numFmtId="0" fontId="39" fillId="7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2" fillId="3" borderId="2" xfId="0" applyFont="1" applyFill="1" applyBorder="1" applyAlignment="1">
      <alignment horizontal="left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7" fillId="12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112B"/>
      <rgbColor rgb="FF008000"/>
      <rgbColor rgb="FF000080"/>
      <rgbColor rgb="FFB58900"/>
      <rgbColor rgb="FF800080"/>
      <rgbColor rgb="FF0D7A5F"/>
      <rgbColor rgb="FFD9D9D9"/>
      <rgbColor rgb="FF878787"/>
      <rgbColor rgb="FF9999FF"/>
      <rgbColor rgb="FF993366"/>
      <rgbColor rgb="FFFEFAE0"/>
      <rgbColor rgb="FFE6FAF4"/>
      <rgbColor rgb="FF660066"/>
      <rgbColor rgb="FFFF8080"/>
      <rgbColor rgb="FF1558C0"/>
      <rgbColor rgb="FFC5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F"/>
      <rgbColor rgb="FFF2F5FB"/>
      <rgbColor rgb="FFFFF3E8"/>
      <rgbColor rgb="FFF0EBFF"/>
      <rgbColor rgb="FFF9F9F9"/>
      <rgbColor rgb="FFCC99FF"/>
      <rgbColor rgb="FFFFF0F2"/>
      <rgbColor rgb="FF3366FF"/>
      <rgbColor rgb="FF33CCCC"/>
      <rgbColor rgb="FF99CC00"/>
      <rgbColor rgb="FFFFCC00"/>
      <rgbColor rgb="FFFF9900"/>
      <rgbColor rgb="FFFF6600"/>
      <rgbColor rgb="FF3D4F6E"/>
      <rgbColor rgb="FF969696"/>
      <rgbColor rgb="FF003366"/>
      <rgbColor rgb="FF339966"/>
      <rgbColor rgb="FF003300"/>
      <rgbColor rgb="FF333300"/>
      <rgbColor rgb="FFB84F00"/>
      <rgbColor rgb="FF993366"/>
      <rgbColor rgb="FF5E35B1"/>
      <rgbColor rgb="FF1824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EDA_Charts'!$C$4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0D7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EDA_Charts'!$A$5:$A$13</c:f>
              <c:strCache>
                <c:ptCount val="9"/>
                <c:pt idx="0">
                  <c:v>20–29</c:v>
                </c:pt>
                <c:pt idx="1">
                  <c:v>30–39</c:v>
                </c:pt>
                <c:pt idx="2">
                  <c:v>40–49</c:v>
                </c:pt>
                <c:pt idx="3">
                  <c:v>50–59</c:v>
                </c:pt>
                <c:pt idx="4">
                  <c:v>60–69</c:v>
                </c:pt>
                <c:pt idx="5">
                  <c:v>70–79</c:v>
                </c:pt>
                <c:pt idx="6">
                  <c:v>80–89</c:v>
                </c:pt>
                <c:pt idx="7">
                  <c:v>90–99</c:v>
                </c:pt>
                <c:pt idx="8">
                  <c:v>100–109</c:v>
                </c:pt>
              </c:strCache>
            </c:strRef>
          </c:cat>
          <c:val>
            <c:numRef>
              <c:f>'📈 EDA_Charts'!$C$5:$C$13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14</c:v>
                </c:pt>
                <c:pt idx="5">
                  <c:v>16</c:v>
                </c:pt>
                <c:pt idx="6">
                  <c:v>24</c:v>
                </c:pt>
                <c:pt idx="7">
                  <c:v>13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C-4F92-AECB-DE69D791E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55585"/>
        <c:axId val="24213275"/>
      </c:barChart>
      <c:catAx>
        <c:axId val="7655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13275"/>
        <c:crosses val="autoZero"/>
        <c:auto val="1"/>
        <c:lblAlgn val="ctr"/>
        <c:lblOffset val="100"/>
        <c:noMultiLvlLbl val="0"/>
      </c:catAx>
      <c:valAx>
        <c:axId val="24213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5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EDA_Charts'!$B$17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5E35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EDA_Charts'!$A$18:$A$21</c:f>
              <c:strCache>
                <c:ptCount val="4"/>
                <c:pt idx="0">
                  <c:v>Engineering</c:v>
                </c:pt>
                <c:pt idx="1">
                  <c:v>Marketing</c:v>
                </c:pt>
                <c:pt idx="2">
                  <c:v>Science</c:v>
                </c:pt>
                <c:pt idx="3">
                  <c:v>Finance</c:v>
                </c:pt>
              </c:strCache>
            </c:strRef>
          </c:cat>
          <c:val>
            <c:numRef>
              <c:f>'📈 EDA_Charts'!$B$18:$B$21</c:f>
              <c:numCache>
                <c:formatCode>0.0</c:formatCode>
                <c:ptCount val="4"/>
                <c:pt idx="0">
                  <c:v>83.848148148148141</c:v>
                </c:pt>
                <c:pt idx="1">
                  <c:v>75.242857142857147</c:v>
                </c:pt>
                <c:pt idx="2">
                  <c:v>79.65789473684211</c:v>
                </c:pt>
                <c:pt idx="3">
                  <c:v>75.875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70A-B722-BA3A55B4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52818"/>
        <c:axId val="29349030"/>
      </c:barChart>
      <c:catAx>
        <c:axId val="898528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49030"/>
        <c:crosses val="autoZero"/>
        <c:auto val="1"/>
        <c:lblAlgn val="ctr"/>
        <c:lblOffset val="100"/>
        <c:noMultiLvlLbl val="0"/>
      </c:catAx>
      <c:valAx>
        <c:axId val="293490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52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Study Hours vs Exam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Students</c:v>
          </c:tx>
          <c:spPr>
            <a:ln w="47520">
              <a:noFill/>
            </a:ln>
          </c:spPr>
          <c:marker>
            <c:symbol val="circle"/>
            <c:size val="4"/>
            <c:spPr>
              <a:solidFill>
                <a:srgbClr val="0D7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'📈 EDA_Charts'!$B$26:$B$105</c:f>
              <c:numCache>
                <c:formatCode>General</c:formatCode>
                <c:ptCount val="80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'📈 EDA_Charts'!$C$26:$C$105</c:f>
              <c:numCache>
                <c:formatCode>0.0</c:formatCode>
                <c:ptCount val="80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46-4127-90BA-399C2B1F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75196"/>
        <c:axId val="48043855"/>
      </c:scatterChart>
      <c:valAx>
        <c:axId val="512751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Study 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43855"/>
        <c:crosses val="autoZero"/>
        <c:crossBetween val="midCat"/>
      </c:valAx>
      <c:valAx>
        <c:axId val="48043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Exam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751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15</xdr:row>
      <xdr:rowOff>0</xdr:rowOff>
    </xdr:from>
    <xdr:to>
      <xdr:col>19</xdr:col>
      <xdr:colOff>336165</xdr:colOff>
      <xdr:row>32</xdr:row>
      <xdr:rowOff>1185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168540</xdr:rowOff>
    </xdr:from>
    <xdr:to>
      <xdr:col>12</xdr:col>
      <xdr:colOff>269490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9525</xdr:colOff>
      <xdr:row>29</xdr:row>
      <xdr:rowOff>171450</xdr:rowOff>
    </xdr:from>
    <xdr:to>
      <xdr:col>12</xdr:col>
      <xdr:colOff>279015</xdr:colOff>
      <xdr:row>48</xdr:row>
      <xdr:rowOff>151590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7A5F"/>
  </sheetPr>
  <dimension ref="A1:K82"/>
  <sheetViews>
    <sheetView tabSelected="1" zoomScaleNormal="100" workbookViewId="0">
      <pane ySplit="2" topLeftCell="A54" activePane="bottomLeft" state="frozen"/>
      <selection pane="bottomLeft" activeCell="A3" sqref="A3:XFD3"/>
    </sheetView>
  </sheetViews>
  <sheetFormatPr defaultColWidth="8.7109375" defaultRowHeight="15" x14ac:dyDescent="0.25"/>
  <cols>
    <col min="1" max="1" width="5" customWidth="1"/>
    <col min="2" max="3" width="14" customWidth="1"/>
    <col min="4" max="6" width="12" customWidth="1"/>
    <col min="7" max="8" width="10" customWidth="1"/>
    <col min="9" max="11" width="8" customWidth="1"/>
  </cols>
  <sheetData>
    <row r="1" spans="1:11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9.5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spans="1:11" ht="15.75" customHeight="1" x14ac:dyDescent="0.25">
      <c r="A3" s="16">
        <v>1</v>
      </c>
      <c r="B3" s="17" t="s">
        <v>12</v>
      </c>
      <c r="C3" s="16" t="s">
        <v>13</v>
      </c>
      <c r="D3" s="16">
        <v>6.6</v>
      </c>
      <c r="E3" s="18">
        <v>79.5</v>
      </c>
      <c r="F3" s="19">
        <v>39100</v>
      </c>
      <c r="G3" s="18">
        <v>95</v>
      </c>
      <c r="H3" s="16">
        <v>1</v>
      </c>
      <c r="I3" s="16">
        <v>0</v>
      </c>
      <c r="J3" s="16">
        <v>0</v>
      </c>
      <c r="K3" s="16">
        <v>1</v>
      </c>
    </row>
    <row r="4" spans="1:11" ht="15.75" customHeight="1" x14ac:dyDescent="0.25">
      <c r="A4" s="20">
        <v>2</v>
      </c>
      <c r="B4" s="21" t="s">
        <v>14</v>
      </c>
      <c r="C4" s="20" t="s">
        <v>13</v>
      </c>
      <c r="D4" s="20">
        <v>5.7</v>
      </c>
      <c r="E4" s="22">
        <v>74.8</v>
      </c>
      <c r="F4" s="23">
        <v>31700</v>
      </c>
      <c r="G4" s="22">
        <v>80.8</v>
      </c>
      <c r="H4" s="20">
        <v>1</v>
      </c>
      <c r="I4" s="20">
        <v>0</v>
      </c>
      <c r="J4" s="20">
        <v>0</v>
      </c>
      <c r="K4" s="20">
        <v>1</v>
      </c>
    </row>
    <row r="5" spans="1:11" ht="15.75" customHeight="1" x14ac:dyDescent="0.25">
      <c r="A5" s="16">
        <v>3</v>
      </c>
      <c r="B5" s="17" t="s">
        <v>15</v>
      </c>
      <c r="C5" s="16" t="s">
        <v>16</v>
      </c>
      <c r="D5" s="16">
        <v>4.5</v>
      </c>
      <c r="E5" s="18">
        <v>77.900000000000006</v>
      </c>
      <c r="F5" s="19">
        <v>41900</v>
      </c>
      <c r="G5" s="18">
        <v>86.3</v>
      </c>
      <c r="H5" s="16">
        <v>1</v>
      </c>
      <c r="I5" s="16">
        <v>1</v>
      </c>
      <c r="J5" s="16">
        <v>0</v>
      </c>
      <c r="K5" s="16">
        <v>0</v>
      </c>
    </row>
    <row r="6" spans="1:11" ht="15.75" customHeight="1" x14ac:dyDescent="0.25">
      <c r="A6" s="20">
        <v>4</v>
      </c>
      <c r="B6" s="21" t="s">
        <v>17</v>
      </c>
      <c r="C6" s="20" t="s">
        <v>18</v>
      </c>
      <c r="D6" s="20">
        <v>5.5</v>
      </c>
      <c r="E6" s="22">
        <v>93.7</v>
      </c>
      <c r="F6" s="23">
        <v>35600</v>
      </c>
      <c r="G6" s="22">
        <v>81.5</v>
      </c>
      <c r="H6" s="20">
        <v>1</v>
      </c>
      <c r="I6" s="20">
        <v>0</v>
      </c>
      <c r="J6" s="20">
        <v>1</v>
      </c>
      <c r="K6" s="20">
        <v>0</v>
      </c>
    </row>
    <row r="7" spans="1:11" ht="15.75" customHeight="1" x14ac:dyDescent="0.25">
      <c r="A7" s="16">
        <v>5</v>
      </c>
      <c r="B7" s="17" t="s">
        <v>19</v>
      </c>
      <c r="C7" s="16" t="s">
        <v>13</v>
      </c>
      <c r="D7" s="16">
        <v>4.4000000000000004</v>
      </c>
      <c r="E7" s="18">
        <v>67.599999999999994</v>
      </c>
      <c r="F7" s="19">
        <v>56100</v>
      </c>
      <c r="G7" s="18">
        <v>84.9</v>
      </c>
      <c r="H7" s="16">
        <v>1</v>
      </c>
      <c r="I7" s="16">
        <v>0</v>
      </c>
      <c r="J7" s="16">
        <v>0</v>
      </c>
      <c r="K7" s="16">
        <v>1</v>
      </c>
    </row>
    <row r="8" spans="1:11" ht="15.75" customHeight="1" x14ac:dyDescent="0.25">
      <c r="A8" s="20">
        <v>6</v>
      </c>
      <c r="B8" s="21" t="s">
        <v>20</v>
      </c>
      <c r="C8" s="20" t="s">
        <v>16</v>
      </c>
      <c r="D8" s="20">
        <v>5.8</v>
      </c>
      <c r="E8" s="22">
        <v>81</v>
      </c>
      <c r="F8" s="23">
        <v>46700</v>
      </c>
      <c r="G8" s="22">
        <v>77.8</v>
      </c>
      <c r="H8" s="20">
        <v>1</v>
      </c>
      <c r="I8" s="20">
        <v>1</v>
      </c>
      <c r="J8" s="20">
        <v>0</v>
      </c>
      <c r="K8" s="20">
        <v>0</v>
      </c>
    </row>
    <row r="9" spans="1:11" ht="15.75" customHeight="1" x14ac:dyDescent="0.25">
      <c r="A9" s="16">
        <v>7</v>
      </c>
      <c r="B9" s="17" t="s">
        <v>21</v>
      </c>
      <c r="C9" s="16" t="s">
        <v>13</v>
      </c>
      <c r="D9" s="16">
        <v>4.7</v>
      </c>
      <c r="E9" s="18">
        <v>63.2</v>
      </c>
      <c r="F9" s="19">
        <v>49400</v>
      </c>
      <c r="G9" s="18">
        <v>71.3</v>
      </c>
      <c r="H9" s="16">
        <v>1</v>
      </c>
      <c r="I9" s="16">
        <v>0</v>
      </c>
      <c r="J9" s="16">
        <v>0</v>
      </c>
      <c r="K9" s="16">
        <v>1</v>
      </c>
    </row>
    <row r="10" spans="1:11" ht="15.75" customHeight="1" x14ac:dyDescent="0.25">
      <c r="A10" s="20">
        <v>8</v>
      </c>
      <c r="B10" s="21" t="s">
        <v>22</v>
      </c>
      <c r="C10" s="20" t="s">
        <v>18</v>
      </c>
      <c r="D10" s="20">
        <v>6.3</v>
      </c>
      <c r="E10" s="22">
        <v>63.4</v>
      </c>
      <c r="F10" s="23">
        <v>47700</v>
      </c>
      <c r="G10" s="22">
        <v>70.099999999999994</v>
      </c>
      <c r="H10" s="20">
        <v>1</v>
      </c>
      <c r="I10" s="20">
        <v>0</v>
      </c>
      <c r="J10" s="20">
        <v>1</v>
      </c>
      <c r="K10" s="20">
        <v>0</v>
      </c>
    </row>
    <row r="11" spans="1:11" ht="15.75" customHeight="1" x14ac:dyDescent="0.25">
      <c r="A11" s="16">
        <v>9</v>
      </c>
      <c r="B11" s="17" t="s">
        <v>23</v>
      </c>
      <c r="C11" s="16" t="s">
        <v>13</v>
      </c>
      <c r="D11" s="16">
        <v>6.4</v>
      </c>
      <c r="E11" s="18">
        <v>80.5</v>
      </c>
      <c r="F11" s="19">
        <v>33500</v>
      </c>
      <c r="G11" s="18">
        <v>87.2</v>
      </c>
      <c r="H11" s="16">
        <v>1</v>
      </c>
      <c r="I11" s="16">
        <v>0</v>
      </c>
      <c r="J11" s="16">
        <v>0</v>
      </c>
      <c r="K11" s="16">
        <v>1</v>
      </c>
    </row>
    <row r="12" spans="1:11" ht="15.75" customHeight="1" x14ac:dyDescent="0.25">
      <c r="A12" s="20">
        <v>10</v>
      </c>
      <c r="B12" s="21" t="s">
        <v>24</v>
      </c>
      <c r="C12" s="20" t="s">
        <v>16</v>
      </c>
      <c r="D12" s="20">
        <v>6.3</v>
      </c>
      <c r="E12" s="22">
        <v>83.7</v>
      </c>
      <c r="F12" s="23">
        <v>25600</v>
      </c>
      <c r="G12" s="22">
        <v>83.1</v>
      </c>
      <c r="H12" s="20">
        <v>1</v>
      </c>
      <c r="I12" s="20">
        <v>1</v>
      </c>
      <c r="J12" s="20">
        <v>0</v>
      </c>
      <c r="K12" s="20">
        <v>0</v>
      </c>
    </row>
    <row r="13" spans="1:11" ht="15.75" customHeight="1" x14ac:dyDescent="0.25">
      <c r="A13" s="16">
        <v>11</v>
      </c>
      <c r="B13" s="17" t="s">
        <v>25</v>
      </c>
      <c r="C13" s="16" t="s">
        <v>18</v>
      </c>
      <c r="D13" s="16">
        <v>5.4</v>
      </c>
      <c r="E13" s="18">
        <v>87.2</v>
      </c>
      <c r="F13" s="19">
        <v>55000</v>
      </c>
      <c r="G13" s="18">
        <v>76.400000000000006</v>
      </c>
      <c r="H13" s="16">
        <v>1</v>
      </c>
      <c r="I13" s="16">
        <v>0</v>
      </c>
      <c r="J13" s="16">
        <v>1</v>
      </c>
      <c r="K13" s="16">
        <v>0</v>
      </c>
    </row>
    <row r="14" spans="1:11" ht="15.75" customHeight="1" x14ac:dyDescent="0.25">
      <c r="A14" s="20">
        <v>12</v>
      </c>
      <c r="B14" s="21" t="s">
        <v>26</v>
      </c>
      <c r="C14" s="20" t="s">
        <v>13</v>
      </c>
      <c r="D14" s="20">
        <v>6.5</v>
      </c>
      <c r="E14" s="22">
        <v>95.1</v>
      </c>
      <c r="F14" s="23">
        <v>42600</v>
      </c>
      <c r="G14" s="22">
        <v>94.8</v>
      </c>
      <c r="H14" s="20">
        <v>1</v>
      </c>
      <c r="I14" s="20">
        <v>0</v>
      </c>
      <c r="J14" s="20">
        <v>0</v>
      </c>
      <c r="K14" s="20">
        <v>1</v>
      </c>
    </row>
    <row r="15" spans="1:11" ht="15.75" customHeight="1" x14ac:dyDescent="0.25">
      <c r="A15" s="16">
        <v>13</v>
      </c>
      <c r="B15" s="17" t="s">
        <v>27</v>
      </c>
      <c r="C15" s="16" t="s">
        <v>28</v>
      </c>
      <c r="D15" s="16">
        <v>3.4</v>
      </c>
      <c r="E15" s="18">
        <v>66.2</v>
      </c>
      <c r="F15" s="19">
        <v>23500</v>
      </c>
      <c r="G15" s="18">
        <v>55.2</v>
      </c>
      <c r="H15" s="16">
        <v>0</v>
      </c>
      <c r="I15" s="16">
        <v>0</v>
      </c>
      <c r="J15" s="16">
        <v>0</v>
      </c>
      <c r="K15" s="16">
        <v>0</v>
      </c>
    </row>
    <row r="16" spans="1:11" ht="15.75" customHeight="1" x14ac:dyDescent="0.25">
      <c r="A16" s="20">
        <v>14</v>
      </c>
      <c r="B16" s="21" t="s">
        <v>29</v>
      </c>
      <c r="C16" s="20" t="s">
        <v>13</v>
      </c>
      <c r="D16" s="20">
        <v>5.0999999999999996</v>
      </c>
      <c r="E16" s="22">
        <v>81</v>
      </c>
      <c r="F16" s="23">
        <v>30300</v>
      </c>
      <c r="G16" s="22">
        <v>83.9</v>
      </c>
      <c r="H16" s="20">
        <v>1</v>
      </c>
      <c r="I16" s="20">
        <v>0</v>
      </c>
      <c r="J16" s="20">
        <v>0</v>
      </c>
      <c r="K16" s="20">
        <v>1</v>
      </c>
    </row>
    <row r="17" spans="1:11" ht="15.75" customHeight="1" x14ac:dyDescent="0.25">
      <c r="A17" s="16">
        <v>15</v>
      </c>
      <c r="B17" s="17" t="s">
        <v>30</v>
      </c>
      <c r="C17" s="16" t="s">
        <v>16</v>
      </c>
      <c r="D17" s="16">
        <v>8.8000000000000007</v>
      </c>
      <c r="E17" s="18">
        <v>69.400000000000006</v>
      </c>
      <c r="F17" s="19">
        <v>26300</v>
      </c>
      <c r="G17" s="18">
        <v>100</v>
      </c>
      <c r="H17" s="16">
        <v>1</v>
      </c>
      <c r="I17" s="16">
        <v>1</v>
      </c>
      <c r="J17" s="16">
        <v>0</v>
      </c>
      <c r="K17" s="16">
        <v>0</v>
      </c>
    </row>
    <row r="18" spans="1:11" ht="15.75" customHeight="1" x14ac:dyDescent="0.25">
      <c r="A18" s="20">
        <v>16</v>
      </c>
      <c r="B18" s="21" t="s">
        <v>31</v>
      </c>
      <c r="C18" s="20" t="s">
        <v>18</v>
      </c>
      <c r="D18" s="20">
        <v>6.9</v>
      </c>
      <c r="E18" s="22">
        <v>71.2</v>
      </c>
      <c r="F18" s="23">
        <v>33900</v>
      </c>
      <c r="G18" s="22">
        <v>85.5</v>
      </c>
      <c r="H18" s="20">
        <v>1</v>
      </c>
      <c r="I18" s="20">
        <v>0</v>
      </c>
      <c r="J18" s="20">
        <v>1</v>
      </c>
      <c r="K18" s="20">
        <v>0</v>
      </c>
    </row>
    <row r="19" spans="1:11" ht="15.75" customHeight="1" x14ac:dyDescent="0.25">
      <c r="A19" s="16">
        <v>17</v>
      </c>
      <c r="B19" s="17" t="s">
        <v>32</v>
      </c>
      <c r="C19" s="16" t="s">
        <v>18</v>
      </c>
      <c r="D19" s="16">
        <v>4.8</v>
      </c>
      <c r="E19" s="18">
        <v>93.9</v>
      </c>
      <c r="F19" s="19">
        <v>47100</v>
      </c>
      <c r="G19" s="18">
        <v>75.599999999999994</v>
      </c>
      <c r="H19" s="16">
        <v>1</v>
      </c>
      <c r="I19" s="16">
        <v>0</v>
      </c>
      <c r="J19" s="16">
        <v>1</v>
      </c>
      <c r="K19" s="16">
        <v>0</v>
      </c>
    </row>
    <row r="20" spans="1:11" ht="15.75" customHeight="1" x14ac:dyDescent="0.25">
      <c r="A20" s="20">
        <v>18</v>
      </c>
      <c r="B20" s="21" t="s">
        <v>33</v>
      </c>
      <c r="C20" s="20" t="s">
        <v>16</v>
      </c>
      <c r="D20" s="20">
        <v>7.4</v>
      </c>
      <c r="E20" s="22">
        <v>77.8</v>
      </c>
      <c r="F20" s="23">
        <v>38900</v>
      </c>
      <c r="G20" s="22">
        <v>91.2</v>
      </c>
      <c r="H20" s="20">
        <v>1</v>
      </c>
      <c r="I20" s="20">
        <v>1</v>
      </c>
      <c r="J20" s="20">
        <v>0</v>
      </c>
      <c r="K20" s="20">
        <v>0</v>
      </c>
    </row>
    <row r="21" spans="1:11" ht="15.75" customHeight="1" x14ac:dyDescent="0.25">
      <c r="A21" s="16">
        <v>19</v>
      </c>
      <c r="B21" s="17" t="s">
        <v>34</v>
      </c>
      <c r="C21" s="16" t="s">
        <v>16</v>
      </c>
      <c r="D21" s="16">
        <v>2.5</v>
      </c>
      <c r="E21" s="18">
        <v>62.7</v>
      </c>
      <c r="F21" s="19">
        <v>30200</v>
      </c>
      <c r="G21" s="18">
        <v>66</v>
      </c>
      <c r="H21" s="16">
        <v>1</v>
      </c>
      <c r="I21" s="16">
        <v>1</v>
      </c>
      <c r="J21" s="16">
        <v>0</v>
      </c>
      <c r="K21" s="16">
        <v>0</v>
      </c>
    </row>
    <row r="22" spans="1:11" ht="15.75" customHeight="1" x14ac:dyDescent="0.25">
      <c r="A22" s="20">
        <v>20</v>
      </c>
      <c r="B22" s="21" t="s">
        <v>35</v>
      </c>
      <c r="C22" s="20" t="s">
        <v>18</v>
      </c>
      <c r="D22" s="20">
        <v>7.5</v>
      </c>
      <c r="E22" s="22">
        <v>77.599999999999994</v>
      </c>
      <c r="F22" s="23">
        <v>64300</v>
      </c>
      <c r="G22" s="22">
        <v>83.4</v>
      </c>
      <c r="H22" s="20">
        <v>1</v>
      </c>
      <c r="I22" s="20">
        <v>0</v>
      </c>
      <c r="J22" s="20">
        <v>1</v>
      </c>
      <c r="K22" s="20">
        <v>0</v>
      </c>
    </row>
    <row r="23" spans="1:11" ht="15.75" customHeight="1" x14ac:dyDescent="0.25">
      <c r="A23" s="16">
        <v>21</v>
      </c>
      <c r="B23" s="17" t="s">
        <v>36</v>
      </c>
      <c r="C23" s="16" t="s">
        <v>16</v>
      </c>
      <c r="D23" s="16">
        <v>4.4000000000000004</v>
      </c>
      <c r="E23" s="18">
        <v>60.1</v>
      </c>
      <c r="F23" s="19">
        <v>23500</v>
      </c>
      <c r="G23" s="18">
        <v>71</v>
      </c>
      <c r="H23" s="16">
        <v>1</v>
      </c>
      <c r="I23" s="16">
        <v>1</v>
      </c>
      <c r="J23" s="16">
        <v>0</v>
      </c>
      <c r="K23" s="16">
        <v>0</v>
      </c>
    </row>
    <row r="24" spans="1:11" ht="15.75" customHeight="1" x14ac:dyDescent="0.25">
      <c r="A24" s="20">
        <v>22</v>
      </c>
      <c r="B24" s="21" t="s">
        <v>37</v>
      </c>
      <c r="C24" s="20" t="s">
        <v>13</v>
      </c>
      <c r="D24" s="20">
        <v>6.6</v>
      </c>
      <c r="E24" s="22">
        <v>86.3</v>
      </c>
      <c r="F24" s="23">
        <v>12000</v>
      </c>
      <c r="G24" s="22">
        <v>91.7</v>
      </c>
      <c r="H24" s="20">
        <v>1</v>
      </c>
      <c r="I24" s="20">
        <v>0</v>
      </c>
      <c r="J24" s="20">
        <v>0</v>
      </c>
      <c r="K24" s="20">
        <v>1</v>
      </c>
    </row>
    <row r="25" spans="1:11" ht="15.75" customHeight="1" x14ac:dyDescent="0.25">
      <c r="A25" s="16">
        <v>23</v>
      </c>
      <c r="B25" s="17" t="s">
        <v>38</v>
      </c>
      <c r="C25" s="16" t="s">
        <v>28</v>
      </c>
      <c r="D25" s="16">
        <v>4.8</v>
      </c>
      <c r="E25" s="18">
        <v>92.1</v>
      </c>
      <c r="F25" s="19">
        <v>49400</v>
      </c>
      <c r="G25" s="18">
        <v>91.6</v>
      </c>
      <c r="H25" s="16">
        <v>1</v>
      </c>
      <c r="I25" s="16">
        <v>0</v>
      </c>
      <c r="J25" s="16">
        <v>0</v>
      </c>
      <c r="K25" s="16">
        <v>0</v>
      </c>
    </row>
    <row r="26" spans="1:11" ht="15.75" customHeight="1" x14ac:dyDescent="0.25">
      <c r="A26" s="20">
        <v>24</v>
      </c>
      <c r="B26" s="21" t="s">
        <v>39</v>
      </c>
      <c r="C26" s="20" t="s">
        <v>28</v>
      </c>
      <c r="D26" s="20">
        <v>4.0999999999999996</v>
      </c>
      <c r="E26" s="22">
        <v>94.3</v>
      </c>
      <c r="F26" s="23">
        <v>28300</v>
      </c>
      <c r="G26" s="22">
        <v>75.3</v>
      </c>
      <c r="H26" s="20">
        <v>1</v>
      </c>
      <c r="I26" s="20">
        <v>0</v>
      </c>
      <c r="J26" s="20">
        <v>0</v>
      </c>
      <c r="K26" s="20">
        <v>0</v>
      </c>
    </row>
    <row r="27" spans="1:11" ht="15.75" customHeight="1" x14ac:dyDescent="0.25">
      <c r="A27" s="16">
        <v>25</v>
      </c>
      <c r="B27" s="17" t="s">
        <v>40</v>
      </c>
      <c r="C27" s="16" t="s">
        <v>13</v>
      </c>
      <c r="D27" s="16">
        <v>1.6</v>
      </c>
      <c r="E27" s="18">
        <v>72.900000000000006</v>
      </c>
      <c r="F27" s="19">
        <v>34500</v>
      </c>
      <c r="G27" s="18">
        <v>62.3</v>
      </c>
      <c r="H27" s="16">
        <v>1</v>
      </c>
      <c r="I27" s="16">
        <v>0</v>
      </c>
      <c r="J27" s="16">
        <v>0</v>
      </c>
      <c r="K27" s="16">
        <v>1</v>
      </c>
    </row>
    <row r="28" spans="1:11" ht="15.75" customHeight="1" x14ac:dyDescent="0.25">
      <c r="A28" s="20">
        <v>26</v>
      </c>
      <c r="B28" s="21" t="s">
        <v>41</v>
      </c>
      <c r="C28" s="20" t="s">
        <v>16</v>
      </c>
      <c r="D28" s="20">
        <v>9.6</v>
      </c>
      <c r="E28" s="22">
        <v>81.400000000000006</v>
      </c>
      <c r="F28" s="23">
        <v>55500</v>
      </c>
      <c r="G28" s="22">
        <v>92.7</v>
      </c>
      <c r="H28" s="20">
        <v>1</v>
      </c>
      <c r="I28" s="20">
        <v>1</v>
      </c>
      <c r="J28" s="20">
        <v>0</v>
      </c>
      <c r="K28" s="20">
        <v>0</v>
      </c>
    </row>
    <row r="29" spans="1:11" ht="15.75" customHeight="1" x14ac:dyDescent="0.25">
      <c r="A29" s="16">
        <v>27</v>
      </c>
      <c r="B29" s="17" t="s">
        <v>42</v>
      </c>
      <c r="C29" s="16" t="s">
        <v>16</v>
      </c>
      <c r="D29" s="16">
        <v>8.8000000000000007</v>
      </c>
      <c r="E29" s="18">
        <v>86.8</v>
      </c>
      <c r="F29" s="19">
        <v>41000</v>
      </c>
      <c r="G29" s="18">
        <v>98</v>
      </c>
      <c r="H29" s="16">
        <v>1</v>
      </c>
      <c r="I29" s="16">
        <v>1</v>
      </c>
      <c r="J29" s="16">
        <v>0</v>
      </c>
      <c r="K29" s="16">
        <v>0</v>
      </c>
    </row>
    <row r="30" spans="1:11" ht="15.75" customHeight="1" x14ac:dyDescent="0.25">
      <c r="A30" s="20">
        <v>28</v>
      </c>
      <c r="B30" s="21" t="s">
        <v>43</v>
      </c>
      <c r="C30" s="20" t="s">
        <v>18</v>
      </c>
      <c r="D30" s="20">
        <v>8.1</v>
      </c>
      <c r="E30" s="22">
        <v>86.5</v>
      </c>
      <c r="F30" s="23">
        <v>35800</v>
      </c>
      <c r="G30" s="22">
        <v>87.7</v>
      </c>
      <c r="H30" s="20">
        <v>1</v>
      </c>
      <c r="I30" s="20">
        <v>0</v>
      </c>
      <c r="J30" s="20">
        <v>1</v>
      </c>
      <c r="K30" s="20">
        <v>0</v>
      </c>
    </row>
    <row r="31" spans="1:11" ht="15.75" customHeight="1" x14ac:dyDescent="0.25">
      <c r="A31" s="16">
        <v>29</v>
      </c>
      <c r="B31" s="17" t="s">
        <v>44</v>
      </c>
      <c r="C31" s="16" t="s">
        <v>18</v>
      </c>
      <c r="D31" s="16">
        <v>3.5</v>
      </c>
      <c r="E31" s="18">
        <v>75.099999999999994</v>
      </c>
      <c r="F31" s="19">
        <v>45900</v>
      </c>
      <c r="G31" s="18">
        <v>63.5</v>
      </c>
      <c r="H31" s="16">
        <v>1</v>
      </c>
      <c r="I31" s="16">
        <v>0</v>
      </c>
      <c r="J31" s="16">
        <v>1</v>
      </c>
      <c r="K31" s="16">
        <v>0</v>
      </c>
    </row>
    <row r="32" spans="1:11" ht="15.75" customHeight="1" x14ac:dyDescent="0.25">
      <c r="A32" s="20">
        <v>30</v>
      </c>
      <c r="B32" s="21" t="s">
        <v>45</v>
      </c>
      <c r="C32" s="20" t="s">
        <v>16</v>
      </c>
      <c r="D32" s="20">
        <v>1.9</v>
      </c>
      <c r="E32" s="22">
        <v>73.3</v>
      </c>
      <c r="F32" s="23">
        <v>38900</v>
      </c>
      <c r="G32" s="22">
        <v>70.599999999999994</v>
      </c>
      <c r="H32" s="20">
        <v>1</v>
      </c>
      <c r="I32" s="20">
        <v>1</v>
      </c>
      <c r="J32" s="20">
        <v>0</v>
      </c>
      <c r="K32" s="20">
        <v>0</v>
      </c>
    </row>
    <row r="33" spans="1:11" ht="15.75" customHeight="1" x14ac:dyDescent="0.25">
      <c r="A33" s="16">
        <v>31</v>
      </c>
      <c r="B33" s="17" t="s">
        <v>46</v>
      </c>
      <c r="C33" s="16" t="s">
        <v>28</v>
      </c>
      <c r="D33" s="16">
        <v>3.7</v>
      </c>
      <c r="E33" s="18">
        <v>67.599999999999994</v>
      </c>
      <c r="F33" s="19">
        <v>27400</v>
      </c>
      <c r="G33" s="18">
        <v>67.2</v>
      </c>
      <c r="H33" s="16">
        <v>1</v>
      </c>
      <c r="I33" s="16">
        <v>0</v>
      </c>
      <c r="J33" s="16">
        <v>0</v>
      </c>
      <c r="K33" s="16">
        <v>0</v>
      </c>
    </row>
    <row r="34" spans="1:11" ht="15.75" customHeight="1" x14ac:dyDescent="0.25">
      <c r="A34" s="20">
        <v>32</v>
      </c>
      <c r="B34" s="21" t="s">
        <v>47</v>
      </c>
      <c r="C34" s="20" t="s">
        <v>16</v>
      </c>
      <c r="D34" s="20">
        <v>3.6</v>
      </c>
      <c r="E34" s="22">
        <v>91.6</v>
      </c>
      <c r="F34" s="23">
        <v>36300</v>
      </c>
      <c r="G34" s="22">
        <v>82.7</v>
      </c>
      <c r="H34" s="20">
        <v>1</v>
      </c>
      <c r="I34" s="20">
        <v>1</v>
      </c>
      <c r="J34" s="20">
        <v>0</v>
      </c>
      <c r="K34" s="20">
        <v>0</v>
      </c>
    </row>
    <row r="35" spans="1:11" ht="15.75" customHeight="1" x14ac:dyDescent="0.25">
      <c r="A35" s="16">
        <v>33</v>
      </c>
      <c r="B35" s="17" t="s">
        <v>48</v>
      </c>
      <c r="C35" s="16" t="s">
        <v>16</v>
      </c>
      <c r="D35" s="16">
        <v>4</v>
      </c>
      <c r="E35" s="18">
        <v>71.7</v>
      </c>
      <c r="F35" s="19">
        <v>59600</v>
      </c>
      <c r="G35" s="18">
        <v>67.400000000000006</v>
      </c>
      <c r="H35" s="16">
        <v>1</v>
      </c>
      <c r="I35" s="16">
        <v>1</v>
      </c>
      <c r="J35" s="16">
        <v>0</v>
      </c>
      <c r="K35" s="16">
        <v>0</v>
      </c>
    </row>
    <row r="36" spans="1:11" ht="15.75" customHeight="1" x14ac:dyDescent="0.25">
      <c r="A36" s="20">
        <v>34</v>
      </c>
      <c r="B36" s="21" t="s">
        <v>49</v>
      </c>
      <c r="C36" s="20" t="s">
        <v>16</v>
      </c>
      <c r="D36" s="20">
        <v>5.2</v>
      </c>
      <c r="E36" s="22">
        <v>95.8</v>
      </c>
      <c r="F36" s="23">
        <v>36800</v>
      </c>
      <c r="G36" s="22">
        <v>89.7</v>
      </c>
      <c r="H36" s="20">
        <v>1</v>
      </c>
      <c r="I36" s="20">
        <v>1</v>
      </c>
      <c r="J36" s="20">
        <v>0</v>
      </c>
      <c r="K36" s="20">
        <v>0</v>
      </c>
    </row>
    <row r="37" spans="1:11" ht="15.75" customHeight="1" x14ac:dyDescent="0.25">
      <c r="A37" s="16">
        <v>35</v>
      </c>
      <c r="B37" s="17" t="s">
        <v>50</v>
      </c>
      <c r="C37" s="16" t="s">
        <v>28</v>
      </c>
      <c r="D37" s="16">
        <v>3</v>
      </c>
      <c r="E37" s="18">
        <v>72.099999999999994</v>
      </c>
      <c r="F37" s="19">
        <v>40900</v>
      </c>
      <c r="G37" s="18">
        <v>55.3</v>
      </c>
      <c r="H37" s="16">
        <v>0</v>
      </c>
      <c r="I37" s="16">
        <v>0</v>
      </c>
      <c r="J37" s="16">
        <v>0</v>
      </c>
      <c r="K37" s="16">
        <v>0</v>
      </c>
    </row>
    <row r="38" spans="1:11" ht="15.75" customHeight="1" x14ac:dyDescent="0.25">
      <c r="A38" s="20">
        <v>36</v>
      </c>
      <c r="B38" s="21" t="s">
        <v>51</v>
      </c>
      <c r="C38" s="20" t="s">
        <v>16</v>
      </c>
      <c r="D38" s="20">
        <v>6.7</v>
      </c>
      <c r="E38" s="22">
        <v>85.3</v>
      </c>
      <c r="F38" s="23">
        <v>20100</v>
      </c>
      <c r="G38" s="22">
        <v>92.7</v>
      </c>
      <c r="H38" s="20">
        <v>1</v>
      </c>
      <c r="I38" s="20">
        <v>1</v>
      </c>
      <c r="J38" s="20">
        <v>0</v>
      </c>
      <c r="K38" s="20">
        <v>0</v>
      </c>
    </row>
    <row r="39" spans="1:11" ht="15.75" customHeight="1" x14ac:dyDescent="0.25">
      <c r="A39" s="16">
        <v>37</v>
      </c>
      <c r="B39" s="17" t="s">
        <v>52</v>
      </c>
      <c r="C39" s="16" t="s">
        <v>13</v>
      </c>
      <c r="D39" s="16">
        <v>2.2999999999999998</v>
      </c>
      <c r="E39" s="18">
        <v>47.4</v>
      </c>
      <c r="F39" s="19">
        <v>47400</v>
      </c>
      <c r="G39" s="18">
        <v>60.9</v>
      </c>
      <c r="H39" s="16">
        <v>1</v>
      </c>
      <c r="I39" s="16">
        <v>0</v>
      </c>
      <c r="J39" s="16">
        <v>0</v>
      </c>
      <c r="K39" s="16">
        <v>1</v>
      </c>
    </row>
    <row r="40" spans="1:11" ht="15.75" customHeight="1" x14ac:dyDescent="0.25">
      <c r="A40" s="20">
        <v>38</v>
      </c>
      <c r="B40" s="21" t="s">
        <v>53</v>
      </c>
      <c r="C40" s="20" t="s">
        <v>16</v>
      </c>
      <c r="D40" s="20">
        <v>6</v>
      </c>
      <c r="E40" s="22">
        <v>71.099999999999994</v>
      </c>
      <c r="F40" s="23">
        <v>41000</v>
      </c>
      <c r="G40" s="22">
        <v>88.3</v>
      </c>
      <c r="H40" s="20">
        <v>1</v>
      </c>
      <c r="I40" s="20">
        <v>1</v>
      </c>
      <c r="J40" s="20">
        <v>0</v>
      </c>
      <c r="K40" s="20">
        <v>0</v>
      </c>
    </row>
    <row r="41" spans="1:11" ht="15.75" customHeight="1" x14ac:dyDescent="0.25">
      <c r="A41" s="16">
        <v>39</v>
      </c>
      <c r="B41" s="17" t="s">
        <v>54</v>
      </c>
      <c r="C41" s="16" t="s">
        <v>18</v>
      </c>
      <c r="D41" s="16">
        <v>4.7</v>
      </c>
      <c r="E41" s="18">
        <v>87</v>
      </c>
      <c r="F41" s="19">
        <v>49400</v>
      </c>
      <c r="G41" s="18">
        <v>73.7</v>
      </c>
      <c r="H41" s="16">
        <v>1</v>
      </c>
      <c r="I41" s="16">
        <v>0</v>
      </c>
      <c r="J41" s="16">
        <v>1</v>
      </c>
      <c r="K41" s="16">
        <v>0</v>
      </c>
    </row>
    <row r="42" spans="1:11" ht="15.75" customHeight="1" x14ac:dyDescent="0.25">
      <c r="A42" s="20">
        <v>40</v>
      </c>
      <c r="B42" s="21" t="s">
        <v>55</v>
      </c>
      <c r="C42" s="20" t="s">
        <v>28</v>
      </c>
      <c r="D42" s="20">
        <v>4.4000000000000004</v>
      </c>
      <c r="E42" s="22">
        <v>76.8</v>
      </c>
      <c r="F42" s="23">
        <v>63500</v>
      </c>
      <c r="G42" s="22">
        <v>73.2</v>
      </c>
      <c r="H42" s="20">
        <v>1</v>
      </c>
      <c r="I42" s="20">
        <v>0</v>
      </c>
      <c r="J42" s="20">
        <v>0</v>
      </c>
      <c r="K42" s="20">
        <v>0</v>
      </c>
    </row>
    <row r="43" spans="1:11" ht="15.75" customHeight="1" x14ac:dyDescent="0.25">
      <c r="A43" s="16">
        <v>41</v>
      </c>
      <c r="B43" s="17" t="s">
        <v>56</v>
      </c>
      <c r="C43" s="16" t="s">
        <v>28</v>
      </c>
      <c r="D43" s="16">
        <v>8.5</v>
      </c>
      <c r="E43" s="18">
        <v>67.599999999999994</v>
      </c>
      <c r="F43" s="19">
        <v>43700</v>
      </c>
      <c r="G43" s="18">
        <v>93.6</v>
      </c>
      <c r="H43" s="16">
        <v>1</v>
      </c>
      <c r="I43" s="16">
        <v>0</v>
      </c>
      <c r="J43" s="16">
        <v>0</v>
      </c>
      <c r="K43" s="16">
        <v>0</v>
      </c>
    </row>
    <row r="44" spans="1:11" ht="15.75" customHeight="1" x14ac:dyDescent="0.25">
      <c r="A44" s="20">
        <v>42</v>
      </c>
      <c r="B44" s="21" t="s">
        <v>57</v>
      </c>
      <c r="C44" s="20" t="s">
        <v>16</v>
      </c>
      <c r="D44" s="20">
        <v>4.4000000000000004</v>
      </c>
      <c r="E44" s="22">
        <v>80.400000000000006</v>
      </c>
      <c r="F44" s="23">
        <v>12000</v>
      </c>
      <c r="G44" s="22">
        <v>90.4</v>
      </c>
      <c r="H44" s="20">
        <v>1</v>
      </c>
      <c r="I44" s="20">
        <v>1</v>
      </c>
      <c r="J44" s="20">
        <v>0</v>
      </c>
      <c r="K44" s="20">
        <v>0</v>
      </c>
    </row>
    <row r="45" spans="1:11" ht="15.75" customHeight="1" x14ac:dyDescent="0.25">
      <c r="A45" s="16">
        <v>43</v>
      </c>
      <c r="B45" s="17" t="s">
        <v>58</v>
      </c>
      <c r="C45" s="16" t="s">
        <v>16</v>
      </c>
      <c r="D45" s="16">
        <v>5.5</v>
      </c>
      <c r="E45" s="18">
        <v>65.099999999999994</v>
      </c>
      <c r="F45" s="19">
        <v>12000</v>
      </c>
      <c r="G45" s="18">
        <v>85.3</v>
      </c>
      <c r="H45" s="16">
        <v>1</v>
      </c>
      <c r="I45" s="16">
        <v>1</v>
      </c>
      <c r="J45" s="16">
        <v>0</v>
      </c>
      <c r="K45" s="16">
        <v>0</v>
      </c>
    </row>
    <row r="46" spans="1:11" ht="15.75" customHeight="1" x14ac:dyDescent="0.25">
      <c r="A46" s="20">
        <v>44</v>
      </c>
      <c r="B46" s="21" t="s">
        <v>59</v>
      </c>
      <c r="C46" s="20" t="s">
        <v>28</v>
      </c>
      <c r="D46" s="20">
        <v>2</v>
      </c>
      <c r="E46" s="22">
        <v>71.400000000000006</v>
      </c>
      <c r="F46" s="23">
        <v>42100</v>
      </c>
      <c r="G46" s="22">
        <v>65.7</v>
      </c>
      <c r="H46" s="20">
        <v>1</v>
      </c>
      <c r="I46" s="20">
        <v>0</v>
      </c>
      <c r="J46" s="20">
        <v>0</v>
      </c>
      <c r="K46" s="20">
        <v>0</v>
      </c>
    </row>
    <row r="47" spans="1:11" ht="15.75" customHeight="1" x14ac:dyDescent="0.25">
      <c r="A47" s="16">
        <v>45</v>
      </c>
      <c r="B47" s="17" t="s">
        <v>60</v>
      </c>
      <c r="C47" s="16" t="s">
        <v>28</v>
      </c>
      <c r="D47" s="16">
        <v>2.8</v>
      </c>
      <c r="E47" s="18">
        <v>70.8</v>
      </c>
      <c r="F47" s="19">
        <v>34900</v>
      </c>
      <c r="G47" s="18">
        <v>62.6</v>
      </c>
      <c r="H47" s="16">
        <v>1</v>
      </c>
      <c r="I47" s="16">
        <v>0</v>
      </c>
      <c r="J47" s="16">
        <v>0</v>
      </c>
      <c r="K47" s="16">
        <v>0</v>
      </c>
    </row>
    <row r="48" spans="1:11" ht="15.75" customHeight="1" x14ac:dyDescent="0.25">
      <c r="A48" s="20">
        <v>46</v>
      </c>
      <c r="B48" s="21" t="s">
        <v>61</v>
      </c>
      <c r="C48" s="20" t="s">
        <v>18</v>
      </c>
      <c r="D48" s="20">
        <v>1.1000000000000001</v>
      </c>
      <c r="E48" s="22">
        <v>77.599999999999994</v>
      </c>
      <c r="F48" s="23">
        <v>56000</v>
      </c>
      <c r="G48" s="22">
        <v>71.400000000000006</v>
      </c>
      <c r="H48" s="20">
        <v>1</v>
      </c>
      <c r="I48" s="20">
        <v>0</v>
      </c>
      <c r="J48" s="20">
        <v>1</v>
      </c>
      <c r="K48" s="20">
        <v>0</v>
      </c>
    </row>
    <row r="49" spans="1:11" ht="15.75" customHeight="1" x14ac:dyDescent="0.25">
      <c r="A49" s="16">
        <v>47</v>
      </c>
      <c r="B49" s="17" t="s">
        <v>62</v>
      </c>
      <c r="C49" s="16" t="s">
        <v>16</v>
      </c>
      <c r="D49" s="16">
        <v>6.1</v>
      </c>
      <c r="E49" s="18">
        <v>92.8</v>
      </c>
      <c r="F49" s="19">
        <v>30000</v>
      </c>
      <c r="G49" s="18">
        <v>85.5</v>
      </c>
      <c r="H49" s="16">
        <v>1</v>
      </c>
      <c r="I49" s="16">
        <v>1</v>
      </c>
      <c r="J49" s="16">
        <v>0</v>
      </c>
      <c r="K49" s="16">
        <v>0</v>
      </c>
    </row>
    <row r="50" spans="1:11" ht="15.75" customHeight="1" x14ac:dyDescent="0.25">
      <c r="A50" s="20">
        <v>48</v>
      </c>
      <c r="B50" s="21" t="s">
        <v>63</v>
      </c>
      <c r="C50" s="20" t="s">
        <v>16</v>
      </c>
      <c r="D50" s="20">
        <v>6.2</v>
      </c>
      <c r="E50" s="22">
        <v>72.3</v>
      </c>
      <c r="F50" s="23">
        <v>17700</v>
      </c>
      <c r="G50" s="22">
        <v>78.8</v>
      </c>
      <c r="H50" s="20">
        <v>1</v>
      </c>
      <c r="I50" s="20">
        <v>1</v>
      </c>
      <c r="J50" s="20">
        <v>0</v>
      </c>
      <c r="K50" s="20">
        <v>0</v>
      </c>
    </row>
    <row r="51" spans="1:11" ht="15.75" customHeight="1" x14ac:dyDescent="0.25">
      <c r="A51" s="16">
        <v>49</v>
      </c>
      <c r="B51" s="17" t="s">
        <v>64</v>
      </c>
      <c r="C51" s="16" t="s">
        <v>18</v>
      </c>
      <c r="D51" s="16">
        <v>2.9</v>
      </c>
      <c r="E51" s="18">
        <v>70.7</v>
      </c>
      <c r="F51" s="19">
        <v>44300</v>
      </c>
      <c r="G51" s="18">
        <v>62.5</v>
      </c>
      <c r="H51" s="16">
        <v>1</v>
      </c>
      <c r="I51" s="16">
        <v>0</v>
      </c>
      <c r="J51" s="16">
        <v>1</v>
      </c>
      <c r="K51" s="16">
        <v>0</v>
      </c>
    </row>
    <row r="52" spans="1:11" ht="15.75" customHeight="1" x14ac:dyDescent="0.25">
      <c r="A52" s="20">
        <v>50</v>
      </c>
      <c r="B52" s="21" t="s">
        <v>65</v>
      </c>
      <c r="C52" s="20" t="s">
        <v>13</v>
      </c>
      <c r="D52" s="20">
        <v>5.0999999999999996</v>
      </c>
      <c r="E52" s="22">
        <v>90</v>
      </c>
      <c r="F52" s="23">
        <v>29000</v>
      </c>
      <c r="G52" s="22">
        <v>77.900000000000006</v>
      </c>
      <c r="H52" s="20">
        <v>1</v>
      </c>
      <c r="I52" s="20">
        <v>0</v>
      </c>
      <c r="J52" s="20">
        <v>0</v>
      </c>
      <c r="K52" s="20">
        <v>1</v>
      </c>
    </row>
    <row r="53" spans="1:11" ht="15.75" customHeight="1" x14ac:dyDescent="0.25">
      <c r="A53" s="16">
        <v>51</v>
      </c>
      <c r="B53" s="17" t="s">
        <v>66</v>
      </c>
      <c r="C53" s="16" t="s">
        <v>16</v>
      </c>
      <c r="D53" s="16">
        <v>5</v>
      </c>
      <c r="E53" s="18">
        <v>73.3</v>
      </c>
      <c r="F53" s="19">
        <v>12000</v>
      </c>
      <c r="G53" s="18">
        <v>84.3</v>
      </c>
      <c r="H53" s="16">
        <v>1</v>
      </c>
      <c r="I53" s="16">
        <v>1</v>
      </c>
      <c r="J53" s="16">
        <v>0</v>
      </c>
      <c r="K53" s="16">
        <v>0</v>
      </c>
    </row>
    <row r="54" spans="1:11" ht="15.75" customHeight="1" x14ac:dyDescent="0.25">
      <c r="A54" s="20">
        <v>52</v>
      </c>
      <c r="B54" s="21" t="s">
        <v>67</v>
      </c>
      <c r="C54" s="20" t="s">
        <v>28</v>
      </c>
      <c r="D54" s="20">
        <v>6.2</v>
      </c>
      <c r="E54" s="22">
        <v>81.7</v>
      </c>
      <c r="F54" s="23">
        <v>31700</v>
      </c>
      <c r="G54" s="22">
        <v>96.3</v>
      </c>
      <c r="H54" s="20">
        <v>1</v>
      </c>
      <c r="I54" s="20">
        <v>0</v>
      </c>
      <c r="J54" s="20">
        <v>0</v>
      </c>
      <c r="K54" s="20">
        <v>0</v>
      </c>
    </row>
    <row r="55" spans="1:11" ht="15.75" customHeight="1" x14ac:dyDescent="0.25">
      <c r="A55" s="16">
        <v>53</v>
      </c>
      <c r="B55" s="17" t="s">
        <v>68</v>
      </c>
      <c r="C55" s="16" t="s">
        <v>28</v>
      </c>
      <c r="D55" s="16">
        <v>6.4</v>
      </c>
      <c r="E55" s="18">
        <v>70.099999999999994</v>
      </c>
      <c r="F55" s="19">
        <v>50600</v>
      </c>
      <c r="G55" s="18">
        <v>89.1</v>
      </c>
      <c r="H55" s="16">
        <v>1</v>
      </c>
      <c r="I55" s="16">
        <v>0</v>
      </c>
      <c r="J55" s="16">
        <v>0</v>
      </c>
      <c r="K55" s="16">
        <v>0</v>
      </c>
    </row>
    <row r="56" spans="1:11" ht="15.75" customHeight="1" x14ac:dyDescent="0.25">
      <c r="A56" s="20">
        <v>54</v>
      </c>
      <c r="B56" s="21" t="s">
        <v>69</v>
      </c>
      <c r="C56" s="20" t="s">
        <v>13</v>
      </c>
      <c r="D56" s="20">
        <v>0.5</v>
      </c>
      <c r="E56" s="22">
        <v>55.1</v>
      </c>
      <c r="F56" s="23">
        <v>33900</v>
      </c>
      <c r="G56" s="22">
        <v>51.6</v>
      </c>
      <c r="H56" s="20">
        <v>0</v>
      </c>
      <c r="I56" s="20">
        <v>0</v>
      </c>
      <c r="J56" s="20">
        <v>0</v>
      </c>
      <c r="K56" s="20">
        <v>1</v>
      </c>
    </row>
    <row r="57" spans="1:11" ht="15.75" customHeight="1" x14ac:dyDescent="0.25">
      <c r="A57" s="16">
        <v>55</v>
      </c>
      <c r="B57" s="17" t="s">
        <v>70</v>
      </c>
      <c r="C57" s="16" t="s">
        <v>13</v>
      </c>
      <c r="D57" s="16">
        <v>4.0999999999999996</v>
      </c>
      <c r="E57" s="18">
        <v>94.9</v>
      </c>
      <c r="F57" s="19">
        <v>42500</v>
      </c>
      <c r="G57" s="18">
        <v>78.400000000000006</v>
      </c>
      <c r="H57" s="16">
        <v>1</v>
      </c>
      <c r="I57" s="16">
        <v>0</v>
      </c>
      <c r="J57" s="16">
        <v>0</v>
      </c>
      <c r="K57" s="16">
        <v>1</v>
      </c>
    </row>
    <row r="58" spans="1:11" ht="15.75" customHeight="1" x14ac:dyDescent="0.25">
      <c r="A58" s="20">
        <v>56</v>
      </c>
      <c r="B58" s="21" t="s">
        <v>71</v>
      </c>
      <c r="C58" s="20" t="s">
        <v>16</v>
      </c>
      <c r="D58" s="20">
        <v>7</v>
      </c>
      <c r="E58" s="22">
        <v>87.5</v>
      </c>
      <c r="F58" s="23">
        <v>32100</v>
      </c>
      <c r="G58" s="22">
        <v>99.6</v>
      </c>
      <c r="H58" s="20">
        <v>1</v>
      </c>
      <c r="I58" s="20">
        <v>1</v>
      </c>
      <c r="J58" s="20">
        <v>0</v>
      </c>
      <c r="K58" s="20">
        <v>0</v>
      </c>
    </row>
    <row r="59" spans="1:11" ht="15.75" customHeight="1" x14ac:dyDescent="0.25">
      <c r="A59" s="16">
        <v>57</v>
      </c>
      <c r="B59" s="17" t="s">
        <v>72</v>
      </c>
      <c r="C59" s="16" t="s">
        <v>13</v>
      </c>
      <c r="D59" s="16">
        <v>5.8</v>
      </c>
      <c r="E59" s="18">
        <v>94.3</v>
      </c>
      <c r="F59" s="19">
        <v>33500</v>
      </c>
      <c r="G59" s="18">
        <v>93.5</v>
      </c>
      <c r="H59" s="16">
        <v>1</v>
      </c>
      <c r="I59" s="16">
        <v>0</v>
      </c>
      <c r="J59" s="16">
        <v>0</v>
      </c>
      <c r="K59" s="16">
        <v>1</v>
      </c>
    </row>
    <row r="60" spans="1:11" ht="15.75" customHeight="1" x14ac:dyDescent="0.25">
      <c r="A60" s="20">
        <v>58</v>
      </c>
      <c r="B60" s="21" t="s">
        <v>73</v>
      </c>
      <c r="C60" s="20" t="s">
        <v>28</v>
      </c>
      <c r="D60" s="20">
        <v>5.5</v>
      </c>
      <c r="E60" s="22">
        <v>73.7</v>
      </c>
      <c r="F60" s="23">
        <v>24300</v>
      </c>
      <c r="G60" s="22">
        <v>79.2</v>
      </c>
      <c r="H60" s="20">
        <v>1</v>
      </c>
      <c r="I60" s="20">
        <v>0</v>
      </c>
      <c r="J60" s="20">
        <v>0</v>
      </c>
      <c r="K60" s="20">
        <v>0</v>
      </c>
    </row>
    <row r="61" spans="1:11" ht="15.75" customHeight="1" x14ac:dyDescent="0.25">
      <c r="A61" s="16">
        <v>59</v>
      </c>
      <c r="B61" s="17" t="s">
        <v>74</v>
      </c>
      <c r="C61" s="16" t="s">
        <v>16</v>
      </c>
      <c r="D61" s="16">
        <v>5.4</v>
      </c>
      <c r="E61" s="18">
        <v>61.1</v>
      </c>
      <c r="F61" s="19">
        <v>33100</v>
      </c>
      <c r="G61" s="18">
        <v>86.5</v>
      </c>
      <c r="H61" s="16">
        <v>1</v>
      </c>
      <c r="I61" s="16">
        <v>1</v>
      </c>
      <c r="J61" s="16">
        <v>0</v>
      </c>
      <c r="K61" s="16">
        <v>0</v>
      </c>
    </row>
    <row r="62" spans="1:11" ht="15.75" customHeight="1" x14ac:dyDescent="0.25">
      <c r="A62" s="20">
        <v>60</v>
      </c>
      <c r="B62" s="21" t="s">
        <v>75</v>
      </c>
      <c r="C62" s="20" t="s">
        <v>18</v>
      </c>
      <c r="D62" s="20">
        <v>4.7</v>
      </c>
      <c r="E62" s="22">
        <v>78.7</v>
      </c>
      <c r="F62" s="23">
        <v>62700</v>
      </c>
      <c r="G62" s="22">
        <v>79.8</v>
      </c>
      <c r="H62" s="20">
        <v>1</v>
      </c>
      <c r="I62" s="20">
        <v>0</v>
      </c>
      <c r="J62" s="20">
        <v>1</v>
      </c>
      <c r="K62" s="20">
        <v>0</v>
      </c>
    </row>
    <row r="63" spans="1:11" ht="15.75" customHeight="1" x14ac:dyDescent="0.25">
      <c r="A63" s="16">
        <v>61</v>
      </c>
      <c r="B63" s="17" t="s">
        <v>76</v>
      </c>
      <c r="C63" s="16" t="s">
        <v>28</v>
      </c>
      <c r="D63" s="16">
        <v>1.4</v>
      </c>
      <c r="E63" s="18">
        <v>71.599999999999994</v>
      </c>
      <c r="F63" s="19">
        <v>27600</v>
      </c>
      <c r="G63" s="18">
        <v>57.4</v>
      </c>
      <c r="H63" s="16">
        <v>0</v>
      </c>
      <c r="I63" s="16">
        <v>0</v>
      </c>
      <c r="J63" s="16">
        <v>0</v>
      </c>
      <c r="K63" s="16">
        <v>0</v>
      </c>
    </row>
    <row r="64" spans="1:11" ht="15.75" customHeight="1" x14ac:dyDescent="0.25">
      <c r="A64" s="20">
        <v>62</v>
      </c>
      <c r="B64" s="21" t="s">
        <v>77</v>
      </c>
      <c r="C64" s="20" t="s">
        <v>16</v>
      </c>
      <c r="D64" s="20">
        <v>3.5</v>
      </c>
      <c r="E64" s="22">
        <v>100</v>
      </c>
      <c r="F64" s="23">
        <v>43500</v>
      </c>
      <c r="G64" s="22">
        <v>69.3</v>
      </c>
      <c r="H64" s="20">
        <v>1</v>
      </c>
      <c r="I64" s="20">
        <v>1</v>
      </c>
      <c r="J64" s="20">
        <v>0</v>
      </c>
      <c r="K64" s="20">
        <v>0</v>
      </c>
    </row>
    <row r="65" spans="1:11" ht="15.75" customHeight="1" x14ac:dyDescent="0.25">
      <c r="A65" s="16">
        <v>63</v>
      </c>
      <c r="B65" s="17" t="s">
        <v>78</v>
      </c>
      <c r="C65" s="16" t="s">
        <v>28</v>
      </c>
      <c r="D65" s="16">
        <v>5.4</v>
      </c>
      <c r="E65" s="18">
        <v>86.8</v>
      </c>
      <c r="F65" s="19">
        <v>55800</v>
      </c>
      <c r="G65" s="18">
        <v>86.9</v>
      </c>
      <c r="H65" s="16">
        <v>1</v>
      </c>
      <c r="I65" s="16">
        <v>0</v>
      </c>
      <c r="J65" s="16">
        <v>0</v>
      </c>
      <c r="K65" s="16">
        <v>0</v>
      </c>
    </row>
    <row r="66" spans="1:11" ht="15.75" customHeight="1" x14ac:dyDescent="0.25">
      <c r="A66" s="20">
        <v>64</v>
      </c>
      <c r="B66" s="21" t="s">
        <v>79</v>
      </c>
      <c r="C66" s="20" t="s">
        <v>28</v>
      </c>
      <c r="D66" s="20">
        <v>2.7</v>
      </c>
      <c r="E66" s="22">
        <v>87.3</v>
      </c>
      <c r="F66" s="23">
        <v>54500</v>
      </c>
      <c r="G66" s="22">
        <v>80.8</v>
      </c>
      <c r="H66" s="20">
        <v>1</v>
      </c>
      <c r="I66" s="20">
        <v>0</v>
      </c>
      <c r="J66" s="20">
        <v>0</v>
      </c>
      <c r="K66" s="20">
        <v>0</v>
      </c>
    </row>
    <row r="67" spans="1:11" ht="15.75" customHeight="1" x14ac:dyDescent="0.25">
      <c r="A67" s="16">
        <v>65</v>
      </c>
      <c r="B67" s="17" t="s">
        <v>80</v>
      </c>
      <c r="C67" s="16" t="s">
        <v>28</v>
      </c>
      <c r="D67" s="16">
        <v>8.6</v>
      </c>
      <c r="E67" s="18">
        <v>74.7</v>
      </c>
      <c r="F67" s="19">
        <v>37500</v>
      </c>
      <c r="G67" s="18">
        <v>89.4</v>
      </c>
      <c r="H67" s="16">
        <v>1</v>
      </c>
      <c r="I67" s="16">
        <v>0</v>
      </c>
      <c r="J67" s="16">
        <v>0</v>
      </c>
      <c r="K67" s="16">
        <v>0</v>
      </c>
    </row>
    <row r="68" spans="1:11" ht="15.75" customHeight="1" x14ac:dyDescent="0.25">
      <c r="A68" s="20">
        <v>66</v>
      </c>
      <c r="B68" s="21" t="s">
        <v>81</v>
      </c>
      <c r="C68" s="20" t="s">
        <v>13</v>
      </c>
      <c r="D68" s="20">
        <v>2.7</v>
      </c>
      <c r="E68" s="22">
        <v>100</v>
      </c>
      <c r="F68" s="23">
        <v>44700</v>
      </c>
      <c r="G68" s="22">
        <v>64</v>
      </c>
      <c r="H68" s="20">
        <v>1</v>
      </c>
      <c r="I68" s="20">
        <v>0</v>
      </c>
      <c r="J68" s="20">
        <v>0</v>
      </c>
      <c r="K68" s="20">
        <v>1</v>
      </c>
    </row>
    <row r="69" spans="1:11" ht="15.75" customHeight="1" x14ac:dyDescent="0.25">
      <c r="A69" s="16">
        <v>67</v>
      </c>
      <c r="B69" s="17" t="s">
        <v>82</v>
      </c>
      <c r="C69" s="16" t="s">
        <v>13</v>
      </c>
      <c r="D69" s="16">
        <v>4.5999999999999996</v>
      </c>
      <c r="E69" s="18">
        <v>99</v>
      </c>
      <c r="F69" s="19">
        <v>58700</v>
      </c>
      <c r="G69" s="18">
        <v>90.7</v>
      </c>
      <c r="H69" s="16">
        <v>1</v>
      </c>
      <c r="I69" s="16">
        <v>0</v>
      </c>
      <c r="J69" s="16">
        <v>0</v>
      </c>
      <c r="K69" s="16">
        <v>1</v>
      </c>
    </row>
    <row r="70" spans="1:11" ht="15.75" customHeight="1" x14ac:dyDescent="0.25">
      <c r="A70" s="20">
        <v>68</v>
      </c>
      <c r="B70" s="21" t="s">
        <v>83</v>
      </c>
      <c r="C70" s="20" t="s">
        <v>28</v>
      </c>
      <c r="D70" s="20">
        <v>5.6</v>
      </c>
      <c r="E70" s="22">
        <v>99.8</v>
      </c>
      <c r="F70" s="23">
        <v>22600</v>
      </c>
      <c r="G70" s="22">
        <v>86.7</v>
      </c>
      <c r="H70" s="20">
        <v>1</v>
      </c>
      <c r="I70" s="20">
        <v>0</v>
      </c>
      <c r="J70" s="20">
        <v>0</v>
      </c>
      <c r="K70" s="20">
        <v>0</v>
      </c>
    </row>
    <row r="71" spans="1:11" ht="15.75" customHeight="1" x14ac:dyDescent="0.25">
      <c r="A71" s="16">
        <v>69</v>
      </c>
      <c r="B71" s="17" t="s">
        <v>84</v>
      </c>
      <c r="C71" s="16" t="s">
        <v>13</v>
      </c>
      <c r="D71" s="16">
        <v>5.0999999999999996</v>
      </c>
      <c r="E71" s="18">
        <v>80.599999999999994</v>
      </c>
      <c r="F71" s="19">
        <v>39700</v>
      </c>
      <c r="G71" s="18">
        <v>84.4</v>
      </c>
      <c r="H71" s="16">
        <v>1</v>
      </c>
      <c r="I71" s="16">
        <v>0</v>
      </c>
      <c r="J71" s="16">
        <v>0</v>
      </c>
      <c r="K71" s="16">
        <v>1</v>
      </c>
    </row>
    <row r="72" spans="1:11" ht="15.75" customHeight="1" x14ac:dyDescent="0.25">
      <c r="A72" s="20">
        <v>70</v>
      </c>
      <c r="B72" s="21" t="s">
        <v>85</v>
      </c>
      <c r="C72" s="20" t="s">
        <v>28</v>
      </c>
      <c r="D72" s="20">
        <v>6.6</v>
      </c>
      <c r="E72" s="22">
        <v>76</v>
      </c>
      <c r="F72" s="23">
        <v>25400</v>
      </c>
      <c r="G72" s="22">
        <v>77.599999999999994</v>
      </c>
      <c r="H72" s="20">
        <v>1</v>
      </c>
      <c r="I72" s="20">
        <v>0</v>
      </c>
      <c r="J72" s="20">
        <v>0</v>
      </c>
      <c r="K72" s="20">
        <v>0</v>
      </c>
    </row>
    <row r="73" spans="1:11" ht="15.75" customHeight="1" x14ac:dyDescent="0.25">
      <c r="A73" s="16">
        <v>71</v>
      </c>
      <c r="B73" s="17" t="s">
        <v>86</v>
      </c>
      <c r="C73" s="16" t="s">
        <v>28</v>
      </c>
      <c r="D73" s="16">
        <v>0.5</v>
      </c>
      <c r="E73" s="18">
        <v>71.599999999999994</v>
      </c>
      <c r="F73" s="19">
        <v>64800</v>
      </c>
      <c r="G73" s="18">
        <v>65.8</v>
      </c>
      <c r="H73" s="16">
        <v>1</v>
      </c>
      <c r="I73" s="16">
        <v>0</v>
      </c>
      <c r="J73" s="16">
        <v>0</v>
      </c>
      <c r="K73" s="16">
        <v>0</v>
      </c>
    </row>
    <row r="74" spans="1:11" ht="15.75" customHeight="1" x14ac:dyDescent="0.25">
      <c r="A74" s="20">
        <v>72</v>
      </c>
      <c r="B74" s="21" t="s">
        <v>87</v>
      </c>
      <c r="C74" s="20" t="s">
        <v>16</v>
      </c>
      <c r="D74" s="20">
        <v>6.5</v>
      </c>
      <c r="E74" s="22">
        <v>75.8</v>
      </c>
      <c r="F74" s="23">
        <v>47400</v>
      </c>
      <c r="G74" s="22">
        <v>89.8</v>
      </c>
      <c r="H74" s="20">
        <v>1</v>
      </c>
      <c r="I74" s="20">
        <v>1</v>
      </c>
      <c r="J74" s="20">
        <v>0</v>
      </c>
      <c r="K74" s="20">
        <v>0</v>
      </c>
    </row>
    <row r="75" spans="1:11" ht="15.75" customHeight="1" x14ac:dyDescent="0.25">
      <c r="A75" s="16">
        <v>73</v>
      </c>
      <c r="B75" s="17" t="s">
        <v>88</v>
      </c>
      <c r="C75" s="16" t="s">
        <v>13</v>
      </c>
      <c r="D75" s="16">
        <v>3.9</v>
      </c>
      <c r="E75" s="18">
        <v>93.1</v>
      </c>
      <c r="F75" s="19">
        <v>20200</v>
      </c>
      <c r="G75" s="18">
        <v>77.8</v>
      </c>
      <c r="H75" s="16">
        <v>1</v>
      </c>
      <c r="I75" s="16">
        <v>0</v>
      </c>
      <c r="J75" s="16">
        <v>0</v>
      </c>
      <c r="K75" s="16">
        <v>1</v>
      </c>
    </row>
    <row r="76" spans="1:11" ht="15.75" customHeight="1" x14ac:dyDescent="0.25">
      <c r="A76" s="20">
        <v>74</v>
      </c>
      <c r="B76" s="21" t="s">
        <v>89</v>
      </c>
      <c r="C76" s="20" t="s">
        <v>18</v>
      </c>
      <c r="D76" s="20">
        <v>4.9000000000000004</v>
      </c>
      <c r="E76" s="22">
        <v>96.8</v>
      </c>
      <c r="F76" s="23">
        <v>69200</v>
      </c>
      <c r="G76" s="22">
        <v>80.7</v>
      </c>
      <c r="H76" s="20">
        <v>1</v>
      </c>
      <c r="I76" s="20">
        <v>0</v>
      </c>
      <c r="J76" s="20">
        <v>1</v>
      </c>
      <c r="K76" s="20">
        <v>0</v>
      </c>
    </row>
    <row r="77" spans="1:11" ht="15.75" customHeight="1" x14ac:dyDescent="0.25">
      <c r="A77" s="16">
        <v>75</v>
      </c>
      <c r="B77" s="17" t="s">
        <v>90</v>
      </c>
      <c r="C77" s="16" t="s">
        <v>18</v>
      </c>
      <c r="D77" s="16">
        <v>4.4000000000000004</v>
      </c>
      <c r="E77" s="18">
        <v>58.6</v>
      </c>
      <c r="F77" s="19">
        <v>28200</v>
      </c>
      <c r="G77" s="18">
        <v>61.6</v>
      </c>
      <c r="H77" s="16">
        <v>1</v>
      </c>
      <c r="I77" s="16">
        <v>0</v>
      </c>
      <c r="J77" s="16">
        <v>1</v>
      </c>
      <c r="K77" s="16">
        <v>0</v>
      </c>
    </row>
    <row r="78" spans="1:11" ht="15.75" customHeight="1" x14ac:dyDescent="0.25">
      <c r="A78" s="20">
        <v>76</v>
      </c>
      <c r="B78" s="21" t="s">
        <v>91</v>
      </c>
      <c r="C78" s="20" t="s">
        <v>16</v>
      </c>
      <c r="D78" s="20">
        <v>4.0999999999999996</v>
      </c>
      <c r="E78" s="22">
        <v>68.8</v>
      </c>
      <c r="F78" s="23">
        <v>23600</v>
      </c>
      <c r="G78" s="22">
        <v>84.3</v>
      </c>
      <c r="H78" s="20">
        <v>1</v>
      </c>
      <c r="I78" s="20">
        <v>1</v>
      </c>
      <c r="J78" s="20">
        <v>0</v>
      </c>
      <c r="K78" s="20">
        <v>0</v>
      </c>
    </row>
    <row r="79" spans="1:11" ht="15.75" customHeight="1" x14ac:dyDescent="0.25">
      <c r="A79" s="16">
        <v>77</v>
      </c>
      <c r="B79" s="17" t="s">
        <v>92</v>
      </c>
      <c r="C79" s="16" t="s">
        <v>13</v>
      </c>
      <c r="D79" s="16">
        <v>4.5</v>
      </c>
      <c r="E79" s="18">
        <v>87.8</v>
      </c>
      <c r="F79" s="19">
        <v>22200</v>
      </c>
      <c r="G79" s="18">
        <v>82.4</v>
      </c>
      <c r="H79" s="16">
        <v>1</v>
      </c>
      <c r="I79" s="16">
        <v>0</v>
      </c>
      <c r="J79" s="16">
        <v>0</v>
      </c>
      <c r="K79" s="16">
        <v>1</v>
      </c>
    </row>
    <row r="80" spans="1:11" ht="15.75" customHeight="1" x14ac:dyDescent="0.25">
      <c r="A80" s="20">
        <v>78</v>
      </c>
      <c r="B80" s="21" t="s">
        <v>93</v>
      </c>
      <c r="C80" s="20" t="s">
        <v>16</v>
      </c>
      <c r="D80" s="20">
        <v>6.5</v>
      </c>
      <c r="E80" s="22">
        <v>87</v>
      </c>
      <c r="F80" s="23">
        <v>56000</v>
      </c>
      <c r="G80" s="22">
        <v>86</v>
      </c>
      <c r="H80" s="20">
        <v>1</v>
      </c>
      <c r="I80" s="20">
        <v>1</v>
      </c>
      <c r="J80" s="20">
        <v>0</v>
      </c>
      <c r="K80" s="20">
        <v>0</v>
      </c>
    </row>
    <row r="81" spans="1:11" ht="15.75" customHeight="1" x14ac:dyDescent="0.25">
      <c r="A81" s="16">
        <v>79</v>
      </c>
      <c r="B81" s="17" t="s">
        <v>94</v>
      </c>
      <c r="C81" s="16" t="s">
        <v>28</v>
      </c>
      <c r="D81" s="16">
        <v>3.7</v>
      </c>
      <c r="E81" s="18">
        <v>71.3</v>
      </c>
      <c r="F81" s="19">
        <v>34600</v>
      </c>
      <c r="G81" s="18">
        <v>68.599999999999994</v>
      </c>
      <c r="H81" s="16">
        <v>1</v>
      </c>
      <c r="I81" s="16">
        <v>0</v>
      </c>
      <c r="J81" s="16">
        <v>0</v>
      </c>
      <c r="K81" s="16">
        <v>0</v>
      </c>
    </row>
    <row r="82" spans="1:11" ht="15.75" customHeight="1" x14ac:dyDescent="0.25">
      <c r="A82" s="20">
        <v>80</v>
      </c>
      <c r="B82" s="21" t="s">
        <v>95</v>
      </c>
      <c r="C82" s="20" t="s">
        <v>16</v>
      </c>
      <c r="D82" s="20">
        <v>2.6</v>
      </c>
      <c r="E82" s="22">
        <v>84.7</v>
      </c>
      <c r="F82" s="23">
        <v>25500</v>
      </c>
      <c r="G82" s="22">
        <v>66.599999999999994</v>
      </c>
      <c r="H82" s="20">
        <v>1</v>
      </c>
      <c r="I82" s="20">
        <v>1</v>
      </c>
      <c r="J82" s="20">
        <v>0</v>
      </c>
      <c r="K82" s="20">
        <v>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58C0"/>
  </sheetPr>
  <dimension ref="A1:H18"/>
  <sheetViews>
    <sheetView zoomScaleNormal="100" workbookViewId="0">
      <selection sqref="A1:H1"/>
    </sheetView>
  </sheetViews>
  <sheetFormatPr defaultColWidth="8.7109375" defaultRowHeight="15" x14ac:dyDescent="0.25"/>
  <cols>
    <col min="1" max="1" width="14" customWidth="1"/>
    <col min="2" max="4" width="10" customWidth="1"/>
    <col min="5" max="7" width="13" customWidth="1"/>
    <col min="8" max="8" width="10" customWidth="1"/>
  </cols>
  <sheetData>
    <row r="1" spans="1:8" ht="27.75" customHeight="1" x14ac:dyDescent="0.25">
      <c r="A1" s="13" t="s">
        <v>96</v>
      </c>
      <c r="B1" s="13"/>
      <c r="C1" s="13"/>
      <c r="D1" s="13"/>
      <c r="E1" s="13"/>
      <c r="F1" s="13"/>
      <c r="G1" s="13"/>
      <c r="H1" s="13"/>
    </row>
    <row r="2" spans="1:8" ht="19.5" customHeight="1" x14ac:dyDescent="0.25">
      <c r="A2" s="24" t="s">
        <v>97</v>
      </c>
      <c r="B2" s="24" t="s">
        <v>4</v>
      </c>
      <c r="C2" s="24" t="s">
        <v>5</v>
      </c>
      <c r="D2" s="24" t="s">
        <v>6</v>
      </c>
      <c r="E2" s="24" t="s">
        <v>7</v>
      </c>
    </row>
    <row r="3" spans="1:8" ht="18" customHeight="1" x14ac:dyDescent="0.25">
      <c r="A3" s="25" t="s">
        <v>98</v>
      </c>
      <c r="B3" s="26">
        <f>AVERAGE('📊 RawData'!D3:D82)</f>
        <v>4.9312499999999995</v>
      </c>
      <c r="C3" s="26">
        <f>AVERAGE('📊 RawData'!E3:E82)</f>
        <v>79.037500000000051</v>
      </c>
      <c r="D3" s="27">
        <f>AVERAGE('📊 RawData'!F3:F82)</f>
        <v>38330</v>
      </c>
      <c r="E3" s="26">
        <f>AVERAGE('📊 RawData'!G3:G82)</f>
        <v>79.353750000000005</v>
      </c>
    </row>
    <row r="4" spans="1:8" ht="18" customHeight="1" x14ac:dyDescent="0.25">
      <c r="A4" s="28" t="s">
        <v>99</v>
      </c>
      <c r="B4" s="29">
        <f>MEDIAN('📊 RawData'!D3:D82)</f>
        <v>4.95</v>
      </c>
      <c r="C4" s="29">
        <f>MEDIAN('📊 RawData'!E3:E82)</f>
        <v>77.849999999999994</v>
      </c>
      <c r="D4" s="30">
        <f>MEDIAN('📊 RawData'!F3:F82)</f>
        <v>37150</v>
      </c>
      <c r="E4" s="29">
        <f>MEDIAN('📊 RawData'!G3:G82)</f>
        <v>81.150000000000006</v>
      </c>
    </row>
    <row r="5" spans="1:8" ht="18" customHeight="1" x14ac:dyDescent="0.25">
      <c r="A5" s="25" t="s">
        <v>100</v>
      </c>
      <c r="B5" s="26">
        <f>STDEV('📊 RawData'!D3:D82)</f>
        <v>1.9456926624492556</v>
      </c>
      <c r="C5" s="26">
        <f>STDEV('📊 RawData'!E3:E82)</f>
        <v>11.599098339029435</v>
      </c>
      <c r="D5" s="27">
        <f>STDEV('📊 RawData'!F3:F82)</f>
        <v>13585.774391722571</v>
      </c>
      <c r="E5" s="26">
        <f>STDEV('📊 RawData'!G3:G82)</f>
        <v>11.635257894254984</v>
      </c>
    </row>
    <row r="6" spans="1:8" ht="18" customHeight="1" x14ac:dyDescent="0.25">
      <c r="A6" s="28" t="s">
        <v>101</v>
      </c>
      <c r="B6" s="29">
        <f>MIN('📊 RawData'!D3:D82)</f>
        <v>0.5</v>
      </c>
      <c r="C6" s="29">
        <f>MIN('📊 RawData'!E3:E82)</f>
        <v>47.4</v>
      </c>
      <c r="D6" s="30">
        <f>MIN('📊 RawData'!F3:F82)</f>
        <v>12000</v>
      </c>
      <c r="E6" s="29">
        <f>MIN('📊 RawData'!G3:G82)</f>
        <v>51.6</v>
      </c>
    </row>
    <row r="7" spans="1:8" ht="18" customHeight="1" x14ac:dyDescent="0.25">
      <c r="A7" s="25" t="s">
        <v>102</v>
      </c>
      <c r="B7" s="26">
        <f>MAX('📊 RawData'!D3:D82)</f>
        <v>9.6</v>
      </c>
      <c r="C7" s="26">
        <f>MAX('📊 RawData'!E3:E82)</f>
        <v>100</v>
      </c>
      <c r="D7" s="27">
        <f>MAX('📊 RawData'!F3:F82)</f>
        <v>69200</v>
      </c>
      <c r="E7" s="26">
        <f>MAX('📊 RawData'!G3:G82)</f>
        <v>100</v>
      </c>
    </row>
    <row r="8" spans="1:8" ht="18" customHeight="1" x14ac:dyDescent="0.25">
      <c r="A8" s="28" t="s">
        <v>103</v>
      </c>
      <c r="B8" s="29">
        <f>SKEW('📊 RawData'!D3:D82)</f>
        <v>-5.6602062953863864E-2</v>
      </c>
      <c r="C8" s="29">
        <f>SKEW('📊 RawData'!E3:E82)</f>
        <v>-0.10504193283249537</v>
      </c>
      <c r="D8" s="30">
        <f>SKEW('📊 RawData'!F3:F82)</f>
        <v>0.15435372189311236</v>
      </c>
      <c r="E8" s="29">
        <f>SKEW('📊 RawData'!G3:G82)</f>
        <v>-0.40280781623999729</v>
      </c>
    </row>
    <row r="9" spans="1:8" ht="18" customHeight="1" x14ac:dyDescent="0.25">
      <c r="A9" s="25" t="s">
        <v>104</v>
      </c>
      <c r="B9" s="26">
        <f>QUARTILE('📊 RawData'!D3:D82,3)-QUARTILE('📊 RawData'!D3:D82,1)</f>
        <v>2.5999999999999996</v>
      </c>
      <c r="C9" s="26">
        <f>QUARTILE('📊 RawData'!E3:E82,3)-QUARTILE('📊 RawData'!E3:E82,1)</f>
        <v>15.949999999999989</v>
      </c>
      <c r="D9" s="27">
        <f>QUARTILE('📊 RawData'!F3:F82,3)-QUARTILE('📊 RawData'!F3:F82,1)</f>
        <v>19125</v>
      </c>
      <c r="E9" s="26">
        <f>QUARTILE('📊 RawData'!G3:G82,3)-QUARTILE('📊 RawData'!G3:G82,1)</f>
        <v>17.375</v>
      </c>
    </row>
    <row r="10" spans="1:8" ht="18" customHeight="1" x14ac:dyDescent="0.25">
      <c r="A10" s="28" t="s">
        <v>105</v>
      </c>
      <c r="B10" s="29">
        <f>COUNT('📊 RawData'!D3:D82)</f>
        <v>80</v>
      </c>
      <c r="C10" s="29">
        <f>COUNT('📊 RawData'!E3:E82)</f>
        <v>80</v>
      </c>
      <c r="D10" s="30">
        <f>COUNT('📊 RawData'!F3:F82)</f>
        <v>80</v>
      </c>
      <c r="E10" s="29">
        <f>COUNT('📊 RawData'!G3:G82)</f>
        <v>80</v>
      </c>
    </row>
    <row r="12" spans="1:8" ht="19.5" customHeight="1" x14ac:dyDescent="0.25">
      <c r="A12" s="12" t="s">
        <v>106</v>
      </c>
      <c r="B12" s="12"/>
      <c r="C12" s="12"/>
      <c r="D12" s="12"/>
      <c r="E12" s="12"/>
      <c r="F12" s="12"/>
      <c r="G12" s="12"/>
      <c r="H12" s="12"/>
    </row>
    <row r="14" spans="1:8" ht="24" customHeight="1" x14ac:dyDescent="0.25">
      <c r="A14" s="11" t="s">
        <v>107</v>
      </c>
      <c r="B14" s="11"/>
      <c r="C14" s="11"/>
      <c r="D14" s="11"/>
      <c r="E14" s="11"/>
      <c r="F14" s="11"/>
      <c r="G14" s="11"/>
      <c r="H14" s="11"/>
    </row>
    <row r="15" spans="1:8" ht="19.5" customHeight="1" x14ac:dyDescent="0.25">
      <c r="A15" s="15" t="s">
        <v>108</v>
      </c>
      <c r="B15" s="15" t="s">
        <v>109</v>
      </c>
      <c r="C15" s="15" t="s">
        <v>110</v>
      </c>
      <c r="D15" s="15" t="s">
        <v>111</v>
      </c>
      <c r="E15" s="15" t="s">
        <v>112</v>
      </c>
      <c r="F15" s="15" t="s">
        <v>113</v>
      </c>
      <c r="G15" s="15" t="s">
        <v>114</v>
      </c>
      <c r="H15" s="15" t="s">
        <v>115</v>
      </c>
    </row>
    <row r="16" spans="1:8" ht="18" customHeight="1" x14ac:dyDescent="0.25">
      <c r="A16" s="31" t="s">
        <v>4</v>
      </c>
      <c r="B16" s="26">
        <f>QUARTILE('📊 RawData'!D3:D82,1)</f>
        <v>3.7</v>
      </c>
      <c r="C16" s="26">
        <f>QUARTILE('📊 RawData'!D3:D82,3)</f>
        <v>6.3</v>
      </c>
      <c r="D16" s="26">
        <f>C16-B16</f>
        <v>2.5999999999999996</v>
      </c>
      <c r="E16" s="26">
        <f>B16-1.5*D16</f>
        <v>-0.19999999999999929</v>
      </c>
      <c r="F16" s="26">
        <f>C16+1.5*D16</f>
        <v>10.199999999999999</v>
      </c>
      <c r="G16" s="32">
        <f>COUNTIF('📊 RawData'!D3:D82,"&lt;"&amp;E16)+COUNTIF('📊 RawData'!D3:D82,"&gt;"&amp;F16)</f>
        <v>0</v>
      </c>
      <c r="H16" s="33">
        <f>G16/80</f>
        <v>0</v>
      </c>
    </row>
    <row r="17" spans="1:8" ht="18" customHeight="1" x14ac:dyDescent="0.25">
      <c r="A17" s="34" t="s">
        <v>5</v>
      </c>
      <c r="B17" s="29">
        <f>QUARTILE('📊 RawData'!E3:E82,1)</f>
        <v>71.275000000000006</v>
      </c>
      <c r="C17" s="29">
        <f>QUARTILE('📊 RawData'!E3:E82,3)</f>
        <v>87.224999999999994</v>
      </c>
      <c r="D17" s="29">
        <f>C17-B17</f>
        <v>15.949999999999989</v>
      </c>
      <c r="E17" s="29">
        <f>B17-1.5*D17</f>
        <v>47.350000000000023</v>
      </c>
      <c r="F17" s="29">
        <f>C17+1.5*D17</f>
        <v>111.14999999999998</v>
      </c>
      <c r="G17" s="35">
        <f>COUNTIF('📊 RawData'!E3:E82,"&lt;"&amp;E17)+COUNTIF('📊 RawData'!E3:E82,"&gt;"&amp;F17)</f>
        <v>0</v>
      </c>
      <c r="H17" s="36">
        <f>G17/80</f>
        <v>0</v>
      </c>
    </row>
    <row r="18" spans="1:8" ht="18" customHeight="1" x14ac:dyDescent="0.25">
      <c r="A18" s="31" t="s">
        <v>7</v>
      </c>
      <c r="B18" s="26">
        <f>QUARTILE('📊 RawData'!G3:G82,1)</f>
        <v>70.474999999999994</v>
      </c>
      <c r="C18" s="26">
        <f>QUARTILE('📊 RawData'!G3:G82,3)</f>
        <v>87.85</v>
      </c>
      <c r="D18" s="26">
        <f>C18-B18</f>
        <v>17.375</v>
      </c>
      <c r="E18" s="26">
        <f>B18-1.5*D18</f>
        <v>44.412499999999994</v>
      </c>
      <c r="F18" s="26">
        <f>C18+1.5*D18</f>
        <v>113.91249999999999</v>
      </c>
      <c r="G18" s="32">
        <f>COUNTIF('📊 RawData'!G3:G82,"&lt;"&amp;E18)+COUNTIF('📊 RawData'!G3:G82,"&gt;"&amp;F18)</f>
        <v>0</v>
      </c>
      <c r="H18" s="33">
        <f>G18/80</f>
        <v>0</v>
      </c>
    </row>
  </sheetData>
  <mergeCells count="3">
    <mergeCell ref="A1:H1"/>
    <mergeCell ref="A12:H12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A5F"/>
  </sheetPr>
  <dimension ref="A1:J19"/>
  <sheetViews>
    <sheetView zoomScaleNormal="100" workbookViewId="0">
      <selection sqref="A1:J1"/>
    </sheetView>
  </sheetViews>
  <sheetFormatPr defaultColWidth="8.7109375" defaultRowHeight="15" x14ac:dyDescent="0.25"/>
  <cols>
    <col min="1" max="1" width="18" customWidth="1"/>
    <col min="2" max="6" width="13" customWidth="1"/>
    <col min="7" max="7" width="18" customWidth="1"/>
    <col min="8" max="8" width="14" customWidth="1"/>
    <col min="9" max="9" width="20" customWidth="1"/>
    <col min="10" max="10" width="12" customWidth="1"/>
  </cols>
  <sheetData>
    <row r="1" spans="1:10" ht="27.75" customHeight="1" x14ac:dyDescent="0.25">
      <c r="A1" s="14" t="s">
        <v>116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25">
      <c r="A2" s="10" t="s">
        <v>117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1.75" customHeight="1" x14ac:dyDescent="0.25">
      <c r="A4" s="37" t="s">
        <v>118</v>
      </c>
      <c r="B4" s="37" t="s">
        <v>4</v>
      </c>
      <c r="C4" s="37" t="s">
        <v>5</v>
      </c>
      <c r="D4" s="37" t="s">
        <v>6</v>
      </c>
      <c r="E4" s="37" t="s">
        <v>7</v>
      </c>
      <c r="G4" s="9" t="s">
        <v>119</v>
      </c>
      <c r="H4" s="9"/>
      <c r="I4" s="9"/>
      <c r="J4" s="9"/>
    </row>
    <row r="5" spans="1:10" ht="24" customHeight="1" x14ac:dyDescent="0.25">
      <c r="A5" s="37" t="s">
        <v>4</v>
      </c>
      <c r="B5" s="38">
        <f>CORREL('📊 RawData'!D3:D82,'📊 RawData'!D3:D82)</f>
        <v>0.99999999999999989</v>
      </c>
      <c r="C5" s="38">
        <f>CORREL('📊 RawData'!D3:D82,'📊 RawData'!E3:E82)</f>
        <v>0.18980164793175747</v>
      </c>
      <c r="D5" s="38">
        <f>CORREL('📊 RawData'!D3:D82,'📊 RawData'!F3:F82)</f>
        <v>-6.922730577360757E-2</v>
      </c>
      <c r="E5" s="38">
        <f>CORREL('📊 RawData'!D3:D82,'📊 RawData'!G3:G82)</f>
        <v>0.79018359887693856</v>
      </c>
      <c r="G5" s="39" t="s">
        <v>108</v>
      </c>
      <c r="H5" s="39" t="s">
        <v>120</v>
      </c>
      <c r="I5" s="39" t="s">
        <v>121</v>
      </c>
      <c r="J5" s="39" t="s">
        <v>122</v>
      </c>
    </row>
    <row r="6" spans="1:10" ht="18" customHeight="1" x14ac:dyDescent="0.25">
      <c r="A6" s="37" t="s">
        <v>5</v>
      </c>
      <c r="B6" s="38">
        <f>CORREL('📊 RawData'!E3:E82,'📊 RawData'!D3:D82)</f>
        <v>0.18980164793175747</v>
      </c>
      <c r="C6" s="38">
        <f>CORREL('📊 RawData'!E3:E82,'📊 RawData'!E3:E82)</f>
        <v>0.99999999999999978</v>
      </c>
      <c r="D6" s="38">
        <f>CORREL('📊 RawData'!E3:E82,'📊 RawData'!F3:F82)</f>
        <v>9.883094624953237E-2</v>
      </c>
      <c r="E6" s="38">
        <f>CORREL('📊 RawData'!E3:E82,'📊 RawData'!G3:G82)</f>
        <v>0.40043615223812573</v>
      </c>
      <c r="G6" s="40" t="s">
        <v>4</v>
      </c>
      <c r="H6" s="41">
        <f>CORREL('📊 RawData'!D3:D82,'📊 RawData'!G3:G82)</f>
        <v>0.79018359887693856</v>
      </c>
      <c r="I6" s="42">
        <f>H6^2</f>
        <v>0.62439011993411053</v>
      </c>
      <c r="J6" s="43" t="str">
        <f>IF(I6&gt;0.01,"✓ Include","✗ Drop")</f>
        <v>✓ Include</v>
      </c>
    </row>
    <row r="7" spans="1:10" ht="18" customHeight="1" x14ac:dyDescent="0.25">
      <c r="A7" s="37" t="s">
        <v>6</v>
      </c>
      <c r="B7" s="38">
        <f>CORREL('📊 RawData'!F3:F82,'📊 RawData'!D3:D82)</f>
        <v>-6.922730577360757E-2</v>
      </c>
      <c r="C7" s="38">
        <f>CORREL('📊 RawData'!F3:F82,'📊 RawData'!E3:E82)</f>
        <v>9.883094624953237E-2</v>
      </c>
      <c r="D7" s="38">
        <f>CORREL('📊 RawData'!F3:F82,'📊 RawData'!F3:F82)</f>
        <v>1.0000000000000002</v>
      </c>
      <c r="E7" s="38">
        <f>CORREL('📊 RawData'!F3:F82,'📊 RawData'!G3:G82)</f>
        <v>-6.6763239984225509E-2</v>
      </c>
      <c r="G7" s="44" t="s">
        <v>5</v>
      </c>
      <c r="H7" s="45">
        <f>CORREL('📊 RawData'!E3:E82,'📊 RawData'!G3:G82)</f>
        <v>0.40043615223812573</v>
      </c>
      <c r="I7" s="46">
        <f>H7^2</f>
        <v>0.1603491120192754</v>
      </c>
      <c r="J7" s="47" t="str">
        <f>IF(I7&gt;0.01,"✓ Include","✗ Drop")</f>
        <v>✓ Include</v>
      </c>
    </row>
    <row r="8" spans="1:10" ht="18" customHeight="1" x14ac:dyDescent="0.25">
      <c r="A8" s="37" t="s">
        <v>7</v>
      </c>
      <c r="B8" s="38">
        <f>CORREL('📊 RawData'!G3:G82,'📊 RawData'!D3:D82)</f>
        <v>0.79018359887693856</v>
      </c>
      <c r="C8" s="38">
        <f>CORREL('📊 RawData'!G3:G82,'📊 RawData'!E3:E82)</f>
        <v>0.40043615223812573</v>
      </c>
      <c r="D8" s="38">
        <f>CORREL('📊 RawData'!G3:G82,'📊 RawData'!F3:F82)</f>
        <v>-6.6763239984225509E-2</v>
      </c>
      <c r="E8" s="38">
        <f>CORREL('📊 RawData'!G3:G82,'📊 RawData'!G3:G82)</f>
        <v>1</v>
      </c>
      <c r="G8" s="40" t="s">
        <v>6</v>
      </c>
      <c r="H8" s="41">
        <f>CORREL('📊 RawData'!F3:F82,'📊 RawData'!G3:G82)</f>
        <v>-6.6763239984225509E-2</v>
      </c>
      <c r="I8" s="42">
        <f>H8^2</f>
        <v>4.4573302131912873E-3</v>
      </c>
      <c r="J8" s="43" t="str">
        <f>IF(I8&gt;0.01,"✓ Include","✗ Drop")</f>
        <v>✗ Drop</v>
      </c>
    </row>
    <row r="10" spans="1:10" ht="18" customHeight="1" x14ac:dyDescent="0.25">
      <c r="A10" s="48" t="s">
        <v>123</v>
      </c>
      <c r="B10" s="49" t="s">
        <v>124</v>
      </c>
      <c r="G10" s="8" t="s">
        <v>125</v>
      </c>
      <c r="H10" s="8"/>
      <c r="I10" s="8"/>
      <c r="J10" s="8"/>
    </row>
    <row r="11" spans="1:10" ht="18" customHeight="1" x14ac:dyDescent="0.25">
      <c r="B11" s="50" t="s">
        <v>126</v>
      </c>
      <c r="G11" s="7" t="s">
        <v>127</v>
      </c>
      <c r="H11" s="7"/>
      <c r="I11" s="7"/>
      <c r="J11" s="7"/>
    </row>
    <row r="12" spans="1:10" ht="18" customHeight="1" x14ac:dyDescent="0.25">
      <c r="B12" s="51" t="s">
        <v>128</v>
      </c>
      <c r="G12" s="6" t="s">
        <v>129</v>
      </c>
      <c r="H12" s="6"/>
      <c r="I12" s="6"/>
      <c r="J12" s="6"/>
    </row>
    <row r="13" spans="1:10" ht="18" customHeight="1" x14ac:dyDescent="0.25">
      <c r="B13" s="52" t="s">
        <v>130</v>
      </c>
      <c r="G13" s="5" t="s">
        <v>131</v>
      </c>
      <c r="H13" s="5"/>
      <c r="I13" s="5"/>
      <c r="J13" s="5"/>
    </row>
    <row r="15" spans="1:10" ht="21.75" customHeight="1" x14ac:dyDescent="0.25">
      <c r="A15" s="4" t="s">
        <v>132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53" t="s">
        <v>133</v>
      </c>
      <c r="B16" s="53" t="s">
        <v>134</v>
      </c>
      <c r="C16" s="53" t="s">
        <v>135</v>
      </c>
      <c r="D16" s="53" t="s">
        <v>136</v>
      </c>
      <c r="E16" s="53" t="s">
        <v>137</v>
      </c>
    </row>
    <row r="17" spans="1:5" ht="18" customHeight="1" x14ac:dyDescent="0.25">
      <c r="A17" s="54" t="s">
        <v>138</v>
      </c>
      <c r="B17" s="41">
        <f>CORREL('📊 RawData'!D3:D82,'📊 RawData'!E3:E82)</f>
        <v>0.18980164793175747</v>
      </c>
      <c r="C17" s="41">
        <f>ABS(B17)</f>
        <v>0.18980164793175747</v>
      </c>
      <c r="D17" s="55" t="str">
        <f>IF(C17&gt;0.7,"⚠ YES — Multicollinearity!","✓ OK")</f>
        <v>✓ OK</v>
      </c>
      <c r="E17" s="55" t="str">
        <f>IF(C17&gt;0.7,"Drop weaker predictor","Keep both")</f>
        <v>Keep both</v>
      </c>
    </row>
    <row r="18" spans="1:5" ht="18" customHeight="1" x14ac:dyDescent="0.25">
      <c r="A18" s="56" t="s">
        <v>139</v>
      </c>
      <c r="B18" s="45">
        <f>CORREL('📊 RawData'!D3:D82,'📊 RawData'!F3:F82)</f>
        <v>-6.922730577360757E-2</v>
      </c>
      <c r="C18" s="45">
        <f>ABS(B18)</f>
        <v>6.922730577360757E-2</v>
      </c>
      <c r="D18" s="57" t="str">
        <f>IF(C18&gt;0.7,"⚠ YES — Multicollinearity!","✓ OK")</f>
        <v>✓ OK</v>
      </c>
      <c r="E18" s="57" t="str">
        <f>IF(C18&gt;0.7,"Drop weaker predictor","Keep both")</f>
        <v>Keep both</v>
      </c>
    </row>
    <row r="19" spans="1:5" ht="18" customHeight="1" x14ac:dyDescent="0.25">
      <c r="A19" s="54" t="s">
        <v>140</v>
      </c>
      <c r="B19" s="41">
        <f>CORREL('📊 RawData'!E3:E82,'📊 RawData'!F3:F82)</f>
        <v>9.883094624953237E-2</v>
      </c>
      <c r="C19" s="41">
        <f>ABS(B19)</f>
        <v>9.883094624953237E-2</v>
      </c>
      <c r="D19" s="55" t="str">
        <f>IF(C19&gt;0.7,"⚠ YES — Multicollinearity!","✓ OK")</f>
        <v>✓ OK</v>
      </c>
      <c r="E19" s="55" t="str">
        <f>IF(C19&gt;0.7,"Drop weaker predictor","Keep both")</f>
        <v>Keep both</v>
      </c>
    </row>
  </sheetData>
  <mergeCells count="8">
    <mergeCell ref="G12:J12"/>
    <mergeCell ref="G13:J13"/>
    <mergeCell ref="A15:J15"/>
    <mergeCell ref="A1:J1"/>
    <mergeCell ref="A2:J2"/>
    <mergeCell ref="G4:J4"/>
    <mergeCell ref="G10:J10"/>
    <mergeCell ref="G11:J11"/>
  </mergeCells>
  <conditionalFormatting sqref="B5:E8">
    <cfRule type="colorScale" priority="2">
      <colorScale>
        <cfvo type="num" val="-1"/>
        <cfvo type="num" val="0"/>
        <cfvo type="num" val="1"/>
        <color rgb="FFFF4444"/>
        <color rgb="FFFFFFFF"/>
        <color rgb="FF00AA66"/>
      </colorScale>
    </cfRule>
  </conditionalFormatting>
  <conditionalFormatting sqref="I6:I8">
    <cfRule type="dataBar" priority="3">
      <dataBar>
        <cfvo type="num" val="0"/>
        <cfvo type="num" val="1"/>
        <color rgb="FF0D7A5F"/>
      </dataBar>
      <extLst>
        <ext xmlns:x14="http://schemas.microsoft.com/office/spreadsheetml/2009/9/main" uri="{B025F937-C7B1-47D3-B67F-A62EFF666E3E}">
          <x14:id>{83A4EEF4-3BC1-46B8-95E0-8EA74119F326}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A4EEF4-3BC1-46B8-95E0-8EA74119F32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D7A5F"/>
            </x14:dataBar>
          </x14:cfRule>
          <xm:sqref>I6:I8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58C0"/>
  </sheetPr>
  <dimension ref="A1:P105"/>
  <sheetViews>
    <sheetView zoomScaleNormal="100" workbookViewId="0">
      <selection activeCell="M37" sqref="M37"/>
    </sheetView>
  </sheetViews>
  <sheetFormatPr defaultColWidth="8.7109375" defaultRowHeight="15" x14ac:dyDescent="0.25"/>
  <cols>
    <col min="1" max="1" width="16" customWidth="1"/>
    <col min="2" max="2" width="12" customWidth="1"/>
    <col min="3" max="3" width="10" customWidth="1"/>
    <col min="4" max="5" width="12" customWidth="1"/>
    <col min="6" max="6" width="4" customWidth="1"/>
    <col min="13" max="13" width="16" customWidth="1"/>
    <col min="14" max="14" width="12" customWidth="1"/>
  </cols>
  <sheetData>
    <row r="1" spans="1:16" ht="27.75" customHeight="1" x14ac:dyDescent="0.25">
      <c r="A1" s="13" t="s">
        <v>141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6" ht="21.75" customHeight="1" x14ac:dyDescent="0.25">
      <c r="A3" s="3" t="s">
        <v>142</v>
      </c>
      <c r="B3" s="3"/>
      <c r="C3" s="3"/>
      <c r="D3" s="3"/>
      <c r="M3" s="11" t="s">
        <v>143</v>
      </c>
      <c r="N3" s="11"/>
      <c r="O3" s="11"/>
      <c r="P3" s="11"/>
    </row>
    <row r="4" spans="1:16" ht="21.75" customHeight="1" x14ac:dyDescent="0.25">
      <c r="A4" s="37" t="s">
        <v>144</v>
      </c>
      <c r="B4" s="37" t="s">
        <v>113</v>
      </c>
      <c r="C4" s="37" t="s">
        <v>145</v>
      </c>
      <c r="D4" s="37" t="s">
        <v>146</v>
      </c>
      <c r="M4" s="54" t="s">
        <v>147</v>
      </c>
      <c r="N4" s="58">
        <f>COUNTA('📊 RawData'!A3:A82)</f>
        <v>80</v>
      </c>
    </row>
    <row r="5" spans="1:16" ht="21.75" customHeight="1" x14ac:dyDescent="0.25">
      <c r="A5" s="43" t="s">
        <v>148</v>
      </c>
      <c r="B5" s="43">
        <v>29</v>
      </c>
      <c r="C5" s="43">
        <f>COUNTIFS('📊 RawData'!G3:G82,"&gt;="&amp;20,'📊 RawData'!G3:G82,"&lt;="&amp;29)</f>
        <v>0</v>
      </c>
      <c r="D5" s="42">
        <f t="shared" ref="D5:D13" si="0">C5/80</f>
        <v>0</v>
      </c>
      <c r="M5" s="56" t="s">
        <v>149</v>
      </c>
      <c r="N5" s="59">
        <f>AVERAGE('📊 RawData'!G3:G82)</f>
        <v>79.353750000000005</v>
      </c>
    </row>
    <row r="6" spans="1:16" ht="21.75" customHeight="1" x14ac:dyDescent="0.25">
      <c r="A6" s="47" t="s">
        <v>150</v>
      </c>
      <c r="B6" s="47">
        <v>39</v>
      </c>
      <c r="C6" s="47">
        <f>COUNTIFS('📊 RawData'!G3:G82,"&gt;="&amp;30,'📊 RawData'!G3:G82,"&lt;="&amp;39)</f>
        <v>0</v>
      </c>
      <c r="D6" s="46">
        <f t="shared" si="0"/>
        <v>0</v>
      </c>
      <c r="M6" s="54" t="s">
        <v>151</v>
      </c>
      <c r="N6" s="60">
        <f>COUNTIF('📊 RawData'!H3:H82,1)/80</f>
        <v>0.95</v>
      </c>
    </row>
    <row r="7" spans="1:16" ht="21.75" customHeight="1" x14ac:dyDescent="0.25">
      <c r="A7" s="43" t="s">
        <v>152</v>
      </c>
      <c r="B7" s="43">
        <v>49</v>
      </c>
      <c r="C7" s="43">
        <f>COUNTIFS('📊 RawData'!G3:G82,"&gt;="&amp;40,'📊 RawData'!G3:G82,"&lt;="&amp;49)</f>
        <v>0</v>
      </c>
      <c r="D7" s="42">
        <f t="shared" si="0"/>
        <v>0</v>
      </c>
      <c r="M7" s="56" t="s">
        <v>153</v>
      </c>
      <c r="N7" s="59">
        <f>STDEV('📊 RawData'!G3:G82)</f>
        <v>11.635257894254984</v>
      </c>
    </row>
    <row r="8" spans="1:16" ht="21.75" customHeight="1" x14ac:dyDescent="0.25">
      <c r="A8" s="47" t="s">
        <v>154</v>
      </c>
      <c r="B8" s="47">
        <v>59</v>
      </c>
      <c r="C8" s="47">
        <f>COUNTIFS('📊 RawData'!G3:G82,"&gt;="&amp;50,'📊 RawData'!G3:G82,"&lt;="&amp;59)</f>
        <v>4</v>
      </c>
      <c r="D8" s="46">
        <f t="shared" si="0"/>
        <v>0.05</v>
      </c>
      <c r="M8" s="54" t="s">
        <v>155</v>
      </c>
      <c r="N8" s="61">
        <f>SKEW('📊 RawData'!G3:G82)</f>
        <v>-0.40280781623999729</v>
      </c>
    </row>
    <row r="9" spans="1:16" ht="21.75" customHeight="1" x14ac:dyDescent="0.25">
      <c r="A9" s="43" t="s">
        <v>156</v>
      </c>
      <c r="B9" s="43">
        <v>69</v>
      </c>
      <c r="C9" s="43">
        <f>COUNTIFS('📊 RawData'!G3:G82,"&gt;="&amp;60,'📊 RawData'!G3:G82,"&lt;="&amp;69)</f>
        <v>14</v>
      </c>
      <c r="D9" s="42">
        <f t="shared" si="0"/>
        <v>0.17499999999999999</v>
      </c>
      <c r="M9" s="56" t="s">
        <v>157</v>
      </c>
      <c r="N9" s="59">
        <f>MAX('📊 RawData'!G3:G82)</f>
        <v>100</v>
      </c>
    </row>
    <row r="10" spans="1:16" ht="21.75" customHeight="1" x14ac:dyDescent="0.25">
      <c r="A10" s="47" t="s">
        <v>158</v>
      </c>
      <c r="B10" s="47">
        <v>79</v>
      </c>
      <c r="C10" s="47">
        <f>COUNTIFS('📊 RawData'!G3:G82,"&gt;="&amp;70,'📊 RawData'!G3:G82,"&lt;="&amp;79)</f>
        <v>16</v>
      </c>
      <c r="D10" s="46">
        <f t="shared" si="0"/>
        <v>0.2</v>
      </c>
      <c r="M10" s="54" t="s">
        <v>159</v>
      </c>
      <c r="N10" s="62">
        <f>MIN('📊 RawData'!G3:G82)</f>
        <v>51.6</v>
      </c>
    </row>
    <row r="11" spans="1:16" ht="21.75" customHeight="1" x14ac:dyDescent="0.25">
      <c r="A11" s="43" t="s">
        <v>160</v>
      </c>
      <c r="B11" s="43">
        <v>89</v>
      </c>
      <c r="C11" s="43">
        <f>COUNTIFS('📊 RawData'!G3:G82,"&gt;="&amp;80,'📊 RawData'!G3:G82,"&lt;="&amp;89)</f>
        <v>24</v>
      </c>
      <c r="D11" s="42">
        <f t="shared" si="0"/>
        <v>0.3</v>
      </c>
      <c r="M11" s="56" t="s">
        <v>161</v>
      </c>
      <c r="N11" s="59">
        <f>MAX('📊 RawData'!D3:D82)</f>
        <v>9.6</v>
      </c>
    </row>
    <row r="12" spans="1:16" x14ac:dyDescent="0.25">
      <c r="A12" s="47" t="s">
        <v>162</v>
      </c>
      <c r="B12" s="47">
        <v>99</v>
      </c>
      <c r="C12" s="47">
        <f>COUNTIFS('📊 RawData'!G3:G82,"&gt;="&amp;90,'📊 RawData'!G3:G82,"&lt;="&amp;99)</f>
        <v>13</v>
      </c>
      <c r="D12" s="46">
        <f t="shared" si="0"/>
        <v>0.16250000000000001</v>
      </c>
    </row>
    <row r="13" spans="1:16" x14ac:dyDescent="0.25">
      <c r="A13" s="43" t="s">
        <v>163</v>
      </c>
      <c r="B13" s="43">
        <v>109</v>
      </c>
      <c r="C13" s="43">
        <f>COUNTIFS('📊 RawData'!G3:G82,"&gt;="&amp;100,'📊 RawData'!G3:G82,"&lt;="&amp;109)</f>
        <v>1</v>
      </c>
      <c r="D13" s="42">
        <f t="shared" si="0"/>
        <v>1.2500000000000001E-2</v>
      </c>
    </row>
    <row r="14" spans="1:16" x14ac:dyDescent="0.25">
      <c r="A14" s="63" t="s">
        <v>164</v>
      </c>
      <c r="C14" s="63">
        <f>SUM(C5:C13)</f>
        <v>72</v>
      </c>
      <c r="D14" s="64">
        <f>SUM(D5:D13)</f>
        <v>0.89999999999999991</v>
      </c>
    </row>
    <row r="16" spans="1:16" x14ac:dyDescent="0.25">
      <c r="A16" s="2" t="s">
        <v>165</v>
      </c>
      <c r="B16" s="2"/>
      <c r="C16" s="2"/>
      <c r="D16" s="2"/>
    </row>
    <row r="17" spans="1:4" x14ac:dyDescent="0.25">
      <c r="A17" s="65" t="s">
        <v>3</v>
      </c>
      <c r="B17" s="65" t="s">
        <v>166</v>
      </c>
      <c r="C17" s="65" t="s">
        <v>105</v>
      </c>
      <c r="D17" s="65" t="s">
        <v>151</v>
      </c>
    </row>
    <row r="18" spans="1:4" x14ac:dyDescent="0.25">
      <c r="A18" s="40" t="s">
        <v>16</v>
      </c>
      <c r="B18" s="66">
        <f>AVERAGEIF('📊 RawData'!C3:C82,"Engineering",'📊 RawData'!G3:G82)</f>
        <v>83.848148148148141</v>
      </c>
      <c r="C18" s="43">
        <f>COUNTIF('📊 RawData'!C3:C82,"Engineering")</f>
        <v>27</v>
      </c>
      <c r="D18" s="42">
        <f>COUNTIFS('📊 RawData'!C3:C82,"Engineering",'📊 RawData'!H3:H82,1)/COUNTIF('📊 RawData'!C3:C82,"Engineering")</f>
        <v>1</v>
      </c>
    </row>
    <row r="19" spans="1:4" x14ac:dyDescent="0.25">
      <c r="A19" s="44" t="s">
        <v>18</v>
      </c>
      <c r="B19" s="67">
        <f>AVERAGEIF('📊 RawData'!C3:C82,"Marketing",'📊 RawData'!G3:G82)</f>
        <v>75.242857142857147</v>
      </c>
      <c r="C19" s="47">
        <f>COUNTIF('📊 RawData'!C3:C82,"Marketing")</f>
        <v>14</v>
      </c>
      <c r="D19" s="46">
        <f>COUNTIFS('📊 RawData'!C3:C82,"Marketing",'📊 RawData'!H3:H82,1)/COUNTIF('📊 RawData'!C3:C82,"Marketing")</f>
        <v>1</v>
      </c>
    </row>
    <row r="20" spans="1:4" x14ac:dyDescent="0.25">
      <c r="A20" s="40" t="s">
        <v>13</v>
      </c>
      <c r="B20" s="66">
        <f>AVERAGEIF('📊 RawData'!C3:C82,"Science",'📊 RawData'!G3:G82)</f>
        <v>79.65789473684211</v>
      </c>
      <c r="C20" s="43">
        <f>COUNTIF('📊 RawData'!C3:C82,"Science")</f>
        <v>19</v>
      </c>
      <c r="D20" s="42">
        <f>COUNTIFS('📊 RawData'!C3:C82,"Science",'📊 RawData'!H3:H82,1)/COUNTIF('📊 RawData'!C3:C82,"Science")</f>
        <v>0.94736842105263153</v>
      </c>
    </row>
    <row r="21" spans="1:4" x14ac:dyDescent="0.25">
      <c r="A21" s="44" t="s">
        <v>28</v>
      </c>
      <c r="B21" s="67">
        <f>AVERAGEIF('📊 RawData'!C3:C82,"Finance",'📊 RawData'!G3:G82)</f>
        <v>75.875</v>
      </c>
      <c r="C21" s="47">
        <f>COUNTIF('📊 RawData'!C3:C82,"Finance")</f>
        <v>20</v>
      </c>
      <c r="D21" s="46">
        <f>COUNTIFS('📊 RawData'!C3:C82,"Finance",'📊 RawData'!H3:H82,1)/COUNTIF('📊 RawData'!C3:C82,"Finance")</f>
        <v>0.85</v>
      </c>
    </row>
    <row r="24" spans="1:4" x14ac:dyDescent="0.25">
      <c r="A24" s="1" t="s">
        <v>167</v>
      </c>
      <c r="B24" s="1"/>
      <c r="C24" s="1"/>
    </row>
    <row r="25" spans="1:4" x14ac:dyDescent="0.25">
      <c r="A25" s="68" t="s">
        <v>168</v>
      </c>
      <c r="B25" s="68" t="s">
        <v>4</v>
      </c>
      <c r="C25" s="68" t="s">
        <v>7</v>
      </c>
    </row>
    <row r="26" spans="1:4" x14ac:dyDescent="0.25">
      <c r="A26" s="43">
        <f>'📊 RawData'!A3</f>
        <v>1</v>
      </c>
      <c r="B26" s="43">
        <f>'📊 RawData'!D3</f>
        <v>6.6</v>
      </c>
      <c r="C26" s="66">
        <f>'📊 RawData'!G3</f>
        <v>95</v>
      </c>
    </row>
    <row r="27" spans="1:4" x14ac:dyDescent="0.25">
      <c r="A27" s="47">
        <f>'📊 RawData'!A4</f>
        <v>2</v>
      </c>
      <c r="B27" s="47">
        <f>'📊 RawData'!D4</f>
        <v>5.7</v>
      </c>
      <c r="C27" s="67">
        <f>'📊 RawData'!G4</f>
        <v>80.8</v>
      </c>
    </row>
    <row r="28" spans="1:4" x14ac:dyDescent="0.25">
      <c r="A28" s="43">
        <f>'📊 RawData'!A5</f>
        <v>3</v>
      </c>
      <c r="B28" s="43">
        <f>'📊 RawData'!D5</f>
        <v>4.5</v>
      </c>
      <c r="C28" s="66">
        <f>'📊 RawData'!G5</f>
        <v>86.3</v>
      </c>
    </row>
    <row r="29" spans="1:4" x14ac:dyDescent="0.25">
      <c r="A29" s="47">
        <f>'📊 RawData'!A6</f>
        <v>4</v>
      </c>
      <c r="B29" s="47">
        <f>'📊 RawData'!D6</f>
        <v>5.5</v>
      </c>
      <c r="C29" s="67">
        <f>'📊 RawData'!G6</f>
        <v>81.5</v>
      </c>
    </row>
    <row r="30" spans="1:4" x14ac:dyDescent="0.25">
      <c r="A30" s="43">
        <f>'📊 RawData'!A7</f>
        <v>5</v>
      </c>
      <c r="B30" s="43">
        <f>'📊 RawData'!D7</f>
        <v>4.4000000000000004</v>
      </c>
      <c r="C30" s="66">
        <f>'📊 RawData'!G7</f>
        <v>84.9</v>
      </c>
    </row>
    <row r="31" spans="1:4" x14ac:dyDescent="0.25">
      <c r="A31" s="47">
        <f>'📊 RawData'!A8</f>
        <v>6</v>
      </c>
      <c r="B31" s="47">
        <f>'📊 RawData'!D8</f>
        <v>5.8</v>
      </c>
      <c r="C31" s="67">
        <f>'📊 RawData'!G8</f>
        <v>77.8</v>
      </c>
    </row>
    <row r="32" spans="1:4" x14ac:dyDescent="0.25">
      <c r="A32" s="43">
        <f>'📊 RawData'!A9</f>
        <v>7</v>
      </c>
      <c r="B32" s="43">
        <f>'📊 RawData'!D9</f>
        <v>4.7</v>
      </c>
      <c r="C32" s="66">
        <f>'📊 RawData'!G9</f>
        <v>71.3</v>
      </c>
    </row>
    <row r="33" spans="1:3" x14ac:dyDescent="0.25">
      <c r="A33" s="47">
        <f>'📊 RawData'!A10</f>
        <v>8</v>
      </c>
      <c r="B33" s="47">
        <f>'📊 RawData'!D10</f>
        <v>6.3</v>
      </c>
      <c r="C33" s="67">
        <f>'📊 RawData'!G10</f>
        <v>70.099999999999994</v>
      </c>
    </row>
    <row r="34" spans="1:3" x14ac:dyDescent="0.25">
      <c r="A34" s="43">
        <f>'📊 RawData'!A11</f>
        <v>9</v>
      </c>
      <c r="B34" s="43">
        <f>'📊 RawData'!D11</f>
        <v>6.4</v>
      </c>
      <c r="C34" s="66">
        <f>'📊 RawData'!G11</f>
        <v>87.2</v>
      </c>
    </row>
    <row r="35" spans="1:3" x14ac:dyDescent="0.25">
      <c r="A35" s="47">
        <f>'📊 RawData'!A12</f>
        <v>10</v>
      </c>
      <c r="B35" s="47">
        <f>'📊 RawData'!D12</f>
        <v>6.3</v>
      </c>
      <c r="C35" s="67">
        <f>'📊 RawData'!G12</f>
        <v>83.1</v>
      </c>
    </row>
    <row r="36" spans="1:3" x14ac:dyDescent="0.25">
      <c r="A36" s="43">
        <f>'📊 RawData'!A13</f>
        <v>11</v>
      </c>
      <c r="B36" s="43">
        <f>'📊 RawData'!D13</f>
        <v>5.4</v>
      </c>
      <c r="C36" s="66">
        <f>'📊 RawData'!G13</f>
        <v>76.400000000000006</v>
      </c>
    </row>
    <row r="37" spans="1:3" x14ac:dyDescent="0.25">
      <c r="A37" s="47">
        <f>'📊 RawData'!A14</f>
        <v>12</v>
      </c>
      <c r="B37" s="47">
        <f>'📊 RawData'!D14</f>
        <v>6.5</v>
      </c>
      <c r="C37" s="67">
        <f>'📊 RawData'!G14</f>
        <v>94.8</v>
      </c>
    </row>
    <row r="38" spans="1:3" x14ac:dyDescent="0.25">
      <c r="A38" s="43">
        <f>'📊 RawData'!A15</f>
        <v>13</v>
      </c>
      <c r="B38" s="43">
        <f>'📊 RawData'!D15</f>
        <v>3.4</v>
      </c>
      <c r="C38" s="66">
        <f>'📊 RawData'!G15</f>
        <v>55.2</v>
      </c>
    </row>
    <row r="39" spans="1:3" x14ac:dyDescent="0.25">
      <c r="A39" s="47">
        <f>'📊 RawData'!A16</f>
        <v>14</v>
      </c>
      <c r="B39" s="47">
        <f>'📊 RawData'!D16</f>
        <v>5.0999999999999996</v>
      </c>
      <c r="C39" s="67">
        <f>'📊 RawData'!G16</f>
        <v>83.9</v>
      </c>
    </row>
    <row r="40" spans="1:3" x14ac:dyDescent="0.25">
      <c r="A40" s="43">
        <f>'📊 RawData'!A17</f>
        <v>15</v>
      </c>
      <c r="B40" s="43">
        <f>'📊 RawData'!D17</f>
        <v>8.8000000000000007</v>
      </c>
      <c r="C40" s="66">
        <f>'📊 RawData'!G17</f>
        <v>100</v>
      </c>
    </row>
    <row r="41" spans="1:3" x14ac:dyDescent="0.25">
      <c r="A41" s="47">
        <f>'📊 RawData'!A18</f>
        <v>16</v>
      </c>
      <c r="B41" s="47">
        <f>'📊 RawData'!D18</f>
        <v>6.9</v>
      </c>
      <c r="C41" s="67">
        <f>'📊 RawData'!G18</f>
        <v>85.5</v>
      </c>
    </row>
    <row r="42" spans="1:3" x14ac:dyDescent="0.25">
      <c r="A42" s="43">
        <f>'📊 RawData'!A19</f>
        <v>17</v>
      </c>
      <c r="B42" s="43">
        <f>'📊 RawData'!D19</f>
        <v>4.8</v>
      </c>
      <c r="C42" s="66">
        <f>'📊 RawData'!G19</f>
        <v>75.599999999999994</v>
      </c>
    </row>
    <row r="43" spans="1:3" x14ac:dyDescent="0.25">
      <c r="A43" s="47">
        <f>'📊 RawData'!A20</f>
        <v>18</v>
      </c>
      <c r="B43" s="47">
        <f>'📊 RawData'!D20</f>
        <v>7.4</v>
      </c>
      <c r="C43" s="67">
        <f>'📊 RawData'!G20</f>
        <v>91.2</v>
      </c>
    </row>
    <row r="44" spans="1:3" x14ac:dyDescent="0.25">
      <c r="A44" s="43">
        <f>'📊 RawData'!A21</f>
        <v>19</v>
      </c>
      <c r="B44" s="43">
        <f>'📊 RawData'!D21</f>
        <v>2.5</v>
      </c>
      <c r="C44" s="66">
        <f>'📊 RawData'!G21</f>
        <v>66</v>
      </c>
    </row>
    <row r="45" spans="1:3" x14ac:dyDescent="0.25">
      <c r="A45" s="47">
        <f>'📊 RawData'!A22</f>
        <v>20</v>
      </c>
      <c r="B45" s="47">
        <f>'📊 RawData'!D22</f>
        <v>7.5</v>
      </c>
      <c r="C45" s="67">
        <f>'📊 RawData'!G22</f>
        <v>83.4</v>
      </c>
    </row>
    <row r="46" spans="1:3" x14ac:dyDescent="0.25">
      <c r="A46" s="43">
        <f>'📊 RawData'!A23</f>
        <v>21</v>
      </c>
      <c r="B46" s="43">
        <f>'📊 RawData'!D23</f>
        <v>4.4000000000000004</v>
      </c>
      <c r="C46" s="66">
        <f>'📊 RawData'!G23</f>
        <v>71</v>
      </c>
    </row>
    <row r="47" spans="1:3" x14ac:dyDescent="0.25">
      <c r="A47" s="47">
        <f>'📊 RawData'!A24</f>
        <v>22</v>
      </c>
      <c r="B47" s="47">
        <f>'📊 RawData'!D24</f>
        <v>6.6</v>
      </c>
      <c r="C47" s="67">
        <f>'📊 RawData'!G24</f>
        <v>91.7</v>
      </c>
    </row>
    <row r="48" spans="1:3" x14ac:dyDescent="0.25">
      <c r="A48" s="43">
        <f>'📊 RawData'!A25</f>
        <v>23</v>
      </c>
      <c r="B48" s="43">
        <f>'📊 RawData'!D25</f>
        <v>4.8</v>
      </c>
      <c r="C48" s="66">
        <f>'📊 RawData'!G25</f>
        <v>91.6</v>
      </c>
    </row>
    <row r="49" spans="1:3" x14ac:dyDescent="0.25">
      <c r="A49" s="47">
        <f>'📊 RawData'!A26</f>
        <v>24</v>
      </c>
      <c r="B49" s="47">
        <f>'📊 RawData'!D26</f>
        <v>4.0999999999999996</v>
      </c>
      <c r="C49" s="67">
        <f>'📊 RawData'!G26</f>
        <v>75.3</v>
      </c>
    </row>
    <row r="50" spans="1:3" x14ac:dyDescent="0.25">
      <c r="A50" s="43">
        <f>'📊 RawData'!A27</f>
        <v>25</v>
      </c>
      <c r="B50" s="43">
        <f>'📊 RawData'!D27</f>
        <v>1.6</v>
      </c>
      <c r="C50" s="66">
        <f>'📊 RawData'!G27</f>
        <v>62.3</v>
      </c>
    </row>
    <row r="51" spans="1:3" x14ac:dyDescent="0.25">
      <c r="A51" s="47">
        <f>'📊 RawData'!A28</f>
        <v>26</v>
      </c>
      <c r="B51" s="47">
        <f>'📊 RawData'!D28</f>
        <v>9.6</v>
      </c>
      <c r="C51" s="67">
        <f>'📊 RawData'!G28</f>
        <v>92.7</v>
      </c>
    </row>
    <row r="52" spans="1:3" x14ac:dyDescent="0.25">
      <c r="A52" s="43">
        <f>'📊 RawData'!A29</f>
        <v>27</v>
      </c>
      <c r="B52" s="43">
        <f>'📊 RawData'!D29</f>
        <v>8.8000000000000007</v>
      </c>
      <c r="C52" s="66">
        <f>'📊 RawData'!G29</f>
        <v>98</v>
      </c>
    </row>
    <row r="53" spans="1:3" x14ac:dyDescent="0.25">
      <c r="A53" s="47">
        <f>'📊 RawData'!A30</f>
        <v>28</v>
      </c>
      <c r="B53" s="47">
        <f>'📊 RawData'!D30</f>
        <v>8.1</v>
      </c>
      <c r="C53" s="67">
        <f>'📊 RawData'!G30</f>
        <v>87.7</v>
      </c>
    </row>
    <row r="54" spans="1:3" x14ac:dyDescent="0.25">
      <c r="A54" s="43">
        <f>'📊 RawData'!A31</f>
        <v>29</v>
      </c>
      <c r="B54" s="43">
        <f>'📊 RawData'!D31</f>
        <v>3.5</v>
      </c>
      <c r="C54" s="66">
        <f>'📊 RawData'!G31</f>
        <v>63.5</v>
      </c>
    </row>
    <row r="55" spans="1:3" x14ac:dyDescent="0.25">
      <c r="A55" s="47">
        <f>'📊 RawData'!A32</f>
        <v>30</v>
      </c>
      <c r="B55" s="47">
        <f>'📊 RawData'!D32</f>
        <v>1.9</v>
      </c>
      <c r="C55" s="67">
        <f>'📊 RawData'!G32</f>
        <v>70.599999999999994</v>
      </c>
    </row>
    <row r="56" spans="1:3" x14ac:dyDescent="0.25">
      <c r="A56" s="43">
        <f>'📊 RawData'!A33</f>
        <v>31</v>
      </c>
      <c r="B56" s="43">
        <f>'📊 RawData'!D33</f>
        <v>3.7</v>
      </c>
      <c r="C56" s="66">
        <f>'📊 RawData'!G33</f>
        <v>67.2</v>
      </c>
    </row>
    <row r="57" spans="1:3" x14ac:dyDescent="0.25">
      <c r="A57" s="47">
        <f>'📊 RawData'!A34</f>
        <v>32</v>
      </c>
      <c r="B57" s="47">
        <f>'📊 RawData'!D34</f>
        <v>3.6</v>
      </c>
      <c r="C57" s="67">
        <f>'📊 RawData'!G34</f>
        <v>82.7</v>
      </c>
    </row>
    <row r="58" spans="1:3" x14ac:dyDescent="0.25">
      <c r="A58" s="43">
        <f>'📊 RawData'!A35</f>
        <v>33</v>
      </c>
      <c r="B58" s="43">
        <f>'📊 RawData'!D35</f>
        <v>4</v>
      </c>
      <c r="C58" s="66">
        <f>'📊 RawData'!G35</f>
        <v>67.400000000000006</v>
      </c>
    </row>
    <row r="59" spans="1:3" x14ac:dyDescent="0.25">
      <c r="A59" s="47">
        <f>'📊 RawData'!A36</f>
        <v>34</v>
      </c>
      <c r="B59" s="47">
        <f>'📊 RawData'!D36</f>
        <v>5.2</v>
      </c>
      <c r="C59" s="67">
        <f>'📊 RawData'!G36</f>
        <v>89.7</v>
      </c>
    </row>
    <row r="60" spans="1:3" x14ac:dyDescent="0.25">
      <c r="A60" s="43">
        <f>'📊 RawData'!A37</f>
        <v>35</v>
      </c>
      <c r="B60" s="43">
        <f>'📊 RawData'!D37</f>
        <v>3</v>
      </c>
      <c r="C60" s="66">
        <f>'📊 RawData'!G37</f>
        <v>55.3</v>
      </c>
    </row>
    <row r="61" spans="1:3" x14ac:dyDescent="0.25">
      <c r="A61" s="47">
        <f>'📊 RawData'!A38</f>
        <v>36</v>
      </c>
      <c r="B61" s="47">
        <f>'📊 RawData'!D38</f>
        <v>6.7</v>
      </c>
      <c r="C61" s="67">
        <f>'📊 RawData'!G38</f>
        <v>92.7</v>
      </c>
    </row>
    <row r="62" spans="1:3" x14ac:dyDescent="0.25">
      <c r="A62" s="43">
        <f>'📊 RawData'!A39</f>
        <v>37</v>
      </c>
      <c r="B62" s="43">
        <f>'📊 RawData'!D39</f>
        <v>2.2999999999999998</v>
      </c>
      <c r="C62" s="66">
        <f>'📊 RawData'!G39</f>
        <v>60.9</v>
      </c>
    </row>
    <row r="63" spans="1:3" x14ac:dyDescent="0.25">
      <c r="A63" s="47">
        <f>'📊 RawData'!A40</f>
        <v>38</v>
      </c>
      <c r="B63" s="47">
        <f>'📊 RawData'!D40</f>
        <v>6</v>
      </c>
      <c r="C63" s="67">
        <f>'📊 RawData'!G40</f>
        <v>88.3</v>
      </c>
    </row>
    <row r="64" spans="1:3" x14ac:dyDescent="0.25">
      <c r="A64" s="43">
        <f>'📊 RawData'!A41</f>
        <v>39</v>
      </c>
      <c r="B64" s="43">
        <f>'📊 RawData'!D41</f>
        <v>4.7</v>
      </c>
      <c r="C64" s="66">
        <f>'📊 RawData'!G41</f>
        <v>73.7</v>
      </c>
    </row>
    <row r="65" spans="1:3" x14ac:dyDescent="0.25">
      <c r="A65" s="47">
        <f>'📊 RawData'!A42</f>
        <v>40</v>
      </c>
      <c r="B65" s="47">
        <f>'📊 RawData'!D42</f>
        <v>4.4000000000000004</v>
      </c>
      <c r="C65" s="67">
        <f>'📊 RawData'!G42</f>
        <v>73.2</v>
      </c>
    </row>
    <row r="66" spans="1:3" x14ac:dyDescent="0.25">
      <c r="A66" s="43">
        <f>'📊 RawData'!A43</f>
        <v>41</v>
      </c>
      <c r="B66" s="43">
        <f>'📊 RawData'!D43</f>
        <v>8.5</v>
      </c>
      <c r="C66" s="66">
        <f>'📊 RawData'!G43</f>
        <v>93.6</v>
      </c>
    </row>
    <row r="67" spans="1:3" x14ac:dyDescent="0.25">
      <c r="A67" s="47">
        <f>'📊 RawData'!A44</f>
        <v>42</v>
      </c>
      <c r="B67" s="47">
        <f>'📊 RawData'!D44</f>
        <v>4.4000000000000004</v>
      </c>
      <c r="C67" s="67">
        <f>'📊 RawData'!G44</f>
        <v>90.4</v>
      </c>
    </row>
    <row r="68" spans="1:3" x14ac:dyDescent="0.25">
      <c r="A68" s="43">
        <f>'📊 RawData'!A45</f>
        <v>43</v>
      </c>
      <c r="B68" s="43">
        <f>'📊 RawData'!D45</f>
        <v>5.5</v>
      </c>
      <c r="C68" s="66">
        <f>'📊 RawData'!G45</f>
        <v>85.3</v>
      </c>
    </row>
    <row r="69" spans="1:3" x14ac:dyDescent="0.25">
      <c r="A69" s="47">
        <f>'📊 RawData'!A46</f>
        <v>44</v>
      </c>
      <c r="B69" s="47">
        <f>'📊 RawData'!D46</f>
        <v>2</v>
      </c>
      <c r="C69" s="67">
        <f>'📊 RawData'!G46</f>
        <v>65.7</v>
      </c>
    </row>
    <row r="70" spans="1:3" x14ac:dyDescent="0.25">
      <c r="A70" s="43">
        <f>'📊 RawData'!A47</f>
        <v>45</v>
      </c>
      <c r="B70" s="43">
        <f>'📊 RawData'!D47</f>
        <v>2.8</v>
      </c>
      <c r="C70" s="66">
        <f>'📊 RawData'!G47</f>
        <v>62.6</v>
      </c>
    </row>
    <row r="71" spans="1:3" x14ac:dyDescent="0.25">
      <c r="A71" s="47">
        <f>'📊 RawData'!A48</f>
        <v>46</v>
      </c>
      <c r="B71" s="47">
        <f>'📊 RawData'!D48</f>
        <v>1.1000000000000001</v>
      </c>
      <c r="C71" s="67">
        <f>'📊 RawData'!G48</f>
        <v>71.400000000000006</v>
      </c>
    </row>
    <row r="72" spans="1:3" x14ac:dyDescent="0.25">
      <c r="A72" s="43">
        <f>'📊 RawData'!A49</f>
        <v>47</v>
      </c>
      <c r="B72" s="43">
        <f>'📊 RawData'!D49</f>
        <v>6.1</v>
      </c>
      <c r="C72" s="66">
        <f>'📊 RawData'!G49</f>
        <v>85.5</v>
      </c>
    </row>
    <row r="73" spans="1:3" x14ac:dyDescent="0.25">
      <c r="A73" s="47">
        <f>'📊 RawData'!A50</f>
        <v>48</v>
      </c>
      <c r="B73" s="47">
        <f>'📊 RawData'!D50</f>
        <v>6.2</v>
      </c>
      <c r="C73" s="67">
        <f>'📊 RawData'!G50</f>
        <v>78.8</v>
      </c>
    </row>
    <row r="74" spans="1:3" x14ac:dyDescent="0.25">
      <c r="A74" s="43">
        <f>'📊 RawData'!A51</f>
        <v>49</v>
      </c>
      <c r="B74" s="43">
        <f>'📊 RawData'!D51</f>
        <v>2.9</v>
      </c>
      <c r="C74" s="66">
        <f>'📊 RawData'!G51</f>
        <v>62.5</v>
      </c>
    </row>
    <row r="75" spans="1:3" x14ac:dyDescent="0.25">
      <c r="A75" s="47">
        <f>'📊 RawData'!A52</f>
        <v>50</v>
      </c>
      <c r="B75" s="47">
        <f>'📊 RawData'!D52</f>
        <v>5.0999999999999996</v>
      </c>
      <c r="C75" s="67">
        <f>'📊 RawData'!G52</f>
        <v>77.900000000000006</v>
      </c>
    </row>
    <row r="76" spans="1:3" x14ac:dyDescent="0.25">
      <c r="A76" s="43">
        <f>'📊 RawData'!A53</f>
        <v>51</v>
      </c>
      <c r="B76" s="43">
        <f>'📊 RawData'!D53</f>
        <v>5</v>
      </c>
      <c r="C76" s="66">
        <f>'📊 RawData'!G53</f>
        <v>84.3</v>
      </c>
    </row>
    <row r="77" spans="1:3" x14ac:dyDescent="0.25">
      <c r="A77" s="47">
        <f>'📊 RawData'!A54</f>
        <v>52</v>
      </c>
      <c r="B77" s="47">
        <f>'📊 RawData'!D54</f>
        <v>6.2</v>
      </c>
      <c r="C77" s="67">
        <f>'📊 RawData'!G54</f>
        <v>96.3</v>
      </c>
    </row>
    <row r="78" spans="1:3" x14ac:dyDescent="0.25">
      <c r="A78" s="43">
        <f>'📊 RawData'!A55</f>
        <v>53</v>
      </c>
      <c r="B78" s="43">
        <f>'📊 RawData'!D55</f>
        <v>6.4</v>
      </c>
      <c r="C78" s="66">
        <f>'📊 RawData'!G55</f>
        <v>89.1</v>
      </c>
    </row>
    <row r="79" spans="1:3" x14ac:dyDescent="0.25">
      <c r="A79" s="47">
        <f>'📊 RawData'!A56</f>
        <v>54</v>
      </c>
      <c r="B79" s="47">
        <f>'📊 RawData'!D56</f>
        <v>0.5</v>
      </c>
      <c r="C79" s="67">
        <f>'📊 RawData'!G56</f>
        <v>51.6</v>
      </c>
    </row>
    <row r="80" spans="1:3" x14ac:dyDescent="0.25">
      <c r="A80" s="43">
        <f>'📊 RawData'!A57</f>
        <v>55</v>
      </c>
      <c r="B80" s="43">
        <f>'📊 RawData'!D57</f>
        <v>4.0999999999999996</v>
      </c>
      <c r="C80" s="66">
        <f>'📊 RawData'!G57</f>
        <v>78.400000000000006</v>
      </c>
    </row>
    <row r="81" spans="1:3" x14ac:dyDescent="0.25">
      <c r="A81" s="47">
        <f>'📊 RawData'!A58</f>
        <v>56</v>
      </c>
      <c r="B81" s="47">
        <f>'📊 RawData'!D58</f>
        <v>7</v>
      </c>
      <c r="C81" s="67">
        <f>'📊 RawData'!G58</f>
        <v>99.6</v>
      </c>
    </row>
    <row r="82" spans="1:3" x14ac:dyDescent="0.25">
      <c r="A82" s="43">
        <f>'📊 RawData'!A59</f>
        <v>57</v>
      </c>
      <c r="B82" s="43">
        <f>'📊 RawData'!D59</f>
        <v>5.8</v>
      </c>
      <c r="C82" s="66">
        <f>'📊 RawData'!G59</f>
        <v>93.5</v>
      </c>
    </row>
    <row r="83" spans="1:3" x14ac:dyDescent="0.25">
      <c r="A83" s="47">
        <f>'📊 RawData'!A60</f>
        <v>58</v>
      </c>
      <c r="B83" s="47">
        <f>'📊 RawData'!D60</f>
        <v>5.5</v>
      </c>
      <c r="C83" s="67">
        <f>'📊 RawData'!G60</f>
        <v>79.2</v>
      </c>
    </row>
    <row r="84" spans="1:3" x14ac:dyDescent="0.25">
      <c r="A84" s="43">
        <f>'📊 RawData'!A61</f>
        <v>59</v>
      </c>
      <c r="B84" s="43">
        <f>'📊 RawData'!D61</f>
        <v>5.4</v>
      </c>
      <c r="C84" s="66">
        <f>'📊 RawData'!G61</f>
        <v>86.5</v>
      </c>
    </row>
    <row r="85" spans="1:3" x14ac:dyDescent="0.25">
      <c r="A85" s="47">
        <f>'📊 RawData'!A62</f>
        <v>60</v>
      </c>
      <c r="B85" s="47">
        <f>'📊 RawData'!D62</f>
        <v>4.7</v>
      </c>
      <c r="C85" s="67">
        <f>'📊 RawData'!G62</f>
        <v>79.8</v>
      </c>
    </row>
    <row r="86" spans="1:3" x14ac:dyDescent="0.25">
      <c r="A86" s="43">
        <f>'📊 RawData'!A63</f>
        <v>61</v>
      </c>
      <c r="B86" s="43">
        <f>'📊 RawData'!D63</f>
        <v>1.4</v>
      </c>
      <c r="C86" s="66">
        <f>'📊 RawData'!G63</f>
        <v>57.4</v>
      </c>
    </row>
    <row r="87" spans="1:3" x14ac:dyDescent="0.25">
      <c r="A87" s="47">
        <f>'📊 RawData'!A64</f>
        <v>62</v>
      </c>
      <c r="B87" s="47">
        <f>'📊 RawData'!D64</f>
        <v>3.5</v>
      </c>
      <c r="C87" s="67">
        <f>'📊 RawData'!G64</f>
        <v>69.3</v>
      </c>
    </row>
    <row r="88" spans="1:3" x14ac:dyDescent="0.25">
      <c r="A88" s="43">
        <f>'📊 RawData'!A65</f>
        <v>63</v>
      </c>
      <c r="B88" s="43">
        <f>'📊 RawData'!D65</f>
        <v>5.4</v>
      </c>
      <c r="C88" s="66">
        <f>'📊 RawData'!G65</f>
        <v>86.9</v>
      </c>
    </row>
    <row r="89" spans="1:3" x14ac:dyDescent="0.25">
      <c r="A89" s="47">
        <f>'📊 RawData'!A66</f>
        <v>64</v>
      </c>
      <c r="B89" s="47">
        <f>'📊 RawData'!D66</f>
        <v>2.7</v>
      </c>
      <c r="C89" s="67">
        <f>'📊 RawData'!G66</f>
        <v>80.8</v>
      </c>
    </row>
    <row r="90" spans="1:3" x14ac:dyDescent="0.25">
      <c r="A90" s="43">
        <f>'📊 RawData'!A67</f>
        <v>65</v>
      </c>
      <c r="B90" s="43">
        <f>'📊 RawData'!D67</f>
        <v>8.6</v>
      </c>
      <c r="C90" s="66">
        <f>'📊 RawData'!G67</f>
        <v>89.4</v>
      </c>
    </row>
    <row r="91" spans="1:3" x14ac:dyDescent="0.25">
      <c r="A91" s="47">
        <f>'📊 RawData'!A68</f>
        <v>66</v>
      </c>
      <c r="B91" s="47">
        <f>'📊 RawData'!D68</f>
        <v>2.7</v>
      </c>
      <c r="C91" s="67">
        <f>'📊 RawData'!G68</f>
        <v>64</v>
      </c>
    </row>
    <row r="92" spans="1:3" x14ac:dyDescent="0.25">
      <c r="A92" s="43">
        <f>'📊 RawData'!A69</f>
        <v>67</v>
      </c>
      <c r="B92" s="43">
        <f>'📊 RawData'!D69</f>
        <v>4.5999999999999996</v>
      </c>
      <c r="C92" s="66">
        <f>'📊 RawData'!G69</f>
        <v>90.7</v>
      </c>
    </row>
    <row r="93" spans="1:3" x14ac:dyDescent="0.25">
      <c r="A93" s="47">
        <f>'📊 RawData'!A70</f>
        <v>68</v>
      </c>
      <c r="B93" s="47">
        <f>'📊 RawData'!D70</f>
        <v>5.6</v>
      </c>
      <c r="C93" s="67">
        <f>'📊 RawData'!G70</f>
        <v>86.7</v>
      </c>
    </row>
    <row r="94" spans="1:3" x14ac:dyDescent="0.25">
      <c r="A94" s="43">
        <f>'📊 RawData'!A71</f>
        <v>69</v>
      </c>
      <c r="B94" s="43">
        <f>'📊 RawData'!D71</f>
        <v>5.0999999999999996</v>
      </c>
      <c r="C94" s="66">
        <f>'📊 RawData'!G71</f>
        <v>84.4</v>
      </c>
    </row>
    <row r="95" spans="1:3" x14ac:dyDescent="0.25">
      <c r="A95" s="47">
        <f>'📊 RawData'!A72</f>
        <v>70</v>
      </c>
      <c r="B95" s="47">
        <f>'📊 RawData'!D72</f>
        <v>6.6</v>
      </c>
      <c r="C95" s="67">
        <f>'📊 RawData'!G72</f>
        <v>77.599999999999994</v>
      </c>
    </row>
    <row r="96" spans="1:3" x14ac:dyDescent="0.25">
      <c r="A96" s="43">
        <f>'📊 RawData'!A73</f>
        <v>71</v>
      </c>
      <c r="B96" s="43">
        <f>'📊 RawData'!D73</f>
        <v>0.5</v>
      </c>
      <c r="C96" s="66">
        <f>'📊 RawData'!G73</f>
        <v>65.8</v>
      </c>
    </row>
    <row r="97" spans="1:3" x14ac:dyDescent="0.25">
      <c r="A97" s="47">
        <f>'📊 RawData'!A74</f>
        <v>72</v>
      </c>
      <c r="B97" s="47">
        <f>'📊 RawData'!D74</f>
        <v>6.5</v>
      </c>
      <c r="C97" s="67">
        <f>'📊 RawData'!G74</f>
        <v>89.8</v>
      </c>
    </row>
    <row r="98" spans="1:3" x14ac:dyDescent="0.25">
      <c r="A98" s="43">
        <f>'📊 RawData'!A75</f>
        <v>73</v>
      </c>
      <c r="B98" s="43">
        <f>'📊 RawData'!D75</f>
        <v>3.9</v>
      </c>
      <c r="C98" s="66">
        <f>'📊 RawData'!G75</f>
        <v>77.8</v>
      </c>
    </row>
    <row r="99" spans="1:3" x14ac:dyDescent="0.25">
      <c r="A99" s="47">
        <f>'📊 RawData'!A76</f>
        <v>74</v>
      </c>
      <c r="B99" s="47">
        <f>'📊 RawData'!D76</f>
        <v>4.9000000000000004</v>
      </c>
      <c r="C99" s="67">
        <f>'📊 RawData'!G76</f>
        <v>80.7</v>
      </c>
    </row>
    <row r="100" spans="1:3" x14ac:dyDescent="0.25">
      <c r="A100" s="43">
        <f>'📊 RawData'!A77</f>
        <v>75</v>
      </c>
      <c r="B100" s="43">
        <f>'📊 RawData'!D77</f>
        <v>4.4000000000000004</v>
      </c>
      <c r="C100" s="66">
        <f>'📊 RawData'!G77</f>
        <v>61.6</v>
      </c>
    </row>
    <row r="101" spans="1:3" x14ac:dyDescent="0.25">
      <c r="A101" s="47">
        <f>'📊 RawData'!A78</f>
        <v>76</v>
      </c>
      <c r="B101" s="47">
        <f>'📊 RawData'!D78</f>
        <v>4.0999999999999996</v>
      </c>
      <c r="C101" s="67">
        <f>'📊 RawData'!G78</f>
        <v>84.3</v>
      </c>
    </row>
    <row r="102" spans="1:3" x14ac:dyDescent="0.25">
      <c r="A102" s="43">
        <f>'📊 RawData'!A79</f>
        <v>77</v>
      </c>
      <c r="B102" s="43">
        <f>'📊 RawData'!D79</f>
        <v>4.5</v>
      </c>
      <c r="C102" s="66">
        <f>'📊 RawData'!G79</f>
        <v>82.4</v>
      </c>
    </row>
    <row r="103" spans="1:3" x14ac:dyDescent="0.25">
      <c r="A103" s="47">
        <f>'📊 RawData'!A80</f>
        <v>78</v>
      </c>
      <c r="B103" s="47">
        <f>'📊 RawData'!D80</f>
        <v>6.5</v>
      </c>
      <c r="C103" s="67">
        <f>'📊 RawData'!G80</f>
        <v>86</v>
      </c>
    </row>
    <row r="104" spans="1:3" x14ac:dyDescent="0.25">
      <c r="A104" s="43">
        <f>'📊 RawData'!A81</f>
        <v>79</v>
      </c>
      <c r="B104" s="43">
        <f>'📊 RawData'!D81</f>
        <v>3.7</v>
      </c>
      <c r="C104" s="66">
        <f>'📊 RawData'!G81</f>
        <v>68.599999999999994</v>
      </c>
    </row>
    <row r="105" spans="1:3" x14ac:dyDescent="0.25">
      <c r="A105" s="47">
        <f>'📊 RawData'!A82</f>
        <v>80</v>
      </c>
      <c r="B105" s="47">
        <f>'📊 RawData'!D82</f>
        <v>2.6</v>
      </c>
      <c r="C105" s="67">
        <f>'📊 RawData'!G82</f>
        <v>66.599999999999994</v>
      </c>
    </row>
  </sheetData>
  <mergeCells count="5">
    <mergeCell ref="A1:M1"/>
    <mergeCell ref="A3:D3"/>
    <mergeCell ref="M3:P3"/>
    <mergeCell ref="A16:D16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58900"/>
  </sheetPr>
  <dimension ref="A1:P18"/>
  <sheetViews>
    <sheetView topLeftCell="A7" zoomScaleNormal="100" workbookViewId="0">
      <selection sqref="A1:P1"/>
    </sheetView>
  </sheetViews>
  <sheetFormatPr defaultColWidth="8.7109375" defaultRowHeight="15" x14ac:dyDescent="0.25"/>
  <cols>
    <col min="1" max="1" width="14" customWidth="1"/>
    <col min="2" max="4" width="10" customWidth="1"/>
    <col min="5" max="5" width="14" customWidth="1"/>
    <col min="6" max="8" width="10" customWidth="1"/>
    <col min="9" max="9" width="14" customWidth="1"/>
    <col min="10" max="12" width="10" customWidth="1"/>
    <col min="13" max="13" width="14" customWidth="1"/>
    <col min="14" max="16" width="10" customWidth="1"/>
  </cols>
  <sheetData>
    <row r="1" spans="1:16" ht="33.75" customHeight="1" x14ac:dyDescent="0.25">
      <c r="A1" s="77" t="s">
        <v>169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9.5" customHeight="1" x14ac:dyDescent="0.25">
      <c r="A2" s="78" t="s">
        <v>170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4" spans="1:16" ht="18" customHeight="1" x14ac:dyDescent="0.25">
      <c r="A4" s="79" t="s">
        <v>147</v>
      </c>
      <c r="B4" s="79"/>
      <c r="C4" s="79"/>
      <c r="E4" s="80" t="s">
        <v>149</v>
      </c>
      <c r="F4" s="80"/>
      <c r="G4" s="80"/>
      <c r="I4" s="81" t="s">
        <v>151</v>
      </c>
      <c r="J4" s="81"/>
      <c r="K4" s="81"/>
      <c r="M4" s="82" t="s">
        <v>114</v>
      </c>
      <c r="N4" s="82"/>
      <c r="O4" s="82"/>
    </row>
    <row r="5" spans="1:16" ht="36" customHeight="1" x14ac:dyDescent="0.25">
      <c r="A5" s="83">
        <f>COUNTA('📊 RawData'!A3:A82)</f>
        <v>80</v>
      </c>
      <c r="B5" s="83"/>
      <c r="C5" s="83"/>
      <c r="E5" s="84">
        <f>AVERAGE('📊 RawData'!G3:G82)</f>
        <v>79.353750000000005</v>
      </c>
      <c r="F5" s="84"/>
      <c r="G5" s="84"/>
      <c r="I5" s="85">
        <f>COUNTIF('📊 RawData'!H3:H82,1)/80</f>
        <v>0.95</v>
      </c>
      <c r="J5" s="85"/>
      <c r="K5" s="85"/>
      <c r="M5" s="86">
        <f>COUNTIFS('📊 RawData'!G3:G82,"&lt;"&amp;(QUARTILE('📊 RawData'!G3:G82,1)-1.5*(QUARTILE('📊 RawData'!G3:G82,3)-QUARTILE('📊 RawData'!G3:G82,1))))+COUNTIFS('📊 RawData'!G3:G82,"&gt;"&amp;(QUARTILE('📊 RawData'!G3:G82,3)+1.5*(QUARTILE('📊 RawData'!G3:G82,3)-QUARTILE('📊 RawData'!G3:G82,1))))</f>
        <v>0</v>
      </c>
      <c r="N5" s="86"/>
      <c r="O5" s="86"/>
    </row>
    <row r="6" spans="1:16" ht="12" customHeight="1" x14ac:dyDescent="0.25">
      <c r="A6" s="87" t="s">
        <v>171</v>
      </c>
      <c r="B6" s="87"/>
      <c r="C6" s="87"/>
      <c r="E6" s="88" t="s">
        <v>171</v>
      </c>
      <c r="F6" s="88"/>
      <c r="G6" s="88"/>
      <c r="I6" s="89" t="s">
        <v>171</v>
      </c>
      <c r="J6" s="89"/>
      <c r="K6" s="89"/>
      <c r="M6" s="90" t="s">
        <v>171</v>
      </c>
      <c r="N6" s="90"/>
      <c r="O6" s="90"/>
    </row>
    <row r="8" spans="1:16" ht="24" customHeight="1" x14ac:dyDescent="0.25">
      <c r="A8" s="91" t="s">
        <v>172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16" ht="25.5" customHeight="1" x14ac:dyDescent="0.25">
      <c r="A9" s="7" t="s">
        <v>173</v>
      </c>
      <c r="B9" s="7"/>
      <c r="C9" s="7"/>
      <c r="D9" s="92" t="s">
        <v>174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</row>
    <row r="10" spans="1:16" ht="25.5" customHeight="1" x14ac:dyDescent="0.25">
      <c r="A10" s="93" t="s">
        <v>175</v>
      </c>
      <c r="B10" s="93"/>
      <c r="C10" s="93"/>
      <c r="D10" s="94" t="s">
        <v>176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 ht="25.5" customHeight="1" x14ac:dyDescent="0.25">
      <c r="A11" s="12" t="s">
        <v>177</v>
      </c>
      <c r="B11" s="12"/>
      <c r="C11" s="12"/>
      <c r="D11" s="95" t="s">
        <v>178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</row>
    <row r="12" spans="1:16" ht="25.5" customHeight="1" x14ac:dyDescent="0.25">
      <c r="A12" s="96" t="s">
        <v>179</v>
      </c>
      <c r="B12" s="96"/>
      <c r="C12" s="96"/>
      <c r="D12" s="97" t="s">
        <v>180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</row>
    <row r="13" spans="1:16" ht="25.5" customHeight="1" x14ac:dyDescent="0.25">
      <c r="A13" s="7" t="s">
        <v>181</v>
      </c>
      <c r="B13" s="7"/>
      <c r="C13" s="7"/>
      <c r="D13" s="92" t="s">
        <v>182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5" spans="1:16" ht="21.75" customHeight="1" x14ac:dyDescent="0.25">
      <c r="A15" s="98" t="s">
        <v>183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</row>
    <row r="16" spans="1:16" ht="21.75" customHeight="1" x14ac:dyDescent="0.25">
      <c r="A16" s="99" t="s">
        <v>184</v>
      </c>
      <c r="B16" s="99"/>
      <c r="E16" s="99" t="s">
        <v>184</v>
      </c>
      <c r="F16" s="99"/>
      <c r="I16" s="100" t="s">
        <v>184</v>
      </c>
      <c r="J16" s="100"/>
      <c r="M16" s="101" t="s">
        <v>185</v>
      </c>
      <c r="N16" s="101"/>
    </row>
    <row r="17" spans="1:16" ht="25.5" customHeight="1" x14ac:dyDescent="0.25">
      <c r="A17" s="102" t="s">
        <v>4</v>
      </c>
      <c r="B17" s="102"/>
      <c r="C17" s="102"/>
      <c r="D17" s="102"/>
      <c r="E17" s="102" t="s">
        <v>5</v>
      </c>
      <c r="F17" s="102"/>
      <c r="G17" s="102"/>
      <c r="H17" s="102"/>
      <c r="I17" s="103" t="s">
        <v>186</v>
      </c>
      <c r="J17" s="103"/>
      <c r="K17" s="103"/>
      <c r="L17" s="103"/>
      <c r="M17" s="104" t="s">
        <v>6</v>
      </c>
      <c r="N17" s="104"/>
      <c r="O17" s="104"/>
      <c r="P17" s="104"/>
    </row>
    <row r="18" spans="1:16" ht="31.5" customHeight="1" x14ac:dyDescent="0.25">
      <c r="A18" s="105" t="s">
        <v>187</v>
      </c>
      <c r="B18" s="105"/>
      <c r="C18" s="105"/>
      <c r="D18" s="105"/>
      <c r="E18" s="105" t="s">
        <v>188</v>
      </c>
      <c r="F18" s="105"/>
      <c r="G18" s="105"/>
      <c r="H18" s="105"/>
      <c r="I18" s="106" t="s">
        <v>189</v>
      </c>
      <c r="J18" s="106"/>
      <c r="K18" s="106"/>
      <c r="L18" s="106"/>
      <c r="M18" s="107" t="s">
        <v>190</v>
      </c>
      <c r="N18" s="107"/>
      <c r="O18" s="107"/>
      <c r="P18" s="107"/>
    </row>
  </sheetData>
  <mergeCells count="38">
    <mergeCell ref="A17:D17"/>
    <mergeCell ref="E17:H17"/>
    <mergeCell ref="I17:L17"/>
    <mergeCell ref="M17:P17"/>
    <mergeCell ref="A18:D18"/>
    <mergeCell ref="E18:H18"/>
    <mergeCell ref="I18:L18"/>
    <mergeCell ref="M18:P18"/>
    <mergeCell ref="A15:P15"/>
    <mergeCell ref="A16:B16"/>
    <mergeCell ref="E16:F16"/>
    <mergeCell ref="I16:J16"/>
    <mergeCell ref="M16:N16"/>
    <mergeCell ref="A11:C11"/>
    <mergeCell ref="D11:P11"/>
    <mergeCell ref="A12:C12"/>
    <mergeCell ref="D12:P12"/>
    <mergeCell ref="A13:C13"/>
    <mergeCell ref="D13:P13"/>
    <mergeCell ref="A8:P8"/>
    <mergeCell ref="A9:C9"/>
    <mergeCell ref="D9:P9"/>
    <mergeCell ref="A10:C10"/>
    <mergeCell ref="D10:P10"/>
    <mergeCell ref="A5:C5"/>
    <mergeCell ref="E5:G5"/>
    <mergeCell ref="I5:K5"/>
    <mergeCell ref="M5:O5"/>
    <mergeCell ref="A6:C6"/>
    <mergeCell ref="E6:G6"/>
    <mergeCell ref="I6:K6"/>
    <mergeCell ref="M6:O6"/>
    <mergeCell ref="A1:P1"/>
    <mergeCell ref="A2:P2"/>
    <mergeCell ref="A4:C4"/>
    <mergeCell ref="E4:G4"/>
    <mergeCell ref="I4:K4"/>
    <mergeCell ref="M4:O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E35B1"/>
  </sheetPr>
  <dimension ref="A1:F33"/>
  <sheetViews>
    <sheetView zoomScaleNormal="100" workbookViewId="0">
      <selection sqref="A1:F1"/>
    </sheetView>
  </sheetViews>
  <sheetFormatPr defaultColWidth="8.7109375" defaultRowHeight="15" x14ac:dyDescent="0.25"/>
  <cols>
    <col min="1" max="1" width="14" customWidth="1"/>
    <col min="2" max="2" width="80" customWidth="1"/>
  </cols>
  <sheetData>
    <row r="1" spans="1:6" ht="27.75" customHeight="1" x14ac:dyDescent="0.25">
      <c r="A1" s="108" t="s">
        <v>191</v>
      </c>
      <c r="B1" s="108"/>
      <c r="C1" s="108"/>
      <c r="D1" s="108"/>
      <c r="E1" s="108"/>
      <c r="F1" s="108"/>
    </row>
    <row r="3" spans="1:6" ht="25.5" customHeight="1" x14ac:dyDescent="0.25">
      <c r="A3" s="109" t="s">
        <v>192</v>
      </c>
      <c r="B3" s="109"/>
      <c r="C3" s="109"/>
      <c r="D3" s="109"/>
      <c r="E3" s="109"/>
      <c r="F3" s="109"/>
    </row>
    <row r="4" spans="1:6" ht="31.5" customHeight="1" x14ac:dyDescent="0.25">
      <c r="A4" s="69" t="s">
        <v>193</v>
      </c>
      <c r="B4" s="110" t="s">
        <v>194</v>
      </c>
      <c r="C4" s="110"/>
      <c r="D4" s="110"/>
      <c r="E4" s="110"/>
      <c r="F4" s="110"/>
    </row>
    <row r="5" spans="1:6" ht="31.5" customHeight="1" x14ac:dyDescent="0.25">
      <c r="A5" s="70" t="s">
        <v>195</v>
      </c>
      <c r="B5" s="111" t="s">
        <v>196</v>
      </c>
      <c r="C5" s="111"/>
      <c r="D5" s="111"/>
      <c r="E5" s="111"/>
      <c r="F5" s="111"/>
    </row>
    <row r="6" spans="1:6" ht="31.5" customHeight="1" x14ac:dyDescent="0.25">
      <c r="A6" s="69" t="s">
        <v>197</v>
      </c>
      <c r="B6" s="110" t="s">
        <v>198</v>
      </c>
      <c r="C6" s="110"/>
      <c r="D6" s="110"/>
      <c r="E6" s="110"/>
      <c r="F6" s="110"/>
    </row>
    <row r="7" spans="1:6" ht="31.5" customHeight="1" x14ac:dyDescent="0.25">
      <c r="A7" s="70" t="s">
        <v>199</v>
      </c>
      <c r="B7" s="111" t="s">
        <v>200</v>
      </c>
      <c r="C7" s="111"/>
      <c r="D7" s="111"/>
      <c r="E7" s="111"/>
      <c r="F7" s="111"/>
    </row>
    <row r="8" spans="1:6" ht="31.5" customHeight="1" x14ac:dyDescent="0.25">
      <c r="A8" s="69" t="s">
        <v>201</v>
      </c>
      <c r="B8" s="110" t="s">
        <v>202</v>
      </c>
      <c r="C8" s="110"/>
      <c r="D8" s="110"/>
      <c r="E8" s="110"/>
      <c r="F8" s="110"/>
    </row>
    <row r="9" spans="1:6" ht="31.5" customHeight="1" x14ac:dyDescent="0.25">
      <c r="A9" s="70" t="s">
        <v>203</v>
      </c>
      <c r="B9" s="111" t="s">
        <v>204</v>
      </c>
      <c r="C9" s="111"/>
      <c r="D9" s="111"/>
      <c r="E9" s="111"/>
      <c r="F9" s="111"/>
    </row>
    <row r="11" spans="1:6" ht="25.5" customHeight="1" x14ac:dyDescent="0.25">
      <c r="A11" s="91" t="s">
        <v>205</v>
      </c>
      <c r="B11" s="91"/>
      <c r="C11" s="91"/>
      <c r="D11" s="91"/>
      <c r="E11" s="91"/>
      <c r="F11" s="91"/>
    </row>
    <row r="12" spans="1:6" ht="31.5" customHeight="1" x14ac:dyDescent="0.25">
      <c r="A12" s="71" t="s">
        <v>193</v>
      </c>
      <c r="B12" s="110" t="s">
        <v>206</v>
      </c>
      <c r="C12" s="110"/>
      <c r="D12" s="110"/>
      <c r="E12" s="110"/>
      <c r="F12" s="110"/>
    </row>
    <row r="13" spans="1:6" ht="31.5" customHeight="1" x14ac:dyDescent="0.25">
      <c r="A13" s="72" t="s">
        <v>195</v>
      </c>
      <c r="B13" s="111" t="s">
        <v>207</v>
      </c>
      <c r="C13" s="111"/>
      <c r="D13" s="111"/>
      <c r="E13" s="111"/>
      <c r="F13" s="111"/>
    </row>
    <row r="14" spans="1:6" ht="31.5" customHeight="1" x14ac:dyDescent="0.25">
      <c r="A14" s="71" t="s">
        <v>197</v>
      </c>
      <c r="B14" s="110" t="s">
        <v>208</v>
      </c>
      <c r="C14" s="110"/>
      <c r="D14" s="110"/>
      <c r="E14" s="110"/>
      <c r="F14" s="110"/>
    </row>
    <row r="15" spans="1:6" ht="31.5" customHeight="1" x14ac:dyDescent="0.25">
      <c r="A15" s="72" t="s">
        <v>199</v>
      </c>
      <c r="B15" s="111" t="s">
        <v>209</v>
      </c>
      <c r="C15" s="111"/>
      <c r="D15" s="111"/>
      <c r="E15" s="111"/>
      <c r="F15" s="111"/>
    </row>
    <row r="16" spans="1:6" ht="31.5" customHeight="1" x14ac:dyDescent="0.25">
      <c r="A16" s="71" t="s">
        <v>201</v>
      </c>
      <c r="B16" s="110" t="s">
        <v>210</v>
      </c>
      <c r="C16" s="110"/>
      <c r="D16" s="110"/>
      <c r="E16" s="110"/>
      <c r="F16" s="110"/>
    </row>
    <row r="17" spans="1:6" ht="31.5" customHeight="1" x14ac:dyDescent="0.25">
      <c r="A17" s="72" t="s">
        <v>203</v>
      </c>
      <c r="B17" s="111" t="s">
        <v>211</v>
      </c>
      <c r="C17" s="111"/>
      <c r="D17" s="111"/>
      <c r="E17" s="111"/>
      <c r="F17" s="111"/>
    </row>
    <row r="19" spans="1:6" ht="25.5" customHeight="1" x14ac:dyDescent="0.25">
      <c r="A19" s="112" t="s">
        <v>212</v>
      </c>
      <c r="B19" s="112"/>
      <c r="C19" s="112"/>
      <c r="D19" s="112"/>
      <c r="E19" s="112"/>
      <c r="F19" s="112"/>
    </row>
    <row r="20" spans="1:6" ht="31.5" customHeight="1" x14ac:dyDescent="0.25">
      <c r="A20" s="73" t="s">
        <v>213</v>
      </c>
      <c r="B20" s="110" t="s">
        <v>214</v>
      </c>
      <c r="C20" s="110"/>
      <c r="D20" s="110"/>
      <c r="E20" s="110"/>
      <c r="F20" s="110"/>
    </row>
    <row r="21" spans="1:6" ht="31.5" customHeight="1" x14ac:dyDescent="0.25">
      <c r="A21" s="74" t="s">
        <v>215</v>
      </c>
      <c r="B21" s="111" t="s">
        <v>216</v>
      </c>
      <c r="C21" s="111"/>
      <c r="D21" s="111"/>
      <c r="E21" s="111"/>
      <c r="F21" s="111"/>
    </row>
    <row r="22" spans="1:6" ht="31.5" customHeight="1" x14ac:dyDescent="0.25">
      <c r="A22" s="73" t="s">
        <v>217</v>
      </c>
      <c r="B22" s="110" t="s">
        <v>218</v>
      </c>
      <c r="C22" s="110"/>
      <c r="D22" s="110"/>
      <c r="E22" s="110"/>
      <c r="F22" s="110"/>
    </row>
    <row r="23" spans="1:6" ht="31.5" customHeight="1" x14ac:dyDescent="0.25">
      <c r="A23" s="74" t="s">
        <v>219</v>
      </c>
      <c r="B23" s="111" t="s">
        <v>220</v>
      </c>
      <c r="C23" s="111"/>
      <c r="D23" s="111"/>
      <c r="E23" s="111"/>
      <c r="F23" s="111"/>
    </row>
    <row r="24" spans="1:6" ht="31.5" customHeight="1" x14ac:dyDescent="0.25">
      <c r="A24" s="73" t="s">
        <v>221</v>
      </c>
      <c r="B24" s="110" t="s">
        <v>222</v>
      </c>
      <c r="C24" s="110"/>
      <c r="D24" s="110"/>
      <c r="E24" s="110"/>
      <c r="F24" s="110"/>
    </row>
    <row r="25" spans="1:6" ht="31.5" customHeight="1" x14ac:dyDescent="0.25">
      <c r="A25" s="74" t="s">
        <v>137</v>
      </c>
      <c r="B25" s="111" t="s">
        <v>223</v>
      </c>
      <c r="C25" s="111"/>
      <c r="D25" s="111"/>
      <c r="E25" s="111"/>
      <c r="F25" s="111"/>
    </row>
    <row r="27" spans="1:6" ht="25.5" customHeight="1" x14ac:dyDescent="0.25">
      <c r="A27" s="113" t="s">
        <v>224</v>
      </c>
      <c r="B27" s="113"/>
      <c r="C27" s="113"/>
      <c r="D27" s="113"/>
      <c r="E27" s="113"/>
      <c r="F27" s="113"/>
    </row>
    <row r="28" spans="1:6" ht="31.5" customHeight="1" x14ac:dyDescent="0.25">
      <c r="A28" s="75" t="s">
        <v>193</v>
      </c>
      <c r="B28" s="110" t="s">
        <v>225</v>
      </c>
      <c r="C28" s="110"/>
      <c r="D28" s="110"/>
      <c r="E28" s="110"/>
      <c r="F28" s="110"/>
    </row>
    <row r="29" spans="1:6" ht="31.5" customHeight="1" x14ac:dyDescent="0.25">
      <c r="A29" s="76" t="s">
        <v>195</v>
      </c>
      <c r="B29" s="111" t="s">
        <v>226</v>
      </c>
      <c r="C29" s="111"/>
      <c r="D29" s="111"/>
      <c r="E29" s="111"/>
      <c r="F29" s="111"/>
    </row>
    <row r="30" spans="1:6" ht="31.5" customHeight="1" x14ac:dyDescent="0.25">
      <c r="A30" s="75" t="s">
        <v>197</v>
      </c>
      <c r="B30" s="110" t="s">
        <v>227</v>
      </c>
      <c r="C30" s="110"/>
      <c r="D30" s="110"/>
      <c r="E30" s="110"/>
      <c r="F30" s="110"/>
    </row>
    <row r="31" spans="1:6" ht="31.5" customHeight="1" x14ac:dyDescent="0.25">
      <c r="A31" s="76" t="s">
        <v>199</v>
      </c>
      <c r="B31" s="111" t="s">
        <v>228</v>
      </c>
      <c r="C31" s="111"/>
      <c r="D31" s="111"/>
      <c r="E31" s="111"/>
      <c r="F31" s="111"/>
    </row>
    <row r="32" spans="1:6" ht="31.5" customHeight="1" x14ac:dyDescent="0.25">
      <c r="A32" s="75" t="s">
        <v>201</v>
      </c>
      <c r="B32" s="110" t="s">
        <v>229</v>
      </c>
      <c r="C32" s="110"/>
      <c r="D32" s="110"/>
      <c r="E32" s="110"/>
      <c r="F32" s="110"/>
    </row>
    <row r="33" spans="1:6" ht="31.5" customHeight="1" x14ac:dyDescent="0.25">
      <c r="A33" s="76" t="s">
        <v>203</v>
      </c>
      <c r="B33" s="111" t="s">
        <v>230</v>
      </c>
      <c r="C33" s="111"/>
      <c r="D33" s="111"/>
      <c r="E33" s="111"/>
      <c r="F33" s="111"/>
    </row>
  </sheetData>
  <mergeCells count="29">
    <mergeCell ref="B30:F30"/>
    <mergeCell ref="B31:F31"/>
    <mergeCell ref="B32:F32"/>
    <mergeCell ref="B33:F33"/>
    <mergeCell ref="B24:F24"/>
    <mergeCell ref="B25:F25"/>
    <mergeCell ref="A27:F27"/>
    <mergeCell ref="B28:F28"/>
    <mergeCell ref="B29:F29"/>
    <mergeCell ref="A19:F19"/>
    <mergeCell ref="B20:F20"/>
    <mergeCell ref="B21:F21"/>
    <mergeCell ref="B22:F22"/>
    <mergeCell ref="B23:F23"/>
    <mergeCell ref="B13:F13"/>
    <mergeCell ref="B14:F14"/>
    <mergeCell ref="B15:F15"/>
    <mergeCell ref="B16:F16"/>
    <mergeCell ref="B17:F17"/>
    <mergeCell ref="B7:F7"/>
    <mergeCell ref="B8:F8"/>
    <mergeCell ref="B9:F9"/>
    <mergeCell ref="A11:F11"/>
    <mergeCell ref="B12:F12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RawData</vt:lpstr>
      <vt:lpstr>📐 Statistics</vt:lpstr>
      <vt:lpstr>🔗 Correlation</vt:lpstr>
      <vt:lpstr>📈 EDA_Charts</vt:lpstr>
      <vt:lpstr>🚀 EDA_Dashboard</vt:lpstr>
      <vt:lpstr>📋 How_To_Guide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Batch3</cp:lastModifiedBy>
  <cp:revision>1</cp:revision>
  <dcterms:created xsi:type="dcterms:W3CDTF">2026-05-20T09:30:08Z</dcterms:created>
  <dcterms:modified xsi:type="dcterms:W3CDTF">2026-05-20T09:59:36Z</dcterms:modified>
  <dc:language>en-US</dc:language>
</cp:coreProperties>
</file>