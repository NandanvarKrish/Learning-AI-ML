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📊 RawData" sheetId="1" state="visible" r:id="rId3"/>
    <sheet name="📉 SimpleRegression" sheetId="2" state="visible" r:id="rId4"/>
    <sheet name="🔬 ToolPak_Output" sheetId="3" state="visible" r:id="rId5"/>
    <sheet name="🔢 MultipleRegression" sheetId="4" state="visible" r:id="rId6"/>
    <sheet name="📊 Residuals" sheetId="5" state="visible" r:id="rId7"/>
    <sheet name="🚀 ScoringEngine" sheetId="6" state="visible" r:id="rId8"/>
    <sheet name="📋 How_To_Guide" sheetId="7" state="visible" r:id="rId9"/>
    <sheet name="📋 ModelCard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<sst xmlns="http://schemas.openxmlformats.org/spreadsheetml/2006/main" count="618" uniqueCount="471">
  <si>
    <t xml:space="preserve">Day 6 — Regression Analysis  |  Student Performance Dataset  |  80 Rows</t>
  </si>
  <si>
    <t xml:space="preserve">ID</t>
  </si>
  <si>
    <t xml:space="preserve">Name</t>
  </si>
  <si>
    <t xml:space="preserve">Department</t>
  </si>
  <si>
    <t xml:space="preserve">StudyHours</t>
  </si>
  <si>
    <t xml:space="preserve">Attendance%</t>
  </si>
  <si>
    <t xml:space="preserve">Income(£)</t>
  </si>
  <si>
    <t xml:space="preserve">Score</t>
  </si>
  <si>
    <t xml:space="preserve">Pass</t>
  </si>
  <si>
    <t xml:space="preserve">Is_Eng</t>
  </si>
  <si>
    <t xml:space="preserve">Is_Mkt</t>
  </si>
  <si>
    <t xml:space="preserve">S001</t>
  </si>
  <si>
    <t xml:space="preserve">Marketing</t>
  </si>
  <si>
    <t xml:space="preserve">S002</t>
  </si>
  <si>
    <t xml:space="preserve">Engineering</t>
  </si>
  <si>
    <t xml:space="preserve">S003</t>
  </si>
  <si>
    <t xml:space="preserve">S004</t>
  </si>
  <si>
    <t xml:space="preserve">S005</t>
  </si>
  <si>
    <t xml:space="preserve">Science</t>
  </si>
  <si>
    <t xml:space="preserve">S006</t>
  </si>
  <si>
    <t xml:space="preserve">S007</t>
  </si>
  <si>
    <t xml:space="preserve">Finance</t>
  </si>
  <si>
    <t xml:space="preserve">S008</t>
  </si>
  <si>
    <t xml:space="preserve">S009</t>
  </si>
  <si>
    <t xml:space="preserve">S010</t>
  </si>
  <si>
    <t xml:space="preserve">S011</t>
  </si>
  <si>
    <t xml:space="preserve">S012</t>
  </si>
  <si>
    <t xml:space="preserve">S013</t>
  </si>
  <si>
    <t xml:space="preserve">S014</t>
  </si>
  <si>
    <t xml:space="preserve">S015</t>
  </si>
  <si>
    <t xml:space="preserve">S016</t>
  </si>
  <si>
    <t xml:space="preserve">S017</t>
  </si>
  <si>
    <t xml:space="preserve">S018</t>
  </si>
  <si>
    <t xml:space="preserve">S019</t>
  </si>
  <si>
    <t xml:space="preserve">S020</t>
  </si>
  <si>
    <t xml:space="preserve">S021</t>
  </si>
  <si>
    <t xml:space="preserve">S022</t>
  </si>
  <si>
    <t xml:space="preserve">S023</t>
  </si>
  <si>
    <t xml:space="preserve">S024</t>
  </si>
  <si>
    <t xml:space="preserve">S025</t>
  </si>
  <si>
    <t xml:space="preserve">S026</t>
  </si>
  <si>
    <t xml:space="preserve">S027</t>
  </si>
  <si>
    <t xml:space="preserve">S028</t>
  </si>
  <si>
    <t xml:space="preserve">S029</t>
  </si>
  <si>
    <t xml:space="preserve">S030</t>
  </si>
  <si>
    <t xml:space="preserve">S031</t>
  </si>
  <si>
    <t xml:space="preserve">S032</t>
  </si>
  <si>
    <t xml:space="preserve">S033</t>
  </si>
  <si>
    <t xml:space="preserve">S034</t>
  </si>
  <si>
    <t xml:space="preserve">S035</t>
  </si>
  <si>
    <t xml:space="preserve">S036</t>
  </si>
  <si>
    <t xml:space="preserve">S037</t>
  </si>
  <si>
    <t xml:space="preserve">S038</t>
  </si>
  <si>
    <t xml:space="preserve">S039</t>
  </si>
  <si>
    <t xml:space="preserve">S040</t>
  </si>
  <si>
    <t xml:space="preserve">S041</t>
  </si>
  <si>
    <t xml:space="preserve">S042</t>
  </si>
  <si>
    <t xml:space="preserve">S043</t>
  </si>
  <si>
    <t xml:space="preserve">S044</t>
  </si>
  <si>
    <t xml:space="preserve">S045</t>
  </si>
  <si>
    <t xml:space="preserve">S046</t>
  </si>
  <si>
    <t xml:space="preserve">S047</t>
  </si>
  <si>
    <t xml:space="preserve">S048</t>
  </si>
  <si>
    <t xml:space="preserve">S049</t>
  </si>
  <si>
    <t xml:space="preserve">S050</t>
  </si>
  <si>
    <t xml:space="preserve">S051</t>
  </si>
  <si>
    <t xml:space="preserve">S052</t>
  </si>
  <si>
    <t xml:space="preserve">S053</t>
  </si>
  <si>
    <t xml:space="preserve">S054</t>
  </si>
  <si>
    <t xml:space="preserve">S055</t>
  </si>
  <si>
    <t xml:space="preserve">S056</t>
  </si>
  <si>
    <t xml:space="preserve">S057</t>
  </si>
  <si>
    <t xml:space="preserve">S058</t>
  </si>
  <si>
    <t xml:space="preserve">S059</t>
  </si>
  <si>
    <t xml:space="preserve">S060</t>
  </si>
  <si>
    <t xml:space="preserve">S061</t>
  </si>
  <si>
    <t xml:space="preserve">S062</t>
  </si>
  <si>
    <t xml:space="preserve">S063</t>
  </si>
  <si>
    <t xml:space="preserve">S064</t>
  </si>
  <si>
    <t xml:space="preserve">S065</t>
  </si>
  <si>
    <t xml:space="preserve">S066</t>
  </si>
  <si>
    <t xml:space="preserve">S067</t>
  </si>
  <si>
    <t xml:space="preserve">S068</t>
  </si>
  <si>
    <t xml:space="preserve">S069</t>
  </si>
  <si>
    <t xml:space="preserve">S070</t>
  </si>
  <si>
    <t xml:space="preserve">S071</t>
  </si>
  <si>
    <t xml:space="preserve">S072</t>
  </si>
  <si>
    <t xml:space="preserve">S073</t>
  </si>
  <si>
    <t xml:space="preserve">S074</t>
  </si>
  <si>
    <t xml:space="preserve">S075</t>
  </si>
  <si>
    <t xml:space="preserve">S076</t>
  </si>
  <si>
    <t xml:space="preserve">S077</t>
  </si>
  <si>
    <t xml:space="preserve">S078</t>
  </si>
  <si>
    <t xml:space="preserve">S079</t>
  </si>
  <si>
    <t xml:space="preserve">S080</t>
  </si>
  <si>
    <t xml:space="preserve">Simple Linear Regression — Manual Method  (y = β₀ + β₁ × StudyHours)</t>
  </si>
  <si>
    <t xml:space="preserve">What this does: Finds the BEST STRAIGHT LINE through the data. β₁ = slope (effect per study hour). β₀ = intercept (score when hours=0). R² = % of score variation explained by study hours.</t>
  </si>
  <si>
    <t xml:space="preserve">Training Data + Predictions + Residuals</t>
  </si>
  <si>
    <t xml:space="preserve">Model Parameters</t>
  </si>
  <si>
    <t xml:space="preserve">ActualScore</t>
  </si>
  <si>
    <t xml:space="preserve">PredictedScore</t>
  </si>
  <si>
    <t xml:space="preserve">Residual</t>
  </si>
  <si>
    <t xml:space="preserve">AbsError</t>
  </si>
  <si>
    <t xml:space="preserve">SqError</t>
  </si>
  <si>
    <t xml:space="preserve">MAPEError</t>
  </si>
  <si>
    <t xml:space="preserve">β₁  (Slope)</t>
  </si>
  <si>
    <t xml:space="preserve">←</t>
  </si>
  <si>
    <t xml:space="preserve">Score gain per extra study hour</t>
  </si>
  <si>
    <t xml:space="preserve">β₀  (Intercept)</t>
  </si>
  <si>
    <t xml:space="preserve">Predicted score when study hours = 0</t>
  </si>
  <si>
    <t xml:space="preserve">R²  (R-Squared)</t>
  </si>
  <si>
    <t xml:space="preserve">% of score variance explained by study hours</t>
  </si>
  <si>
    <t xml:space="preserve">r  (Correlation)</t>
  </si>
  <si>
    <t xml:space="preserve">Pearson correlation coefficient</t>
  </si>
  <si>
    <t xml:space="preserve">Std Error</t>
  </si>
  <si>
    <t xml:space="preserve">Average prediction error in score points</t>
  </si>
  <si>
    <t xml:space="preserve">n  (Rows)</t>
  </si>
  <si>
    <t xml:space="preserve">Number of data points used</t>
  </si>
  <si>
    <t xml:space="preserve">📐  MODEL EQUATION:   Score  =  [β₀]  +  [β₁]  ×  StudyHours</t>
  </si>
  <si>
    <t xml:space="preserve">VERIFY YOUR MODEL:
1.  AVERAGE(Residuals) ≈ 0.00  — mathematical property of OLS
2.  PredictedScore formula matches β₀ + β₁ × StudyHours
3.  FORECAST.LINEAR(5, Score_col, Hours_col) should match formula result for x=5</t>
  </si>
  <si>
    <t xml:space="preserve">Prediction for New Study Hours</t>
  </si>
  <si>
    <t xml:space="preserve">StudyHours (Input)</t>
  </si>
  <si>
    <t xml:space="preserve">Predicted Score</t>
  </si>
  <si>
    <t xml:space="preserve">Lower 95% CI</t>
  </si>
  <si>
    <t xml:space="preserve">Upper 95% CI</t>
  </si>
  <si>
    <t xml:space="preserve">AVERAGE of residuals should ≈ 0  |  MAE = mean error  |  RMSE = root mean squared error  |  MAPE = % error</t>
  </si>
  <si>
    <t xml:space="preserve">ToolPak Regression Output — Annotated (Data → Data Analysis → Regression)</t>
  </si>
  <si>
    <t xml:space="preserve">HOW TO RUN:  Data tab  →  Data Analysis  →  Regression  →  Y Range: Score column  →  X Range: StudyHours column  →  ✓ Labels  →  ✓ Residuals  →  OK</t>
  </si>
  <si>
    <t xml:space="preserve">SECTION 1 — Regression Statistics (Model Quality)</t>
  </si>
  <si>
    <t xml:space="preserve">Metric</t>
  </si>
  <si>
    <t xml:space="preserve">Value</t>
  </si>
  <si>
    <t xml:space="preserve">What It Means</t>
  </si>
  <si>
    <t xml:space="preserve">Good Value?</t>
  </si>
  <si>
    <t xml:space="preserve">Your Value</t>
  </si>
  <si>
    <t xml:space="preserve">Multiple R</t>
  </si>
  <si>
    <t xml:space="preserve">Correlation between predicted and actual. Same as r.</t>
  </si>
  <si>
    <t xml:space="preserve">+0.6 to +1.0 = good</t>
  </si>
  <si>
    <t xml:space="preserve">R Square</t>
  </si>
  <si>
    <t xml:space="preserve">% of score variance explained by the model. R² = r²</t>
  </si>
  <si>
    <t xml:space="preserve">&gt;0.5 = moderate, &gt;0.7 = strong</t>
  </si>
  <si>
    <t xml:space="preserve">Adjusted R Square</t>
  </si>
  <si>
    <t xml:space="preserve">R² penalised for number of features. More honest than R²</t>
  </si>
  <si>
    <t xml:space="preserve">Should be close to R². Big drop = overfitting</t>
  </si>
  <si>
    <t xml:space="preserve">Standard Error</t>
  </si>
  <si>
    <t xml:space="preserve">Average prediction error in score points. Lower = better</t>
  </si>
  <si>
    <t xml:space="preserve">&lt;10 for score predictions</t>
  </si>
  <si>
    <t xml:space="preserve">Observations</t>
  </si>
  <si>
    <t xml:space="preserve">Number of data rows used to train the model</t>
  </si>
  <si>
    <t xml:space="preserve">Should equal your dataset size (80)</t>
  </si>
  <si>
    <t xml:space="preserve">SECTION 2 — ANOVA Table (Is the Model Statistically Significant?)</t>
  </si>
  <si>
    <t xml:space="preserve">Source</t>
  </si>
  <si>
    <t xml:space="preserve">df</t>
  </si>
  <si>
    <t xml:space="preserve">SS (Sum Squares)</t>
  </si>
  <si>
    <t xml:space="preserve">MS (Mean Sq)</t>
  </si>
  <si>
    <t xml:space="preserve">F Statistic</t>
  </si>
  <si>
    <t xml:space="preserve">Sig F (p-value)</t>
  </si>
  <si>
    <t xml:space="preserve">Interpretation</t>
  </si>
  <si>
    <t xml:space="preserve">Regression</t>
  </si>
  <si>
    <t xml:space="preserve">1</t>
  </si>
  <si>
    <t xml:space="preserve">If Sig F &lt; 0.05: at least one feature significantly predicts the target</t>
  </si>
  <si>
    <t xml:space="preserve">78</t>
  </si>
  <si>
    <t xml:space="preserve">—</t>
  </si>
  <si>
    <t xml:space="preserve">Residual = variance the model could NOT explain</t>
  </si>
  <si>
    <t xml:space="preserve">Total</t>
  </si>
  <si>
    <t xml:space="preserve">79</t>
  </si>
  <si>
    <t xml:space="preserve">Regression SS + Residual SS = Total SS</t>
  </si>
  <si>
    <t xml:space="preserve">SECTION 3 — Coefficients Table (Most Important Section!)</t>
  </si>
  <si>
    <t xml:space="preserve">Variable</t>
  </si>
  <si>
    <t xml:space="preserve">Coefficient</t>
  </si>
  <si>
    <t xml:space="preserve">t Statistic</t>
  </si>
  <si>
    <t xml:space="preserve">p-value</t>
  </si>
  <si>
    <t xml:space="preserve">Lower 95%</t>
  </si>
  <si>
    <t xml:space="preserve">Upper 95%</t>
  </si>
  <si>
    <t xml:space="preserve">Significant?</t>
  </si>
  <si>
    <t xml:space="preserve">Intercept</t>
  </si>
  <si>
    <t xml:space="preserve">Predicted score when all inputs = 0 (baseline score)</t>
  </si>
  <si>
    <t xml:space="preserve">Each extra study hour predicts this many more exam points</t>
  </si>
  <si>
    <t xml:space="preserve">HOW TO READ THIS OUTPUT</t>
  </si>
  <si>
    <t xml:space="preserve">Coefficient (Col B)</t>
  </si>
  <si>
    <t xml:space="preserve">→</t>
  </si>
  <si>
    <t xml:space="preserve">The effect size. β₁=4.2 means: 1 extra study hour predicts 4.2 more exam points.</t>
  </si>
  <si>
    <t xml:space="preserve">p-value (Col E)</t>
  </si>
  <si>
    <t xml:space="preserve">&lt; 0.05 = feature is statistically significant. ≥ 0.05 = could be random noise — consider dropping.</t>
  </si>
  <si>
    <t xml:space="preserve">95% CI (Cols F–G)</t>
  </si>
  <si>
    <t xml:space="preserve">Range the true coefficient likely falls in. If it crosses zero, effect may not be real.</t>
  </si>
  <si>
    <t xml:space="preserve">R Square (Sheet top)</t>
  </si>
  <si>
    <t xml:space="preserve">0.67 means study hours explains 67% of score differences. The other 33% = unmeasured factors.</t>
  </si>
  <si>
    <t xml:space="preserve">Std Error (Sheet top)</t>
  </si>
  <si>
    <t xml:space="preserve">If Std Error = 6.2: predictions typically within ±6.2 score points of the real score.</t>
  </si>
  <si>
    <t xml:space="preserve">Sig F (ANOVA)</t>
  </si>
  <si>
    <t xml:space="preserve">Overall model significance. &lt; 0.05 = your model is better than just predicting the mean.</t>
  </si>
  <si>
    <t xml:space="preserve">Multiple Linear Regression — 3 Features + Backward Elimination</t>
  </si>
  <si>
    <t xml:space="preserve">Uses StudyHours + Attendance% + Is_Eng.  Backward Elimination removes features with p &gt; 0.05.  Compare Adj R² before and after.</t>
  </si>
  <si>
    <t xml:space="preserve">Trained Coefficients (Full Model)</t>
  </si>
  <si>
    <t xml:space="preserve">Predictions + Residuals (Multiple Regression)</t>
  </si>
  <si>
    <t xml:space="preserve">Parameter</t>
  </si>
  <si>
    <t xml:space="preserve">Formula Used</t>
  </si>
  <si>
    <t xml:space="preserve">Plain English Meaning</t>
  </si>
  <si>
    <t xml:space="preserve">StudyHrs</t>
  </si>
  <si>
    <t xml:space="preserve">Attend%</t>
  </si>
  <si>
    <t xml:space="preserve">Predicted</t>
  </si>
  <si>
    <t xml:space="preserve">AbsErr</t>
  </si>
  <si>
    <t xml:space="preserve">SqErr</t>
  </si>
  <si>
    <t xml:space="preserve">Pct_Err</t>
  </si>
  <si>
    <t xml:space="preserve">47.5674</t>
  </si>
  <si>
    <t xml:space="preserve">INTERCEPT(Score, [StudyHours,Attendance])</t>
  </si>
  <si>
    <t xml:space="preserve">Baseline score when all features = 0</t>
  </si>
  <si>
    <t xml:space="preserve">β₁  (StudyHours)</t>
  </si>
  <si>
    <t xml:space="preserve">2.9258</t>
  </si>
  <si>
    <t xml:space="preserve">LINEST 2nd coefficient</t>
  </si>
  <si>
    <t xml:space="preserve">Score gain per extra study hour (holding Attendance constant)</t>
  </si>
  <si>
    <t xml:space="preserve">β₂  (Attendance)</t>
  </si>
  <si>
    <t xml:space="preserve">0.3268</t>
  </si>
  <si>
    <t xml:space="preserve">LINEST 1st coefficient</t>
  </si>
  <si>
    <t xml:space="preserve">Score gain per 1% increase in Attendance (holding StudyHours constant)</t>
  </si>
  <si>
    <t xml:space="preserve">β₃  (Is_Eng)</t>
  </si>
  <si>
    <t xml:space="preserve">4.6281</t>
  </si>
  <si>
    <t xml:space="preserve">LINEST — Engineering dummy</t>
  </si>
  <si>
    <t xml:space="preserve">Extra score for Engineering students vs reference group</t>
  </si>
  <si>
    <t xml:space="preserve">R²  (Full Model)</t>
  </si>
  <si>
    <t xml:space="preserve">0.5863</t>
  </si>
  <si>
    <t xml:space="preserve">RSQ(Score, [StudyHours,Attendance])</t>
  </si>
  <si>
    <t xml:space="preserve">% of score variance explained by all 3 features combined</t>
  </si>
  <si>
    <t xml:space="preserve">Adj R²</t>
  </si>
  <si>
    <t xml:space="preserve">1-(1-R²)×(n-1)/(n-k-1)</t>
  </si>
  <si>
    <t xml:space="preserve">Penalised R². Better metric when comparing models with different features</t>
  </si>
  <si>
    <t xml:space="preserve">SQRT(SUMXMY2(actual,pred)/df)</t>
  </si>
  <si>
    <t xml:space="preserve">FULL MODEL EQUATION:</t>
  </si>
  <si>
    <t xml:space="preserve">Model Comparison — Single vs Multiple Feature</t>
  </si>
  <si>
    <t xml:space="preserve">Model</t>
  </si>
  <si>
    <t xml:space="preserve">Features Used</t>
  </si>
  <si>
    <t xml:space="preserve">R²</t>
  </si>
  <si>
    <t xml:space="preserve">Model 1 — Simple</t>
  </si>
  <si>
    <t xml:space="preserve">StudyHours only</t>
  </si>
  <si>
    <t xml:space="preserve">Model 2 — Two Features</t>
  </si>
  <si>
    <t xml:space="preserve">StudyHours + Attendance</t>
  </si>
  <si>
    <t xml:space="preserve">Model 3 — Three Features</t>
  </si>
  <si>
    <t xml:space="preserve">StudyHours + Attendance + Is_Eng</t>
  </si>
  <si>
    <t xml:space="preserve">KEY INSIGHT:  Compare Adj R² across models. If Adj R² increases when adding a feature → keep it. If it drops → the feature adds noise, not signal. Use HIGHEST Adj R² model.</t>
  </si>
  <si>
    <t xml:space="preserve">AVERAGES →  Residual avg should ≈ 0</t>
  </si>
  <si>
    <t xml:space="preserve">Residual Analysis — Model Health Check</t>
  </si>
  <si>
    <t xml:space="preserve">Residuals = Actual − Predicted.  A GOOD model shows: random scatter around 0.  Pattern in residuals = model is wrong in a systematic way.</t>
  </si>
  <si>
    <t xml:space="preserve">Row</t>
  </si>
  <si>
    <t xml:space="preserve">StdResidual</t>
  </si>
  <si>
    <t xml:space="preserve">Residual Pattern Diagnosis</t>
  </si>
  <si>
    <t xml:space="preserve">Pattern</t>
  </si>
  <si>
    <t xml:space="preserve">Status</t>
  </si>
  <si>
    <t xml:space="preserve">Meaning</t>
  </si>
  <si>
    <t xml:space="preserve">Fix</t>
  </si>
  <si>
    <t xml:space="preserve">Random scatter around 0</t>
  </si>
  <si>
    <t xml:space="preserve">✓ GOOD MODEL</t>
  </si>
  <si>
    <t xml:space="preserve">Assumptions met. Model is appropriate.</t>
  </si>
  <si>
    <t xml:space="preserve">No action needed</t>
  </si>
  <si>
    <t xml:space="preserve">Fan/funnel shape</t>
  </si>
  <si>
    <t xml:space="preserve">⚠ Heteroscedasticity</t>
  </si>
  <si>
    <t xml:space="preserve">Variance increases with fitted values</t>
  </si>
  <si>
    <t xml:space="preserve">Log-transform the target variable</t>
  </si>
  <si>
    <t xml:space="preserve">Curved arc pattern</t>
  </si>
  <si>
    <t xml:space="preserve">⚠ Non-linearity</t>
  </si>
  <si>
    <t xml:space="preserve">Missed non-linear relationship</t>
  </si>
  <si>
    <t xml:space="preserve">Add feature² term or try tree model</t>
  </si>
  <si>
    <t xml:space="preserve">Systematic blocks</t>
  </si>
  <si>
    <t xml:space="preserve">⚠ Missing feature</t>
  </si>
  <si>
    <t xml:space="preserve">Groups not captured by model</t>
  </si>
  <si>
    <t xml:space="preserve">Add the missing categorical variable</t>
  </si>
  <si>
    <t xml:space="preserve">|Std Residual| &gt; 3</t>
  </si>
  <si>
    <t xml:space="preserve">⚠ Extreme outlier</t>
  </si>
  <si>
    <t xml:space="preserve">Very influential data point</t>
  </si>
  <si>
    <t xml:space="preserve">Investigate — data error or real extreme?</t>
  </si>
  <si>
    <t xml:space="preserve">Residual Summary Statistics</t>
  </si>
  <si>
    <t xml:space="preserve">Format</t>
  </si>
  <si>
    <t xml:space="preserve">Mean Residual</t>
  </si>
  <si>
    <t xml:space="preserve">0.0000</t>
  </si>
  <si>
    <t xml:space="preserve">Should be ≈ 0.00 (mathematical property)</t>
  </si>
  <si>
    <t xml:space="preserve">Std Dev Residuals</t>
  </si>
  <si>
    <t xml:space="preserve">0.00</t>
  </si>
  <si>
    <t xml:space="preserve">≈ Std Error of model</t>
  </si>
  <si>
    <t xml:space="preserve">Max Residual</t>
  </si>
  <si>
    <t xml:space="preserve">Largest over-prediction error</t>
  </si>
  <si>
    <t xml:space="preserve">Min Residual</t>
  </si>
  <si>
    <t xml:space="preserve">Largest under-prediction error</t>
  </si>
  <si>
    <t xml:space="preserve">MAE</t>
  </si>
  <si>
    <t xml:space="preserve">Mean Absolute Error — typical error magnitude</t>
  </si>
  <si>
    <t xml:space="preserve">RMSE</t>
  </si>
  <si>
    <t xml:space="preserve">Root Mean Squared Error — punishes big errors</t>
  </si>
  <si>
    <t xml:space="preserve">Influential Pts</t>
  </si>
  <si>
    <t xml:space="preserve">0</t>
  </si>
  <si>
    <t xml:space="preserve">Rows where |Std Residual| &gt; 2</t>
  </si>
  <si>
    <t xml:space="preserve">Influential %</t>
  </si>
  <si>
    <t xml:space="preserve">0.0%</t>
  </si>
  <si>
    <t xml:space="preserve">Should be &lt; 5% of data</t>
  </si>
  <si>
    <t xml:space="preserve">🎯  Student Score Predictor — Live Regression Scoring Engine</t>
  </si>
  <si>
    <t xml:space="preserve">Change the YELLOW input cells below → Predicted Score updates automatically. Uses your trained Multiple Regression model.</t>
  </si>
  <si>
    <t xml:space="preserve">📥  INPUT — Student Features  (Yellow cells are editable)</t>
  </si>
  <si>
    <t xml:space="preserve">Study Hours / Day</t>
  </si>
  <si>
    <t xml:space="preserve">(0.5 to 10 hours)</t>
  </si>
  <si>
    <t xml:space="preserve">← ENTER HERE</t>
  </si>
  <si>
    <t xml:space="preserve">Number of hours studied per day</t>
  </si>
  <si>
    <t xml:space="preserve">StudyHours + Attend% + Is_Eng</t>
  </si>
  <si>
    <t xml:space="preserve">Attendance %</t>
  </si>
  <si>
    <t xml:space="preserve">(40 to 100%)</t>
  </si>
  <si>
    <t xml:space="preserve">Percentage of classes attended</t>
  </si>
  <si>
    <t xml:space="preserve">R² (Full Model)</t>
  </si>
  <si>
    <t xml:space="preserve">(Eng / Mkt / Sci / Fin)</t>
  </si>
  <si>
    <t xml:space="preserve">Student's academic department</t>
  </si>
  <si>
    <t xml:space="preserve">⚙  AUTO-CALCULATED — One-Hot Encoding (do not edit)</t>
  </si>
  <si>
    <t xml:space="preserve">MAE (Training)</t>
  </si>
  <si>
    <t xml:space="preserve">Is_Eng (auto)</t>
  </si>
  <si>
    <t xml:space="preserve">← =1 if Engineering, 0 otherwise</t>
  </si>
  <si>
    <t xml:space="preserve">RMSE (Training)</t>
  </si>
  <si>
    <t xml:space="preserve">Is_Mkt (auto)</t>
  </si>
  <si>
    <t xml:space="preserve">← =1 if Marketing, 0 otherwise</t>
  </si>
  <si>
    <t xml:space="preserve">Trained on</t>
  </si>
  <si>
    <t xml:space="preserve">80 students</t>
  </si>
  <si>
    <t xml:space="preserve">Date Trained</t>
  </si>
  <si>
    <t xml:space="preserve">📤  OUTPUT — Predictions</t>
  </si>
  <si>
    <t xml:space="preserve">← AUTO</t>
  </si>
  <si>
    <t xml:space="preserve">Score out of 100</t>
  </si>
  <si>
    <t xml:space="preserve">95% Lower Bound</t>
  </si>
  <si>
    <t xml:space="preserve">Lower confidence bound</t>
  </si>
  <si>
    <t xml:space="preserve">95% Upper Bound</t>
  </si>
  <si>
    <t xml:space="preserve">Upper confidence bound</t>
  </si>
  <si>
    <t xml:space="preserve">Grade</t>
  </si>
  <si>
    <t xml:space="preserve">Letter grade from predicted score</t>
  </si>
  <si>
    <t xml:space="preserve">Pass / Fail</t>
  </si>
  <si>
    <t xml:space="preserve">Pass threshold = 60</t>
  </si>
  <si>
    <t xml:space="preserve">Risk Level</t>
  </si>
  <si>
    <t xml:space="preserve">Risk of failing</t>
  </si>
  <si>
    <t xml:space="preserve">Recommendation</t>
  </si>
  <si>
    <t xml:space="preserve">Suggested action</t>
  </si>
  <si>
    <t xml:space="preserve">Test Scenarios — See Model in Action</t>
  </si>
  <si>
    <t xml:space="preserve">Scenario</t>
  </si>
  <si>
    <t xml:space="preserve">Dept</t>
  </si>
  <si>
    <t xml:space="preserve">Risk</t>
  </si>
  <si>
    <t xml:space="preserve">Action</t>
  </si>
  <si>
    <t xml:space="preserve">High Performer</t>
  </si>
  <si>
    <t xml:space="preserve">Average Student</t>
  </si>
  <si>
    <t xml:space="preserve">At-Risk Student</t>
  </si>
  <si>
    <t xml:space="preserve">Good but Low Att</t>
  </si>
  <si>
    <t xml:space="preserve">Day 6 — Step-by-Step Guide for Every Task</t>
  </si>
  <si>
    <t xml:space="preserve">TASK 1 — Manual Simple Regression</t>
  </si>
  <si>
    <t xml:space="preserve">Step 1 - Sheet</t>
  </si>
  <si>
    <t xml:space="preserve">Go to 📉 SimpleRegression sheet. Look at the Parameter Panel (rows 5 to 10).</t>
  </si>
  <si>
    <t xml:space="preserve">β₁ (Slope)</t>
  </si>
  <si>
    <t xml:space="preserve">Use SLOPE(Score_range, StudyHours_range) — already in cell B5. This is how many score points each extra study hour is worth.</t>
  </si>
  <si>
    <t xml:space="preserve">β₀ (Intercept)</t>
  </si>
  <si>
    <t xml:space="preserve">Use INTERCEPT(Score_range, StudyHours_range) — in cell B6. This is the predicted score for zero study hours.</t>
  </si>
  <si>
    <t xml:space="preserve">Column H = β₀ + β₁ × StudyHours. Verify: AVERAGE(Residuals) in row 85 ≈ 0.</t>
  </si>
  <si>
    <t xml:space="preserve">R² meaning</t>
  </si>
  <si>
    <t xml:space="preserve">B7 shows R². If R²=0.67: study hours explains 67% of score differences. Other 33% = unmeasured factors.</t>
  </si>
  <si>
    <t xml:space="preserve">Forecast table</t>
  </si>
  <si>
    <t xml:space="preserve">Rows 22–31 show predictions for 1–10 hours with 95% confidence intervals. Change column A to see new predictions.</t>
  </si>
  <si>
    <t xml:space="preserve">Chart</t>
  </si>
  <si>
    <t xml:space="preserve">Scatter chart shows data points (blue dots) and regression line (green). Line should pass through the middle of the cloud.</t>
  </si>
  <si>
    <t xml:space="preserve">TASK 2 — Read ToolPak Output</t>
  </si>
  <si>
    <t xml:space="preserve">How to run ToolPak</t>
  </si>
  <si>
    <t xml:space="preserve">Data tab → Data Analysis → Regression. Y Range = Score. X Range = StudyHours. ✓ Labels. ✓ Residuals. Click OK.</t>
  </si>
  <si>
    <t xml:space="preserve">Section 1 — R²</t>
  </si>
  <si>
    <t xml:space="preserve">Go to 🔬 ToolPak_Output. R² in row 7. Values ≥ 0.5 are meaningful. Adjusted R² is more honest (penalises extra features).</t>
  </si>
  <si>
    <t xml:space="preserve">Section 2 — ANOVA</t>
  </si>
  <si>
    <t xml:space="preserve">Row 14: Significance F &lt; 0.05 means the model is statistically better than predicting the mean. This is the 'overall' significance.</t>
  </si>
  <si>
    <t xml:space="preserve">Section 3 — Coefficients</t>
  </si>
  <si>
    <t xml:space="preserve">Rows 20–21. The Coefficient (col B) = β value. The p-value (col E) tells you if that feature is statistically real.</t>
  </si>
  <si>
    <t xml:space="preserve">p-value rule</t>
  </si>
  <si>
    <t xml:space="preserve">p &lt; 0.05 → feature is significant → keep it.  p ≥ 0.05 → could be noise → consider dropping.</t>
  </si>
  <si>
    <t xml:space="preserve">95% CI</t>
  </si>
  <si>
    <t xml:space="preserve">Columns F–G. If both bounds are same sign (both positive or both negative) → effect is real. If CI crosses zero → effect uncertain.</t>
  </si>
  <si>
    <t xml:space="preserve">B9 = average prediction error in score points. E.g. 6.2 means predictions typically within ±6 points of real score.</t>
  </si>
  <si>
    <t xml:space="preserve">TASK 3 — Multiple Regression</t>
  </si>
  <si>
    <t xml:space="preserve">Go to sheet</t>
  </si>
  <si>
    <t xml:space="preserve">Open 🔢 MultipleRegression. The model uses StudyHours + Attendance% + Is_Eng.</t>
  </si>
  <si>
    <t xml:space="preserve">Model equation</t>
  </si>
  <si>
    <t xml:space="preserve">Row 15 shows: Score = β₀ + β₁×StudyHours + β₂×Attendance + β₃×Is_Eng. Each β is auto-calculated with LINEST.</t>
  </si>
  <si>
    <t xml:space="preserve">Backward elimination</t>
  </si>
  <si>
    <t xml:space="preserve">Start with all 3 features. If any has p &gt; 0.05 in ToolPak output, remove it and re-run. Compare Adj R².</t>
  </si>
  <si>
    <t xml:space="preserve">Model comparison</t>
  </si>
  <si>
    <t xml:space="preserve">Rows 20–22 compare 1-feature, 2-feature, 3-feature models. The model with HIGHEST Adj R² is best.</t>
  </si>
  <si>
    <t xml:space="preserve">Why Adj R²?</t>
  </si>
  <si>
    <t xml:space="preserve">Adding any feature (even useless ones) increases R². Adj R² penalises extra features — only increases if feature genuinely helps.</t>
  </si>
  <si>
    <t xml:space="preserve">Predictions</t>
  </si>
  <si>
    <t xml:space="preserve">Column J shows predicted scores for all 80 students. Column K = residuals. Row 86 = summary metrics.</t>
  </si>
  <si>
    <t xml:space="preserve">Check residuals</t>
  </si>
  <si>
    <t xml:space="preserve">AVERAGE(Residuals) in K86 ≈ 0. RMSE in M86 = typical prediction error. Lower is better.</t>
  </si>
  <si>
    <t xml:space="preserve">TASK 4 — Residual Analysis</t>
  </si>
  <si>
    <t xml:space="preserve">Open 📊 Residuals. Column D = Residuals (Actual − Predicted). Column E = Standardised Residuals.</t>
  </si>
  <si>
    <t xml:space="preserve">What to look for</t>
  </si>
  <si>
    <t xml:space="preserve">Good model: residuals are random scatter around 0. No pattern, no curve, no funnel shape.</t>
  </si>
  <si>
    <t xml:space="preserve">Standardised residuals</t>
  </si>
  <si>
    <t xml:space="preserve">Column E: values &gt; 2 or &lt; -2 are flagged ⚠ INFLUENTIAL in column H.</t>
  </si>
  <si>
    <t xml:space="preserve">Pattern diagnosis</t>
  </si>
  <si>
    <t xml:space="preserve">Rows 6–10 show: what each residual pattern means and how to fix it.</t>
  </si>
  <si>
    <t xml:space="preserve">Fan shape</t>
  </si>
  <si>
    <t xml:space="preserve">If residuals get wider as predicted score increases → heteroscedasticity. Fix: log-transform target.</t>
  </si>
  <si>
    <t xml:space="preserve">Curved pattern</t>
  </si>
  <si>
    <t xml:space="preserve">If residuals form a curve → non-linear relationship missed. Fix: add StudyHours² as a feature.</t>
  </si>
  <si>
    <t xml:space="preserve">If &lt; 5% of rows are INFLUENTIAL (col H row 88 shows %) → model is fine. If &gt; 5% → investigate those rows.</t>
  </si>
  <si>
    <t xml:space="preserve">TASK 5 — Scoring Engine</t>
  </si>
  <si>
    <t xml:space="preserve">Open 🚀 ScoringEngine. Type new values into the YELLOW cells (C5, C6, C7).</t>
  </si>
  <si>
    <t xml:space="preserve">Study Hours</t>
  </si>
  <si>
    <t xml:space="preserve">Cell C5 — type any number 0.5 to 10.</t>
  </si>
  <si>
    <t xml:space="preserve">Cell C6 — type any number 40 to 100.</t>
  </si>
  <si>
    <t xml:space="preserve">Cell C7 — type exactly: Engineering, Marketing, Science, or Finance (case sensitive).</t>
  </si>
  <si>
    <t xml:space="preserve">Outputs update</t>
  </si>
  <si>
    <t xml:space="preserve">Rows 14–20 update automatically: Predicted Score, Grade (A–F), Pass/Fail, Risk Level, Recommendation.</t>
  </si>
  <si>
    <t xml:space="preserve">Confidence interval</t>
  </si>
  <si>
    <t xml:space="preserve">Rows 15–16 show 95% CI. Prediction ± 1.96 × Std Error. E.g. 74 ± 12 means [62, 86].</t>
  </si>
  <si>
    <t xml:space="preserve">Test scenarios</t>
  </si>
  <si>
    <t xml:space="preserve">Rows 24–27 show 4 pre-built scenarios. See how a High Performer vs At-Risk student gets different predictions.</t>
  </si>
  <si>
    <t xml:space="preserve">📋  Model Card — Day 6 Linear Regression</t>
  </si>
  <si>
    <t xml:space="preserve">PROJECT DETAILS</t>
  </si>
  <si>
    <t xml:space="preserve">Project Name</t>
  </si>
  <si>
    <t xml:space="preserve">Student Exam Score Predictor</t>
  </si>
  <si>
    <t xml:space="preserve">Model Type</t>
  </si>
  <si>
    <t xml:space="preserve">Multiple Linear Regression</t>
  </si>
  <si>
    <t xml:space="preserve">Target Variable</t>
  </si>
  <si>
    <t xml:space="preserve">Exam Score (0–100, continuous)</t>
  </si>
  <si>
    <t xml:space="preserve">Problem Type</t>
  </si>
  <si>
    <t xml:space="preserve">Regression — predict a numeric value</t>
  </si>
  <si>
    <t xml:space="preserve">Training Date</t>
  </si>
  <si>
    <t xml:space="preserve">Trained By</t>
  </si>
  <si>
    <t xml:space="preserve">[Your Name]</t>
  </si>
  <si>
    <t xml:space="preserve">DATA</t>
  </si>
  <si>
    <t xml:space="preserve">Dataset Size</t>
  </si>
  <si>
    <t xml:space="preserve">80 rows (students)</t>
  </si>
  <si>
    <t xml:space="preserve">StudyHours, Attendance%, Is_Eng (one-hot)</t>
  </si>
  <si>
    <t xml:space="preserve">Features Dropped</t>
  </si>
  <si>
    <t xml:space="preserve">Income — R²=0.002, no predictive value</t>
  </si>
  <si>
    <t xml:space="preserve">Missing Values</t>
  </si>
  <si>
    <t xml:space="preserve">0 (cleaned in Day 4)</t>
  </si>
  <si>
    <t xml:space="preserve">Encoding</t>
  </si>
  <si>
    <t xml:space="preserve">Department → one-hot (Is_Eng, Is_Mkt)</t>
  </si>
  <si>
    <t xml:space="preserve">Scaling</t>
  </si>
  <si>
    <t xml:space="preserve">Not applied (linear regression doesn't require it)</t>
  </si>
  <si>
    <t xml:space="preserve">PERFORMANCE</t>
  </si>
  <si>
    <t xml:space="preserve">R² (3-feature model)</t>
  </si>
  <si>
    <t xml:space="preserve">Adjusted R²</t>
  </si>
  <si>
    <t xml:space="preserve">Baseline MAE (predict mean)</t>
  </si>
  <si>
    <t xml:space="preserve">MODEL EQUATION</t>
  </si>
  <si>
    <t xml:space="preserve">Full Equation</t>
  </si>
  <si>
    <t xml:space="preserve">Score = β₀ + β₁×StudyHours + β₂×Attendance + β₃×Is_Eng</t>
  </si>
  <si>
    <t xml:space="preserve">β₁ (StudyHours effect)</t>
  </si>
  <si>
    <t xml:space="preserve">β₂ (Attendance effect)</t>
  </si>
  <si>
    <t xml:space="preserve">β₃ (Engineering bonus)</t>
  </si>
  <si>
    <t xml:space="preserve">Interpret β₁</t>
  </si>
  <si>
    <t xml:space="preserve">For every 1 extra study hour (holding others constant), predicted score increases by β₁ points</t>
  </si>
  <si>
    <t xml:space="preserve">LIMITATIONS</t>
  </si>
  <si>
    <t xml:space="preserve">Sample Size</t>
  </si>
  <si>
    <t xml:space="preserve">Only 80 rows — small for production use. Minimum recommended: 200+</t>
  </si>
  <si>
    <t xml:space="preserve">No Test Split</t>
  </si>
  <si>
    <t xml:space="preserve">Metrics are training metrics — overfitting cannot be detected (addressed in Day 9)</t>
  </si>
  <si>
    <t xml:space="preserve">Linear Only</t>
  </si>
  <si>
    <t xml:space="preserve">Assumes linear relationship. Non-linear patterns are missed.</t>
  </si>
  <si>
    <t xml:space="preserve">Missing Features</t>
  </si>
  <si>
    <t xml:space="preserve">Prior grades, study quality, mental health not captured</t>
  </si>
  <si>
    <t xml:space="preserve">Department Encoding</t>
  </si>
  <si>
    <t xml:space="preserve">Only Eng included — other depts treated as one group</t>
  </si>
  <si>
    <t xml:space="preserve">Do NOT use for</t>
  </si>
  <si>
    <t xml:space="preserve">Predicting scores for students outside the training cohort without validation</t>
  </si>
  <si>
    <t xml:space="preserve">NEXT STEPS</t>
  </si>
  <si>
    <t xml:space="preserve">Day 9 Action</t>
  </si>
  <si>
    <t xml:space="preserve">Create train/test split, calculate Test RMSE to check generalisation</t>
  </si>
  <si>
    <t xml:space="preserve">Add Features</t>
  </si>
  <si>
    <t xml:space="preserve">Include SleepHours, PrevGrade, StudyMethod for better R²</t>
  </si>
  <si>
    <t xml:space="preserve">Try Classification</t>
  </si>
  <si>
    <t xml:space="preserve">If target is Pass/Fail → switch to logistic regression (Day 7)</t>
  </si>
  <si>
    <t xml:space="preserve">Python Equivalent</t>
  </si>
  <si>
    <t xml:space="preserve">sklearn.linear_model.LinearRegression().fit(X_train, y_train)</t>
  </si>
  <si>
    <t xml:space="preserve">Power BI</t>
  </si>
  <si>
    <t xml:space="preserve">This scoring engine can be replicated as a Power BI report</t>
  </si>
  <si>
    <t xml:space="preserve">Retrain</t>
  </si>
  <si>
    <t xml:space="preserve">Retrain every semester as new student data becomes available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</si>
</sst>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0.0"/>
    <numFmt numFmtId="166" formatCode="#,##0"/>
    <numFmt numFmtId="167" formatCode="0.0000"/>
    <numFmt numFmtId="168" formatCode="0.00"/>
    <numFmt numFmtId="169" formatCode="0.0%"/>
    <numFmt numFmtId="170" formatCode="0"/>
    <numFmt numFmtId="171" formatCode="0.00%"/>
    <numFmt numFmtId="172" formatCode="@"/>
    <numFmt numFmtId="173" formatCode="General"/>
    <numFmt numFmtId="174" formatCode="mm/dd/yy"/>
  </numFmts>
  <fonts count="4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10"/>
      <color rgb="FF18243A"/>
      <name val="Calibri"/>
      <family val="0"/>
      <charset val="1"/>
    </font>
    <font>
      <sz val="9"/>
      <color rgb="FF3D4F6E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b val="true"/>
      <sz val="10"/>
      <color rgb="FF18243A"/>
      <name val="Calibri"/>
      <family val="0"/>
      <charset val="1"/>
    </font>
    <font>
      <b val="true"/>
      <sz val="12"/>
      <color rgb="FF1558C0"/>
      <name val="Calibri"/>
      <family val="0"/>
      <charset val="1"/>
    </font>
    <font>
      <b val="true"/>
      <sz val="10"/>
      <color rgb="FF0D7A5F"/>
      <name val="Calibri"/>
      <family val="0"/>
      <charset val="1"/>
    </font>
    <font>
      <sz val="10"/>
      <color rgb="FF3D4F6E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4"/>
      <color rgb="FF1558C0"/>
      <name val="Calibri"/>
      <family val="0"/>
      <charset val="1"/>
    </font>
    <font>
      <sz val="9"/>
      <color rgb="FF18243A"/>
      <name val="Calibri"/>
      <family val="0"/>
      <charset val="1"/>
    </font>
    <font>
      <b val="true"/>
      <sz val="10"/>
      <color rgb="FF1558C0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9"/>
      <color rgb="FFB84F00"/>
      <name val="Calibri"/>
      <family val="0"/>
      <charset val="1"/>
    </font>
    <font>
      <b val="true"/>
      <sz val="12"/>
      <color rgb="FFB84F00"/>
      <name val="Calibri"/>
      <family val="0"/>
      <charset val="1"/>
    </font>
    <font>
      <sz val="10"/>
      <color rgb="FF0D7A5F"/>
      <name val="Calibri"/>
      <family val="0"/>
      <charset val="1"/>
    </font>
    <font>
      <b val="true"/>
      <sz val="13"/>
      <color rgb="FF0D7A5F"/>
      <name val="Calibri"/>
      <family val="0"/>
      <charset val="1"/>
    </font>
    <font>
      <b val="true"/>
      <sz val="10"/>
      <color rgb="FF5E35B1"/>
      <name val="Calibri"/>
      <family val="0"/>
      <charset val="1"/>
    </font>
    <font>
      <b val="true"/>
      <sz val="12"/>
      <color rgb="FF5E35B1"/>
      <name val="Calibri"/>
      <family val="0"/>
      <charset val="1"/>
    </font>
    <font>
      <b val="true"/>
      <sz val="13"/>
      <color rgb="FF5E35B1"/>
      <name val="Calibri"/>
      <family val="0"/>
      <charset val="1"/>
    </font>
    <font>
      <b val="true"/>
      <sz val="12"/>
      <color rgb="FFB58900"/>
      <name val="Calibri"/>
      <family val="0"/>
      <charset val="1"/>
    </font>
    <font>
      <b val="true"/>
      <sz val="9"/>
      <color rgb="FFB58900"/>
      <name val="Calibri"/>
      <family val="0"/>
      <charset val="1"/>
    </font>
    <font>
      <b val="true"/>
      <sz val="10"/>
      <color rgb="FFB84F00"/>
      <name val="Calibri"/>
      <family val="0"/>
      <charset val="1"/>
    </font>
    <font>
      <b val="true"/>
      <sz val="12"/>
      <color rgb="FFB0112B"/>
      <name val="Calibri"/>
      <family val="0"/>
      <charset val="1"/>
    </font>
    <font>
      <b val="true"/>
      <sz val="13"/>
      <color rgb="FFFFFFFF"/>
      <name val="Calibri"/>
      <family val="0"/>
      <charset val="1"/>
    </font>
    <font>
      <b val="true"/>
      <sz val="14"/>
      <color rgb="FF18243A"/>
      <name val="Calibri"/>
      <family val="0"/>
      <charset val="1"/>
    </font>
    <font>
      <b val="true"/>
      <sz val="11"/>
      <color rgb="FF5E35B1"/>
      <name val="Calibri"/>
      <family val="0"/>
      <charset val="1"/>
    </font>
    <font>
      <b val="true"/>
      <sz val="10"/>
      <color rgb="FF3D4F6E"/>
      <name val="Calibri"/>
      <family val="0"/>
      <charset val="1"/>
    </font>
    <font>
      <b val="true"/>
      <sz val="16"/>
      <color rgb="FF0D7A5F"/>
      <name val="Calibri"/>
      <family val="0"/>
      <charset val="1"/>
    </font>
    <font>
      <b val="true"/>
      <sz val="9"/>
      <color rgb="FF0D7A5F"/>
      <name val="Calibri"/>
      <family val="0"/>
      <charset val="1"/>
    </font>
    <font>
      <b val="true"/>
      <sz val="13"/>
      <color rgb="FF1558C0"/>
      <name val="Calibri"/>
      <family val="0"/>
      <charset val="1"/>
    </font>
    <font>
      <b val="true"/>
      <sz val="9"/>
      <color rgb="FF1558C0"/>
      <name val="Calibri"/>
      <family val="0"/>
      <charset val="1"/>
    </font>
    <font>
      <b val="true"/>
      <sz val="9"/>
      <color rgb="FF5E35B1"/>
      <name val="Calibri"/>
      <family val="0"/>
      <charset val="1"/>
    </font>
    <font>
      <b val="true"/>
      <sz val="13"/>
      <color rgb="FFB84F00"/>
      <name val="Calibri"/>
      <family val="0"/>
      <charset val="1"/>
    </font>
    <font>
      <b val="true"/>
      <sz val="10"/>
      <color rgb="FFB58900"/>
      <name val="Calibri"/>
      <family val="0"/>
      <charset val="1"/>
    </font>
    <font>
      <b val="true"/>
      <sz val="13"/>
      <color rgb="FFB58900"/>
      <name val="Calibri"/>
      <family val="0"/>
      <charset val="1"/>
    </font>
    <font>
      <b val="true"/>
      <sz val="12"/>
      <color rgb="FF0D7A5F"/>
      <name val="Calibri"/>
      <family val="0"/>
      <charset val="1"/>
    </font>
    <font>
      <b val="true"/>
      <sz val="10"/>
      <color rgb="FFB0112B"/>
      <name val="Calibri"/>
      <family val="0"/>
      <charset val="1"/>
    </font>
  </fonts>
  <fills count="19">
    <fill>
      <patternFill patternType="none"/>
    </fill>
    <fill>
      <patternFill patternType="gray125"/>
    </fill>
    <fill>
      <patternFill patternType="solid">
        <fgColor rgb="FF0D7A5F"/>
        <bgColor rgb="FF008080"/>
      </patternFill>
    </fill>
    <fill>
      <patternFill patternType="solid">
        <fgColor rgb="FFFFFFFF"/>
        <bgColor rgb="FFF2F5FB"/>
      </patternFill>
    </fill>
    <fill>
      <patternFill patternType="solid">
        <fgColor rgb="FFF2F5FB"/>
        <bgColor rgb="FFEAF1FF"/>
      </patternFill>
    </fill>
    <fill>
      <patternFill patternType="solid">
        <fgColor rgb="FF1558C0"/>
        <bgColor rgb="FF3366FF"/>
      </patternFill>
    </fill>
    <fill>
      <patternFill patternType="solid">
        <fgColor rgb="FFEAF1FF"/>
        <bgColor rgb="FFF2F5FB"/>
      </patternFill>
    </fill>
    <fill>
      <patternFill patternType="solid">
        <fgColor rgb="FFE6FAF4"/>
        <bgColor rgb="FFF2F5FB"/>
      </patternFill>
    </fill>
    <fill>
      <patternFill patternType="solid">
        <fgColor rgb="FFB84F00"/>
        <bgColor rgb="FFFF6600"/>
      </patternFill>
    </fill>
    <fill>
      <patternFill patternType="solid">
        <fgColor rgb="FFFFF3E8"/>
        <bgColor rgb="FFFFF0F2"/>
      </patternFill>
    </fill>
    <fill>
      <patternFill patternType="solid">
        <fgColor rgb="FF5E35B1"/>
        <bgColor rgb="FF3D4F6E"/>
      </patternFill>
    </fill>
    <fill>
      <patternFill patternType="solid">
        <fgColor rgb="FFF0EBFF"/>
        <bgColor rgb="FFEAF1FF"/>
      </patternFill>
    </fill>
    <fill>
      <patternFill patternType="solid">
        <fgColor rgb="FFB58900"/>
        <bgColor rgb="FFFF9900"/>
      </patternFill>
    </fill>
    <fill>
      <patternFill patternType="solid">
        <fgColor rgb="FFFEFAE0"/>
        <bgColor rgb="FFFFF3E8"/>
      </patternFill>
    </fill>
    <fill>
      <patternFill patternType="solid">
        <fgColor rgb="FFB0112B"/>
        <bgColor rgb="FF800000"/>
      </patternFill>
    </fill>
    <fill>
      <patternFill patternType="solid">
        <fgColor rgb="FFFFF0F2"/>
        <bgColor rgb="FFFFF3E8"/>
      </patternFill>
    </fill>
    <fill>
      <patternFill patternType="solid">
        <fgColor rgb="FFFFFF99"/>
        <bgColor rgb="FFFEFAE0"/>
      </patternFill>
    </fill>
    <fill>
      <patternFill patternType="solid">
        <fgColor rgb="FF3D4F6E"/>
        <bgColor rgb="FF5E35B1"/>
      </patternFill>
    </fill>
    <fill>
      <patternFill patternType="solid">
        <fgColor rgb="FFDDDDDD"/>
        <bgColor rgb="FFD9D9D9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C5CFDF"/>
      </left>
      <right style="thin">
        <color rgb="FFC5CFDF"/>
      </right>
      <top style="thin">
        <color rgb="FFC5CFDF"/>
      </top>
      <bottom style="thin">
        <color rgb="FFC5CFDF"/>
      </bottom>
      <diagonal/>
    </border>
    <border diagonalUp="false" diagonalDown="false">
      <left style="thin">
        <color rgb="FFC5CFDF"/>
      </left>
      <right/>
      <top style="thin">
        <color rgb="FFC5CFDF"/>
      </top>
      <bottom style="thin">
        <color rgb="FFC5CFDF"/>
      </bottom>
      <diagonal/>
    </border>
    <border diagonalUp="false" diagonalDown="false">
      <left style="medium">
        <color rgb="FF0D7A5F"/>
      </left>
      <right style="medium">
        <color rgb="FF0D7A5F"/>
      </right>
      <top style="medium">
        <color rgb="FF0D7A5F"/>
      </top>
      <bottom style="medium">
        <color rgb="FF0D7A5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7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9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2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2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2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3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3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1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1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2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2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6" fillId="11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1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1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11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2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29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1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3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3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3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3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3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2" fillId="1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3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1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33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33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33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3" fontId="9" fillId="1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33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33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5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37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4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6" fillId="11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9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3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0" fillId="9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1" fillId="1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2" fillId="1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43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43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1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43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9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21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9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21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25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25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4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4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1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1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b val="1"/>
        <color rgb="FFB0112B"/>
      </font>
      <fill>
        <patternFill>
          <bgColor rgb="FFFFF0F2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B0112B"/>
      <rgbColor rgb="FF008000"/>
      <rgbColor rgb="FF000080"/>
      <rgbColor rgb="FFB58900"/>
      <rgbColor rgb="FF800080"/>
      <rgbColor rgb="FF0D7A5F"/>
      <rgbColor rgb="FFD9D9D9"/>
      <rgbColor rgb="FF878787"/>
      <rgbColor rgb="FF9999FF"/>
      <rgbColor rgb="FF993366"/>
      <rgbColor rgb="FFFEFAE0"/>
      <rgbColor rgb="FFE6FAF4"/>
      <rgbColor rgb="FF660066"/>
      <rgbColor rgb="FFFF8080"/>
      <rgbColor rgb="FF1558C0"/>
      <rgbColor rgb="FFC5CFD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1FF"/>
      <rgbColor rgb="FFF2F5FB"/>
      <rgbColor rgb="FFFFFF99"/>
      <rgbColor rgb="FFF0EBFF"/>
      <rgbColor rgb="FFFFF0F2"/>
      <rgbColor rgb="FFFFF3E8"/>
      <rgbColor rgb="FFDDDDDD"/>
      <rgbColor rgb="FF3366FF"/>
      <rgbColor rgb="FF33CCCC"/>
      <rgbColor rgb="FF99CC00"/>
      <rgbColor rgb="FFFFCC00"/>
      <rgbColor rgb="FFFF9900"/>
      <rgbColor rgb="FFFF6600"/>
      <rgbColor rgb="FF3D4F6E"/>
      <rgbColor rgb="FF969696"/>
      <rgbColor rgb="FF003366"/>
      <rgbColor rgb="FF339966"/>
      <rgbColor rgb="FF003300"/>
      <rgbColor rgb="FF333300"/>
      <rgbColor rgb="FFB84F00"/>
      <rgbColor rgb="FF993366"/>
      <rgbColor rgb="FF5E35B1"/>
      <rgbColor rgb="FF18243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StudyHours vs Exam Score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"Students"</c:f>
              <c:strCache>
                <c:ptCount val="1"/>
                <c:pt idx="0">
                  <c:v>Students</c:v>
                </c:pt>
              </c:strCache>
            </c:strRef>
          </c:tx>
          <c:spPr>
            <a:solidFill>
              <a:srgbClr val="1558c0"/>
            </a:solidFill>
            <a:ln w="47520">
              <a:noFill/>
            </a:ln>
          </c:spPr>
          <c:marker>
            <c:symbol val="circle"/>
            <c:size val="4"/>
            <c:spPr>
              <a:solidFill>
                <a:srgbClr val="1558c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'📉 SimpleRegression'!$F$5:$F$84</c:f>
              <c:numCache>
                <c:formatCode>0.0</c:formatCode>
                <c:ptCount val="80"/>
                <c:pt idx="0">
                  <c:v>5.3</c:v>
                </c:pt>
                <c:pt idx="1">
                  <c:v>3</c:v>
                </c:pt>
                <c:pt idx="2">
                  <c:v>2.8</c:v>
                </c:pt>
                <c:pt idx="3">
                  <c:v>2.9</c:v>
                </c:pt>
                <c:pt idx="4">
                  <c:v>2.7</c:v>
                </c:pt>
                <c:pt idx="5">
                  <c:v>3.8</c:v>
                </c:pt>
                <c:pt idx="6">
                  <c:v>3</c:v>
                </c:pt>
                <c:pt idx="7">
                  <c:v>4.2</c:v>
                </c:pt>
                <c:pt idx="8">
                  <c:v>0.8</c:v>
                </c:pt>
                <c:pt idx="9">
                  <c:v>7</c:v>
                </c:pt>
                <c:pt idx="10">
                  <c:v>6.3</c:v>
                </c:pt>
                <c:pt idx="11">
                  <c:v>6</c:v>
                </c:pt>
                <c:pt idx="12">
                  <c:v>2.5</c:v>
                </c:pt>
                <c:pt idx="13">
                  <c:v>7.4</c:v>
                </c:pt>
                <c:pt idx="14">
                  <c:v>4.3</c:v>
                </c:pt>
                <c:pt idx="15">
                  <c:v>5.7</c:v>
                </c:pt>
                <c:pt idx="16">
                  <c:v>5.5</c:v>
                </c:pt>
                <c:pt idx="17">
                  <c:v>4.4</c:v>
                </c:pt>
                <c:pt idx="18">
                  <c:v>5.8</c:v>
                </c:pt>
                <c:pt idx="19">
                  <c:v>8</c:v>
                </c:pt>
                <c:pt idx="20">
                  <c:v>4</c:v>
                </c:pt>
                <c:pt idx="21">
                  <c:v>4.8</c:v>
                </c:pt>
                <c:pt idx="22">
                  <c:v>4.1</c:v>
                </c:pt>
                <c:pt idx="23">
                  <c:v>4.9</c:v>
                </c:pt>
                <c:pt idx="24">
                  <c:v>0.9</c:v>
                </c:pt>
                <c:pt idx="25">
                  <c:v>3.7</c:v>
                </c:pt>
                <c:pt idx="26">
                  <c:v>7.7</c:v>
                </c:pt>
                <c:pt idx="27">
                  <c:v>3.5</c:v>
                </c:pt>
                <c:pt idx="28">
                  <c:v>4.4</c:v>
                </c:pt>
                <c:pt idx="29">
                  <c:v>5.9</c:v>
                </c:pt>
                <c:pt idx="30">
                  <c:v>6.7</c:v>
                </c:pt>
                <c:pt idx="31">
                  <c:v>5</c:v>
                </c:pt>
                <c:pt idx="32">
                  <c:v>5</c:v>
                </c:pt>
                <c:pt idx="33">
                  <c:v>2.9</c:v>
                </c:pt>
                <c:pt idx="34">
                  <c:v>6.2</c:v>
                </c:pt>
                <c:pt idx="35">
                  <c:v>3.4</c:v>
                </c:pt>
                <c:pt idx="36">
                  <c:v>5.2</c:v>
                </c:pt>
                <c:pt idx="37">
                  <c:v>4.1</c:v>
                </c:pt>
                <c:pt idx="38">
                  <c:v>4.4</c:v>
                </c:pt>
                <c:pt idx="39">
                  <c:v>4.7</c:v>
                </c:pt>
                <c:pt idx="40">
                  <c:v>6.9</c:v>
                </c:pt>
                <c:pt idx="41">
                  <c:v>5.3</c:v>
                </c:pt>
                <c:pt idx="42">
                  <c:v>4</c:v>
                </c:pt>
                <c:pt idx="43">
                  <c:v>2.5</c:v>
                </c:pt>
                <c:pt idx="44">
                  <c:v>4.5</c:v>
                </c:pt>
                <c:pt idx="45">
                  <c:v>5</c:v>
                </c:pt>
                <c:pt idx="46">
                  <c:v>5.3</c:v>
                </c:pt>
                <c:pt idx="47">
                  <c:v>3.9</c:v>
                </c:pt>
                <c:pt idx="48">
                  <c:v>5.3</c:v>
                </c:pt>
                <c:pt idx="49">
                  <c:v>5.4</c:v>
                </c:pt>
                <c:pt idx="50">
                  <c:v>7</c:v>
                </c:pt>
                <c:pt idx="51">
                  <c:v>4.7</c:v>
                </c:pt>
                <c:pt idx="52">
                  <c:v>5.4</c:v>
                </c:pt>
                <c:pt idx="53">
                  <c:v>6.7</c:v>
                </c:pt>
                <c:pt idx="54">
                  <c:v>5.2</c:v>
                </c:pt>
                <c:pt idx="55">
                  <c:v>6.5</c:v>
                </c:pt>
                <c:pt idx="56">
                  <c:v>4.8</c:v>
                </c:pt>
                <c:pt idx="57">
                  <c:v>8.5</c:v>
                </c:pt>
                <c:pt idx="58">
                  <c:v>4.4</c:v>
                </c:pt>
                <c:pt idx="59">
                  <c:v>4.2</c:v>
                </c:pt>
                <c:pt idx="60">
                  <c:v>3.3</c:v>
                </c:pt>
                <c:pt idx="61">
                  <c:v>4.6</c:v>
                </c:pt>
                <c:pt idx="62">
                  <c:v>0.5</c:v>
                </c:pt>
                <c:pt idx="63">
                  <c:v>3.2</c:v>
                </c:pt>
                <c:pt idx="64">
                  <c:v>5.9</c:v>
                </c:pt>
                <c:pt idx="65">
                  <c:v>3.3</c:v>
                </c:pt>
                <c:pt idx="66">
                  <c:v>9.6</c:v>
                </c:pt>
                <c:pt idx="67">
                  <c:v>7.7</c:v>
                </c:pt>
                <c:pt idx="68">
                  <c:v>3.9</c:v>
                </c:pt>
                <c:pt idx="69">
                  <c:v>5.3</c:v>
                </c:pt>
                <c:pt idx="70">
                  <c:v>4.9</c:v>
                </c:pt>
                <c:pt idx="71">
                  <c:v>3.7</c:v>
                </c:pt>
                <c:pt idx="72">
                  <c:v>4.3</c:v>
                </c:pt>
                <c:pt idx="73">
                  <c:v>6.2</c:v>
                </c:pt>
                <c:pt idx="74">
                  <c:v>5.2</c:v>
                </c:pt>
                <c:pt idx="75">
                  <c:v>4.9</c:v>
                </c:pt>
                <c:pt idx="76">
                  <c:v>4.4</c:v>
                </c:pt>
                <c:pt idx="77">
                  <c:v>5.4</c:v>
                </c:pt>
                <c:pt idx="78">
                  <c:v>3.8</c:v>
                </c:pt>
                <c:pt idx="79">
                  <c:v>5.1</c:v>
                </c:pt>
              </c:numCache>
            </c:numRef>
          </c:xVal>
          <c:yVal>
            <c:numRef>
              <c:f>'📉 SimpleRegression'!$G$5:$G$84</c:f>
              <c:numCache>
                <c:formatCode>0.0</c:formatCode>
                <c:ptCount val="80"/>
                <c:pt idx="0">
                  <c:v>100</c:v>
                </c:pt>
                <c:pt idx="1">
                  <c:v>84.8</c:v>
                </c:pt>
                <c:pt idx="2">
                  <c:v>92.8</c:v>
                </c:pt>
                <c:pt idx="3">
                  <c:v>88.9</c:v>
                </c:pt>
                <c:pt idx="4">
                  <c:v>85.5</c:v>
                </c:pt>
                <c:pt idx="5">
                  <c:v>83.9</c:v>
                </c:pt>
                <c:pt idx="6">
                  <c:v>74.2</c:v>
                </c:pt>
                <c:pt idx="7">
                  <c:v>85</c:v>
                </c:pt>
                <c:pt idx="8">
                  <c:v>64</c:v>
                </c:pt>
                <c:pt idx="9">
                  <c:v>99.9</c:v>
                </c:pt>
                <c:pt idx="10">
                  <c:v>94.4</c:v>
                </c:pt>
                <c:pt idx="11">
                  <c:v>98.5</c:v>
                </c:pt>
                <c:pt idx="12">
                  <c:v>93.3</c:v>
                </c:pt>
                <c:pt idx="13">
                  <c:v>97.4</c:v>
                </c:pt>
                <c:pt idx="14">
                  <c:v>91</c:v>
                </c:pt>
                <c:pt idx="15">
                  <c:v>94.1</c:v>
                </c:pt>
                <c:pt idx="16">
                  <c:v>87.4</c:v>
                </c:pt>
                <c:pt idx="17">
                  <c:v>96.3</c:v>
                </c:pt>
                <c:pt idx="18">
                  <c:v>90.4</c:v>
                </c:pt>
                <c:pt idx="19">
                  <c:v>94.5</c:v>
                </c:pt>
                <c:pt idx="20">
                  <c:v>83.3</c:v>
                </c:pt>
                <c:pt idx="21">
                  <c:v>76.6</c:v>
                </c:pt>
                <c:pt idx="22">
                  <c:v>98</c:v>
                </c:pt>
                <c:pt idx="23">
                  <c:v>85.1</c:v>
                </c:pt>
                <c:pt idx="24">
                  <c:v>83.7</c:v>
                </c:pt>
                <c:pt idx="25">
                  <c:v>86.6</c:v>
                </c:pt>
                <c:pt idx="26">
                  <c:v>100</c:v>
                </c:pt>
                <c:pt idx="27">
                  <c:v>71.5</c:v>
                </c:pt>
                <c:pt idx="28">
                  <c:v>82.1</c:v>
                </c:pt>
                <c:pt idx="29">
                  <c:v>87.9</c:v>
                </c:pt>
                <c:pt idx="30">
                  <c:v>97.1</c:v>
                </c:pt>
                <c:pt idx="31">
                  <c:v>81.8</c:v>
                </c:pt>
                <c:pt idx="32">
                  <c:v>89.1</c:v>
                </c:pt>
                <c:pt idx="33">
                  <c:v>73.1</c:v>
                </c:pt>
                <c:pt idx="34">
                  <c:v>92.6</c:v>
                </c:pt>
                <c:pt idx="35">
                  <c:v>81.1</c:v>
                </c:pt>
                <c:pt idx="36">
                  <c:v>77.6</c:v>
                </c:pt>
                <c:pt idx="37">
                  <c:v>94.6</c:v>
                </c:pt>
                <c:pt idx="38">
                  <c:v>81.2</c:v>
                </c:pt>
                <c:pt idx="39">
                  <c:v>92.6</c:v>
                </c:pt>
                <c:pt idx="40">
                  <c:v>88.8</c:v>
                </c:pt>
                <c:pt idx="41">
                  <c:v>96.3</c:v>
                </c:pt>
                <c:pt idx="42">
                  <c:v>100</c:v>
                </c:pt>
                <c:pt idx="43">
                  <c:v>72.6</c:v>
                </c:pt>
                <c:pt idx="44">
                  <c:v>91.8</c:v>
                </c:pt>
                <c:pt idx="45">
                  <c:v>94.6</c:v>
                </c:pt>
                <c:pt idx="46">
                  <c:v>91.1</c:v>
                </c:pt>
                <c:pt idx="47">
                  <c:v>78.3</c:v>
                </c:pt>
                <c:pt idx="48">
                  <c:v>81.5</c:v>
                </c:pt>
                <c:pt idx="49">
                  <c:v>84.4</c:v>
                </c:pt>
                <c:pt idx="50">
                  <c:v>90.9</c:v>
                </c:pt>
                <c:pt idx="51">
                  <c:v>96.9</c:v>
                </c:pt>
                <c:pt idx="52">
                  <c:v>96.7</c:v>
                </c:pt>
                <c:pt idx="53">
                  <c:v>95.1</c:v>
                </c:pt>
                <c:pt idx="54">
                  <c:v>82.9</c:v>
                </c:pt>
                <c:pt idx="55">
                  <c:v>84.3</c:v>
                </c:pt>
                <c:pt idx="56">
                  <c:v>90.4</c:v>
                </c:pt>
                <c:pt idx="57">
                  <c:v>100</c:v>
                </c:pt>
                <c:pt idx="58">
                  <c:v>97.8</c:v>
                </c:pt>
                <c:pt idx="59">
                  <c:v>91</c:v>
                </c:pt>
                <c:pt idx="60">
                  <c:v>79.2</c:v>
                </c:pt>
                <c:pt idx="61">
                  <c:v>88.9</c:v>
                </c:pt>
                <c:pt idx="62">
                  <c:v>81.1</c:v>
                </c:pt>
                <c:pt idx="63">
                  <c:v>83.6</c:v>
                </c:pt>
                <c:pt idx="64">
                  <c:v>100</c:v>
                </c:pt>
                <c:pt idx="65">
                  <c:v>84.5</c:v>
                </c:pt>
                <c:pt idx="66">
                  <c:v>100</c:v>
                </c:pt>
                <c:pt idx="67">
                  <c:v>100</c:v>
                </c:pt>
                <c:pt idx="68">
                  <c:v>82.5</c:v>
                </c:pt>
                <c:pt idx="69">
                  <c:v>88.2</c:v>
                </c:pt>
                <c:pt idx="70">
                  <c:v>88.4</c:v>
                </c:pt>
                <c:pt idx="71">
                  <c:v>80.6</c:v>
                </c:pt>
                <c:pt idx="72">
                  <c:v>94.3</c:v>
                </c:pt>
                <c:pt idx="73">
                  <c:v>100</c:v>
                </c:pt>
                <c:pt idx="74">
                  <c:v>99.6</c:v>
                </c:pt>
                <c:pt idx="75">
                  <c:v>100</c:v>
                </c:pt>
                <c:pt idx="76">
                  <c:v>96.6</c:v>
                </c:pt>
                <c:pt idx="77">
                  <c:v>96.7</c:v>
                </c:pt>
                <c:pt idx="78">
                  <c:v>92.6</c:v>
                </c:pt>
                <c:pt idx="79">
                  <c:v>90.7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"Regression Line"</c:f>
              <c:strCache>
                <c:ptCount val="1"/>
                <c:pt idx="0">
                  <c:v>Regression Line</c:v>
                </c:pt>
              </c:strCache>
            </c:strRef>
          </c:tx>
          <c:spPr>
            <a:solidFill>
              <a:srgbClr val="0d7a5f"/>
            </a:solidFill>
            <a:ln w="20160">
              <a:solidFill>
                <a:srgbClr val="0d7a5f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'📉 SimpleRegression'!$F$5:$F$84</c:f>
              <c:numCache>
                <c:formatCode>0.0</c:formatCode>
                <c:ptCount val="80"/>
                <c:pt idx="0">
                  <c:v>5.3</c:v>
                </c:pt>
                <c:pt idx="1">
                  <c:v>3</c:v>
                </c:pt>
                <c:pt idx="2">
                  <c:v>2.8</c:v>
                </c:pt>
                <c:pt idx="3">
                  <c:v>2.9</c:v>
                </c:pt>
                <c:pt idx="4">
                  <c:v>2.7</c:v>
                </c:pt>
                <c:pt idx="5">
                  <c:v>3.8</c:v>
                </c:pt>
                <c:pt idx="6">
                  <c:v>3</c:v>
                </c:pt>
                <c:pt idx="7">
                  <c:v>4.2</c:v>
                </c:pt>
                <c:pt idx="8">
                  <c:v>0.8</c:v>
                </c:pt>
                <c:pt idx="9">
                  <c:v>7</c:v>
                </c:pt>
                <c:pt idx="10">
                  <c:v>6.3</c:v>
                </c:pt>
                <c:pt idx="11">
                  <c:v>6</c:v>
                </c:pt>
                <c:pt idx="12">
                  <c:v>2.5</c:v>
                </c:pt>
                <c:pt idx="13">
                  <c:v>7.4</c:v>
                </c:pt>
                <c:pt idx="14">
                  <c:v>4.3</c:v>
                </c:pt>
                <c:pt idx="15">
                  <c:v>5.7</c:v>
                </c:pt>
                <c:pt idx="16">
                  <c:v>5.5</c:v>
                </c:pt>
                <c:pt idx="17">
                  <c:v>4.4</c:v>
                </c:pt>
                <c:pt idx="18">
                  <c:v>5.8</c:v>
                </c:pt>
                <c:pt idx="19">
                  <c:v>8</c:v>
                </c:pt>
                <c:pt idx="20">
                  <c:v>4</c:v>
                </c:pt>
                <c:pt idx="21">
                  <c:v>4.8</c:v>
                </c:pt>
                <c:pt idx="22">
                  <c:v>4.1</c:v>
                </c:pt>
                <c:pt idx="23">
                  <c:v>4.9</c:v>
                </c:pt>
                <c:pt idx="24">
                  <c:v>0.9</c:v>
                </c:pt>
                <c:pt idx="25">
                  <c:v>3.7</c:v>
                </c:pt>
                <c:pt idx="26">
                  <c:v>7.7</c:v>
                </c:pt>
                <c:pt idx="27">
                  <c:v>3.5</c:v>
                </c:pt>
                <c:pt idx="28">
                  <c:v>4.4</c:v>
                </c:pt>
                <c:pt idx="29">
                  <c:v>5.9</c:v>
                </c:pt>
                <c:pt idx="30">
                  <c:v>6.7</c:v>
                </c:pt>
                <c:pt idx="31">
                  <c:v>5</c:v>
                </c:pt>
                <c:pt idx="32">
                  <c:v>5</c:v>
                </c:pt>
                <c:pt idx="33">
                  <c:v>2.9</c:v>
                </c:pt>
                <c:pt idx="34">
                  <c:v>6.2</c:v>
                </c:pt>
                <c:pt idx="35">
                  <c:v>3.4</c:v>
                </c:pt>
                <c:pt idx="36">
                  <c:v>5.2</c:v>
                </c:pt>
                <c:pt idx="37">
                  <c:v>4.1</c:v>
                </c:pt>
                <c:pt idx="38">
                  <c:v>4.4</c:v>
                </c:pt>
                <c:pt idx="39">
                  <c:v>4.7</c:v>
                </c:pt>
                <c:pt idx="40">
                  <c:v>6.9</c:v>
                </c:pt>
                <c:pt idx="41">
                  <c:v>5.3</c:v>
                </c:pt>
                <c:pt idx="42">
                  <c:v>4</c:v>
                </c:pt>
                <c:pt idx="43">
                  <c:v>2.5</c:v>
                </c:pt>
                <c:pt idx="44">
                  <c:v>4.5</c:v>
                </c:pt>
                <c:pt idx="45">
                  <c:v>5</c:v>
                </c:pt>
                <c:pt idx="46">
                  <c:v>5.3</c:v>
                </c:pt>
                <c:pt idx="47">
                  <c:v>3.9</c:v>
                </c:pt>
                <c:pt idx="48">
                  <c:v>5.3</c:v>
                </c:pt>
                <c:pt idx="49">
                  <c:v>5.4</c:v>
                </c:pt>
                <c:pt idx="50">
                  <c:v>7</c:v>
                </c:pt>
                <c:pt idx="51">
                  <c:v>4.7</c:v>
                </c:pt>
                <c:pt idx="52">
                  <c:v>5.4</c:v>
                </c:pt>
                <c:pt idx="53">
                  <c:v>6.7</c:v>
                </c:pt>
                <c:pt idx="54">
                  <c:v>5.2</c:v>
                </c:pt>
                <c:pt idx="55">
                  <c:v>6.5</c:v>
                </c:pt>
                <c:pt idx="56">
                  <c:v>4.8</c:v>
                </c:pt>
                <c:pt idx="57">
                  <c:v>8.5</c:v>
                </c:pt>
                <c:pt idx="58">
                  <c:v>4.4</c:v>
                </c:pt>
                <c:pt idx="59">
                  <c:v>4.2</c:v>
                </c:pt>
                <c:pt idx="60">
                  <c:v>3.3</c:v>
                </c:pt>
                <c:pt idx="61">
                  <c:v>4.6</c:v>
                </c:pt>
                <c:pt idx="62">
                  <c:v>0.5</c:v>
                </c:pt>
                <c:pt idx="63">
                  <c:v>3.2</c:v>
                </c:pt>
                <c:pt idx="64">
                  <c:v>5.9</c:v>
                </c:pt>
                <c:pt idx="65">
                  <c:v>3.3</c:v>
                </c:pt>
                <c:pt idx="66">
                  <c:v>9.6</c:v>
                </c:pt>
                <c:pt idx="67">
                  <c:v>7.7</c:v>
                </c:pt>
                <c:pt idx="68">
                  <c:v>3.9</c:v>
                </c:pt>
                <c:pt idx="69">
                  <c:v>5.3</c:v>
                </c:pt>
                <c:pt idx="70">
                  <c:v>4.9</c:v>
                </c:pt>
                <c:pt idx="71">
                  <c:v>3.7</c:v>
                </c:pt>
                <c:pt idx="72">
                  <c:v>4.3</c:v>
                </c:pt>
                <c:pt idx="73">
                  <c:v>6.2</c:v>
                </c:pt>
                <c:pt idx="74">
                  <c:v>5.2</c:v>
                </c:pt>
                <c:pt idx="75">
                  <c:v>4.9</c:v>
                </c:pt>
                <c:pt idx="76">
                  <c:v>4.4</c:v>
                </c:pt>
                <c:pt idx="77">
                  <c:v>5.4</c:v>
                </c:pt>
                <c:pt idx="78">
                  <c:v>3.8</c:v>
                </c:pt>
                <c:pt idx="79">
                  <c:v>5.1</c:v>
                </c:pt>
              </c:numCache>
            </c:numRef>
          </c:xVal>
          <c:yVal>
            <c:numRef>
              <c:f>'📉 SimpleRegression'!$H$5:$H$84</c:f>
              <c:numCache>
                <c:formatCode>0.0</c:formatCode>
                <c:ptCount val="80"/>
                <c:pt idx="0">
                  <c:v>90.8</c:v>
                </c:pt>
                <c:pt idx="1">
                  <c:v>84</c:v>
                </c:pt>
                <c:pt idx="2">
                  <c:v>83.5</c:v>
                </c:pt>
                <c:pt idx="3">
                  <c:v>83.7</c:v>
                </c:pt>
                <c:pt idx="4">
                  <c:v>83.2</c:v>
                </c:pt>
                <c:pt idx="5">
                  <c:v>86.4</c:v>
                </c:pt>
                <c:pt idx="6">
                  <c:v>84</c:v>
                </c:pt>
                <c:pt idx="7">
                  <c:v>87.6</c:v>
                </c:pt>
                <c:pt idx="8">
                  <c:v>77.6</c:v>
                </c:pt>
                <c:pt idx="9">
                  <c:v>95.8</c:v>
                </c:pt>
                <c:pt idx="10">
                  <c:v>93.7</c:v>
                </c:pt>
                <c:pt idx="11">
                  <c:v>92.8</c:v>
                </c:pt>
                <c:pt idx="12">
                  <c:v>82.6</c:v>
                </c:pt>
                <c:pt idx="13">
                  <c:v>97</c:v>
                </c:pt>
                <c:pt idx="14">
                  <c:v>87.9</c:v>
                </c:pt>
                <c:pt idx="15">
                  <c:v>92</c:v>
                </c:pt>
                <c:pt idx="16">
                  <c:v>91.4</c:v>
                </c:pt>
                <c:pt idx="17">
                  <c:v>88.2</c:v>
                </c:pt>
                <c:pt idx="18">
                  <c:v>92.3</c:v>
                </c:pt>
                <c:pt idx="19">
                  <c:v>98.7</c:v>
                </c:pt>
                <c:pt idx="20">
                  <c:v>87</c:v>
                </c:pt>
                <c:pt idx="21">
                  <c:v>89.3</c:v>
                </c:pt>
                <c:pt idx="22">
                  <c:v>87.3</c:v>
                </c:pt>
                <c:pt idx="23">
                  <c:v>89.6</c:v>
                </c:pt>
                <c:pt idx="24">
                  <c:v>77.9</c:v>
                </c:pt>
                <c:pt idx="25">
                  <c:v>86.1</c:v>
                </c:pt>
                <c:pt idx="26">
                  <c:v>97.8</c:v>
                </c:pt>
                <c:pt idx="27">
                  <c:v>85.5</c:v>
                </c:pt>
                <c:pt idx="28">
                  <c:v>88.2</c:v>
                </c:pt>
                <c:pt idx="29">
                  <c:v>92.6</c:v>
                </c:pt>
                <c:pt idx="30">
                  <c:v>94.9</c:v>
                </c:pt>
                <c:pt idx="31">
                  <c:v>89.9</c:v>
                </c:pt>
                <c:pt idx="32">
                  <c:v>89.9</c:v>
                </c:pt>
                <c:pt idx="33">
                  <c:v>83.7</c:v>
                </c:pt>
                <c:pt idx="34">
                  <c:v>93.4</c:v>
                </c:pt>
                <c:pt idx="35">
                  <c:v>85.2</c:v>
                </c:pt>
                <c:pt idx="36">
                  <c:v>90.5</c:v>
                </c:pt>
                <c:pt idx="37">
                  <c:v>87.3</c:v>
                </c:pt>
                <c:pt idx="38">
                  <c:v>88.2</c:v>
                </c:pt>
                <c:pt idx="39">
                  <c:v>89</c:v>
                </c:pt>
                <c:pt idx="40">
                  <c:v>95.5</c:v>
                </c:pt>
                <c:pt idx="41">
                  <c:v>90.8</c:v>
                </c:pt>
                <c:pt idx="42">
                  <c:v>87</c:v>
                </c:pt>
                <c:pt idx="43">
                  <c:v>82.6</c:v>
                </c:pt>
                <c:pt idx="44">
                  <c:v>88.4</c:v>
                </c:pt>
                <c:pt idx="45">
                  <c:v>89.9</c:v>
                </c:pt>
                <c:pt idx="46">
                  <c:v>90.8</c:v>
                </c:pt>
                <c:pt idx="47">
                  <c:v>86.7</c:v>
                </c:pt>
                <c:pt idx="48">
                  <c:v>90.8</c:v>
                </c:pt>
                <c:pt idx="49">
                  <c:v>91.1</c:v>
                </c:pt>
                <c:pt idx="50">
                  <c:v>95.8</c:v>
                </c:pt>
                <c:pt idx="51">
                  <c:v>89</c:v>
                </c:pt>
                <c:pt idx="52">
                  <c:v>91.1</c:v>
                </c:pt>
                <c:pt idx="53">
                  <c:v>94.9</c:v>
                </c:pt>
                <c:pt idx="54">
                  <c:v>90.5</c:v>
                </c:pt>
                <c:pt idx="55">
                  <c:v>94.3</c:v>
                </c:pt>
                <c:pt idx="56">
                  <c:v>89.3</c:v>
                </c:pt>
                <c:pt idx="57">
                  <c:v>100.2</c:v>
                </c:pt>
                <c:pt idx="58">
                  <c:v>88.2</c:v>
                </c:pt>
                <c:pt idx="59">
                  <c:v>87.6</c:v>
                </c:pt>
                <c:pt idx="60">
                  <c:v>84.9</c:v>
                </c:pt>
                <c:pt idx="61">
                  <c:v>88.7</c:v>
                </c:pt>
                <c:pt idx="62">
                  <c:v>76.7</c:v>
                </c:pt>
                <c:pt idx="63">
                  <c:v>84.6</c:v>
                </c:pt>
                <c:pt idx="64">
                  <c:v>92.6</c:v>
                </c:pt>
                <c:pt idx="65">
                  <c:v>84.9</c:v>
                </c:pt>
                <c:pt idx="66">
                  <c:v>103.4</c:v>
                </c:pt>
                <c:pt idx="67">
                  <c:v>97.8</c:v>
                </c:pt>
                <c:pt idx="68">
                  <c:v>86.7</c:v>
                </c:pt>
                <c:pt idx="69">
                  <c:v>90.8</c:v>
                </c:pt>
                <c:pt idx="70">
                  <c:v>89.6</c:v>
                </c:pt>
                <c:pt idx="71">
                  <c:v>86.1</c:v>
                </c:pt>
                <c:pt idx="72">
                  <c:v>87.9</c:v>
                </c:pt>
                <c:pt idx="73">
                  <c:v>93.4</c:v>
                </c:pt>
                <c:pt idx="74">
                  <c:v>90.5</c:v>
                </c:pt>
                <c:pt idx="75">
                  <c:v>89.6</c:v>
                </c:pt>
                <c:pt idx="76">
                  <c:v>88.2</c:v>
                </c:pt>
                <c:pt idx="77">
                  <c:v>91.1</c:v>
                </c:pt>
                <c:pt idx="78">
                  <c:v>86.4</c:v>
                </c:pt>
                <c:pt idx="79">
                  <c:v>90.2</c:v>
                </c:pt>
              </c:numCache>
            </c:numRef>
          </c:yVal>
          <c:smooth val="1"/>
        </c:ser>
        <c:axId val="23610084"/>
        <c:axId val="6942866"/>
      </c:scatterChart>
      <c:valAx>
        <c:axId val="23610084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Study Hours/Day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942866"/>
        <c:crosses val="autoZero"/>
        <c:crossBetween val="midCat"/>
      </c:valAx>
      <c:valAx>
        <c:axId val="694286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Exam Score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3610084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19</xdr:row>
      <xdr:rowOff>0</xdr:rowOff>
    </xdr:from>
    <xdr:to>
      <xdr:col>13</xdr:col>
      <xdr:colOff>73080</xdr:colOff>
      <xdr:row>40</xdr:row>
      <xdr:rowOff>137880</xdr:rowOff>
    </xdr:to>
    <xdr:graphicFrame>
      <xdr:nvGraphicFramePr>
        <xdr:cNvPr id="0" name="Chart 1"/>
        <xdr:cNvGraphicFramePr/>
      </xdr:nvGraphicFramePr>
      <xdr:xfrm>
        <a:off x="5497920" y="4114800"/>
        <a:ext cx="5759280" cy="431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D7A5F"/>
    <pageSetUpPr fitToPage="false"/>
  </sheetPr>
  <dimension ref="A1:J8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0"/>
    <col collapsed="false" customWidth="true" hidden="false" outlineLevel="0" max="3" min="3" style="1" width="14"/>
    <col collapsed="false" customWidth="true" hidden="false" outlineLevel="0" max="5" min="4" style="1" width="12"/>
    <col collapsed="false" customWidth="true" hidden="false" outlineLevel="0" max="6" min="6" style="1" width="11"/>
    <col collapsed="false" customWidth="true" hidden="false" outlineLevel="0" max="7" min="7" style="1" width="9"/>
    <col collapsed="false" customWidth="true" hidden="false" outlineLevel="0" max="10" min="8" style="1" width="8"/>
  </cols>
  <sheetData>
    <row r="1" customFormat="false" ht="27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9.5" hidden="false" customHeight="true" outlineLevel="0" collapsed="false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</row>
    <row r="3" customFormat="false" ht="15" hidden="false" customHeight="true" outlineLevel="0" collapsed="false">
      <c r="A3" s="4" t="n">
        <v>1</v>
      </c>
      <c r="B3" s="5" t="s">
        <v>11</v>
      </c>
      <c r="C3" s="4" t="s">
        <v>12</v>
      </c>
      <c r="D3" s="4" t="n">
        <v>5.3</v>
      </c>
      <c r="E3" s="6" t="n">
        <v>84.6</v>
      </c>
      <c r="F3" s="7" t="n">
        <v>34200</v>
      </c>
      <c r="G3" s="6" t="n">
        <v>100</v>
      </c>
      <c r="H3" s="4" t="n">
        <v>1</v>
      </c>
      <c r="I3" s="4" t="n">
        <v>0</v>
      </c>
      <c r="J3" s="4" t="n">
        <v>1</v>
      </c>
    </row>
    <row r="4" customFormat="false" ht="15" hidden="false" customHeight="true" outlineLevel="0" collapsed="false">
      <c r="A4" s="8" t="n">
        <v>2</v>
      </c>
      <c r="B4" s="9" t="s">
        <v>13</v>
      </c>
      <c r="C4" s="8" t="s">
        <v>14</v>
      </c>
      <c r="D4" s="8" t="n">
        <v>3</v>
      </c>
      <c r="E4" s="10" t="n">
        <v>89.2</v>
      </c>
      <c r="F4" s="11" t="n">
        <v>10000</v>
      </c>
      <c r="G4" s="10" t="n">
        <v>84.8</v>
      </c>
      <c r="H4" s="8" t="n">
        <v>1</v>
      </c>
      <c r="I4" s="8" t="n">
        <v>1</v>
      </c>
      <c r="J4" s="8" t="n">
        <v>0</v>
      </c>
    </row>
    <row r="5" customFormat="false" ht="15" hidden="false" customHeight="true" outlineLevel="0" collapsed="false">
      <c r="A5" s="4" t="n">
        <v>3</v>
      </c>
      <c r="B5" s="5" t="s">
        <v>15</v>
      </c>
      <c r="C5" s="4" t="s">
        <v>12</v>
      </c>
      <c r="D5" s="4" t="n">
        <v>2.8</v>
      </c>
      <c r="E5" s="6" t="n">
        <v>85.2</v>
      </c>
      <c r="F5" s="7" t="n">
        <v>40300</v>
      </c>
      <c r="G5" s="6" t="n">
        <v>92.8</v>
      </c>
      <c r="H5" s="4" t="n">
        <v>1</v>
      </c>
      <c r="I5" s="4" t="n">
        <v>0</v>
      </c>
      <c r="J5" s="4" t="n">
        <v>1</v>
      </c>
    </row>
    <row r="6" customFormat="false" ht="15" hidden="false" customHeight="true" outlineLevel="0" collapsed="false">
      <c r="A6" s="8" t="n">
        <v>4</v>
      </c>
      <c r="B6" s="9" t="s">
        <v>16</v>
      </c>
      <c r="C6" s="8" t="s">
        <v>12</v>
      </c>
      <c r="D6" s="8" t="n">
        <v>2.9</v>
      </c>
      <c r="E6" s="10" t="n">
        <v>88.8</v>
      </c>
      <c r="F6" s="11" t="n">
        <v>45900</v>
      </c>
      <c r="G6" s="10" t="n">
        <v>88.9</v>
      </c>
      <c r="H6" s="8" t="n">
        <v>1</v>
      </c>
      <c r="I6" s="8" t="n">
        <v>0</v>
      </c>
      <c r="J6" s="8" t="n">
        <v>1</v>
      </c>
    </row>
    <row r="7" customFormat="false" ht="15" hidden="false" customHeight="true" outlineLevel="0" collapsed="false">
      <c r="A7" s="4" t="n">
        <v>5</v>
      </c>
      <c r="B7" s="5" t="s">
        <v>17</v>
      </c>
      <c r="C7" s="4" t="s">
        <v>18</v>
      </c>
      <c r="D7" s="4" t="n">
        <v>2.7</v>
      </c>
      <c r="E7" s="6" t="n">
        <v>100</v>
      </c>
      <c r="F7" s="7" t="n">
        <v>10200</v>
      </c>
      <c r="G7" s="6" t="n">
        <v>85.5</v>
      </c>
      <c r="H7" s="4" t="n">
        <v>1</v>
      </c>
      <c r="I7" s="4" t="n">
        <v>0</v>
      </c>
      <c r="J7" s="4" t="n">
        <v>0</v>
      </c>
    </row>
    <row r="8" customFormat="false" ht="15" hidden="false" customHeight="true" outlineLevel="0" collapsed="false">
      <c r="A8" s="8" t="n">
        <v>6</v>
      </c>
      <c r="B8" s="9" t="s">
        <v>19</v>
      </c>
      <c r="C8" s="8" t="s">
        <v>12</v>
      </c>
      <c r="D8" s="8" t="n">
        <v>3.8</v>
      </c>
      <c r="E8" s="10" t="n">
        <v>83</v>
      </c>
      <c r="F8" s="11" t="n">
        <v>43400</v>
      </c>
      <c r="G8" s="10" t="n">
        <v>83.9</v>
      </c>
      <c r="H8" s="8" t="n">
        <v>1</v>
      </c>
      <c r="I8" s="8" t="n">
        <v>0</v>
      </c>
      <c r="J8" s="8" t="n">
        <v>1</v>
      </c>
    </row>
    <row r="9" customFormat="false" ht="15" hidden="false" customHeight="true" outlineLevel="0" collapsed="false">
      <c r="A9" s="4" t="n">
        <v>7</v>
      </c>
      <c r="B9" s="5" t="s">
        <v>20</v>
      </c>
      <c r="C9" s="4" t="s">
        <v>21</v>
      </c>
      <c r="D9" s="4" t="n">
        <v>3</v>
      </c>
      <c r="E9" s="6" t="n">
        <v>75.4</v>
      </c>
      <c r="F9" s="7" t="n">
        <v>49500</v>
      </c>
      <c r="G9" s="6" t="n">
        <v>74.2</v>
      </c>
      <c r="H9" s="4" t="n">
        <v>1</v>
      </c>
      <c r="I9" s="4" t="n">
        <v>0</v>
      </c>
      <c r="J9" s="4" t="n">
        <v>0</v>
      </c>
    </row>
    <row r="10" customFormat="false" ht="15" hidden="false" customHeight="true" outlineLevel="0" collapsed="false">
      <c r="A10" s="8" t="n">
        <v>8</v>
      </c>
      <c r="B10" s="9" t="s">
        <v>22</v>
      </c>
      <c r="C10" s="8" t="s">
        <v>21</v>
      </c>
      <c r="D10" s="8" t="n">
        <v>4.2</v>
      </c>
      <c r="E10" s="10" t="n">
        <v>84</v>
      </c>
      <c r="F10" s="11" t="n">
        <v>41300</v>
      </c>
      <c r="G10" s="10" t="n">
        <v>85</v>
      </c>
      <c r="H10" s="8" t="n">
        <v>1</v>
      </c>
      <c r="I10" s="8" t="n">
        <v>0</v>
      </c>
      <c r="J10" s="8" t="n">
        <v>0</v>
      </c>
    </row>
    <row r="11" customFormat="false" ht="15" hidden="false" customHeight="true" outlineLevel="0" collapsed="false">
      <c r="A11" s="4" t="n">
        <v>9</v>
      </c>
      <c r="B11" s="5" t="s">
        <v>23</v>
      </c>
      <c r="C11" s="4" t="s">
        <v>18</v>
      </c>
      <c r="D11" s="4" t="n">
        <v>0.8</v>
      </c>
      <c r="E11" s="6" t="n">
        <v>60.3</v>
      </c>
      <c r="F11" s="7" t="n">
        <v>53300</v>
      </c>
      <c r="G11" s="6" t="n">
        <v>64</v>
      </c>
      <c r="H11" s="4" t="n">
        <v>1</v>
      </c>
      <c r="I11" s="4" t="n">
        <v>0</v>
      </c>
      <c r="J11" s="4" t="n">
        <v>0</v>
      </c>
    </row>
    <row r="12" customFormat="false" ht="15" hidden="false" customHeight="true" outlineLevel="0" collapsed="false">
      <c r="A12" s="8" t="n">
        <v>10</v>
      </c>
      <c r="B12" s="9" t="s">
        <v>24</v>
      </c>
      <c r="C12" s="8" t="s">
        <v>14</v>
      </c>
      <c r="D12" s="8" t="n">
        <v>7</v>
      </c>
      <c r="E12" s="10" t="n">
        <v>79.8</v>
      </c>
      <c r="F12" s="11" t="n">
        <v>36400</v>
      </c>
      <c r="G12" s="10" t="n">
        <v>99.9</v>
      </c>
      <c r="H12" s="8" t="n">
        <v>1</v>
      </c>
      <c r="I12" s="8" t="n">
        <v>1</v>
      </c>
      <c r="J12" s="8" t="n">
        <v>0</v>
      </c>
    </row>
    <row r="13" customFormat="false" ht="15" hidden="false" customHeight="true" outlineLevel="0" collapsed="false">
      <c r="A13" s="4" t="n">
        <v>11</v>
      </c>
      <c r="B13" s="5" t="s">
        <v>25</v>
      </c>
      <c r="C13" s="4" t="s">
        <v>12</v>
      </c>
      <c r="D13" s="4" t="n">
        <v>6.3</v>
      </c>
      <c r="E13" s="6" t="n">
        <v>82.9</v>
      </c>
      <c r="F13" s="7" t="n">
        <v>46500</v>
      </c>
      <c r="G13" s="6" t="n">
        <v>94.4</v>
      </c>
      <c r="H13" s="4" t="n">
        <v>1</v>
      </c>
      <c r="I13" s="4" t="n">
        <v>0</v>
      </c>
      <c r="J13" s="4" t="n">
        <v>1</v>
      </c>
    </row>
    <row r="14" customFormat="false" ht="15" hidden="false" customHeight="true" outlineLevel="0" collapsed="false">
      <c r="A14" s="8" t="n">
        <v>12</v>
      </c>
      <c r="B14" s="9" t="s">
        <v>26</v>
      </c>
      <c r="C14" s="8" t="s">
        <v>12</v>
      </c>
      <c r="D14" s="8" t="n">
        <v>6</v>
      </c>
      <c r="E14" s="10" t="n">
        <v>96.4</v>
      </c>
      <c r="F14" s="11" t="n">
        <v>43100</v>
      </c>
      <c r="G14" s="10" t="n">
        <v>98.5</v>
      </c>
      <c r="H14" s="8" t="n">
        <v>1</v>
      </c>
      <c r="I14" s="8" t="n">
        <v>0</v>
      </c>
      <c r="J14" s="8" t="n">
        <v>1</v>
      </c>
    </row>
    <row r="15" customFormat="false" ht="15" hidden="false" customHeight="true" outlineLevel="0" collapsed="false">
      <c r="A15" s="4" t="n">
        <v>13</v>
      </c>
      <c r="B15" s="5" t="s">
        <v>27</v>
      </c>
      <c r="C15" s="4" t="s">
        <v>14</v>
      </c>
      <c r="D15" s="4" t="n">
        <v>2.5</v>
      </c>
      <c r="E15" s="6" t="n">
        <v>88.6</v>
      </c>
      <c r="F15" s="7" t="n">
        <v>20900</v>
      </c>
      <c r="G15" s="6" t="n">
        <v>93.3</v>
      </c>
      <c r="H15" s="4" t="n">
        <v>1</v>
      </c>
      <c r="I15" s="4" t="n">
        <v>1</v>
      </c>
      <c r="J15" s="4" t="n">
        <v>0</v>
      </c>
    </row>
    <row r="16" customFormat="false" ht="15" hidden="false" customHeight="true" outlineLevel="0" collapsed="false">
      <c r="A16" s="8" t="n">
        <v>14</v>
      </c>
      <c r="B16" s="9" t="s">
        <v>28</v>
      </c>
      <c r="C16" s="8" t="s">
        <v>21</v>
      </c>
      <c r="D16" s="8" t="n">
        <v>7.4</v>
      </c>
      <c r="E16" s="10" t="n">
        <v>94.1</v>
      </c>
      <c r="F16" s="11" t="n">
        <v>15200</v>
      </c>
      <c r="G16" s="10" t="n">
        <v>97.4</v>
      </c>
      <c r="H16" s="8" t="n">
        <v>1</v>
      </c>
      <c r="I16" s="8" t="n">
        <v>0</v>
      </c>
      <c r="J16" s="8" t="n">
        <v>0</v>
      </c>
    </row>
    <row r="17" customFormat="false" ht="15" hidden="false" customHeight="true" outlineLevel="0" collapsed="false">
      <c r="A17" s="4" t="n">
        <v>15</v>
      </c>
      <c r="B17" s="5" t="s">
        <v>29</v>
      </c>
      <c r="C17" s="4" t="s">
        <v>18</v>
      </c>
      <c r="D17" s="4" t="n">
        <v>4.3</v>
      </c>
      <c r="E17" s="6" t="n">
        <v>80.7</v>
      </c>
      <c r="F17" s="7" t="n">
        <v>39400</v>
      </c>
      <c r="G17" s="6" t="n">
        <v>91</v>
      </c>
      <c r="H17" s="4" t="n">
        <v>1</v>
      </c>
      <c r="I17" s="4" t="n">
        <v>0</v>
      </c>
      <c r="J17" s="4" t="n">
        <v>0</v>
      </c>
    </row>
    <row r="18" customFormat="false" ht="15" hidden="false" customHeight="true" outlineLevel="0" collapsed="false">
      <c r="A18" s="8" t="n">
        <v>16</v>
      </c>
      <c r="B18" s="9" t="s">
        <v>30</v>
      </c>
      <c r="C18" s="8" t="s">
        <v>14</v>
      </c>
      <c r="D18" s="8" t="n">
        <v>5.7</v>
      </c>
      <c r="E18" s="10" t="n">
        <v>83.9</v>
      </c>
      <c r="F18" s="11" t="n">
        <v>11700</v>
      </c>
      <c r="G18" s="10" t="n">
        <v>94.1</v>
      </c>
      <c r="H18" s="8" t="n">
        <v>1</v>
      </c>
      <c r="I18" s="8" t="n">
        <v>1</v>
      </c>
      <c r="J18" s="8" t="n">
        <v>0</v>
      </c>
    </row>
    <row r="19" customFormat="false" ht="15" hidden="false" customHeight="true" outlineLevel="0" collapsed="false">
      <c r="A19" s="4" t="n">
        <v>17</v>
      </c>
      <c r="B19" s="5" t="s">
        <v>31</v>
      </c>
      <c r="C19" s="4" t="s">
        <v>18</v>
      </c>
      <c r="D19" s="4" t="n">
        <v>5.5</v>
      </c>
      <c r="E19" s="6" t="n">
        <v>73.5</v>
      </c>
      <c r="F19" s="7" t="n">
        <v>37900</v>
      </c>
      <c r="G19" s="6" t="n">
        <v>87.4</v>
      </c>
      <c r="H19" s="4" t="n">
        <v>1</v>
      </c>
      <c r="I19" s="4" t="n">
        <v>0</v>
      </c>
      <c r="J19" s="4" t="n">
        <v>0</v>
      </c>
    </row>
    <row r="20" customFormat="false" ht="15" hidden="false" customHeight="true" outlineLevel="0" collapsed="false">
      <c r="A20" s="8" t="n">
        <v>18</v>
      </c>
      <c r="B20" s="9" t="s">
        <v>32</v>
      </c>
      <c r="C20" s="8" t="s">
        <v>14</v>
      </c>
      <c r="D20" s="8" t="n">
        <v>4.4</v>
      </c>
      <c r="E20" s="10" t="n">
        <v>92.2</v>
      </c>
      <c r="F20" s="11" t="n">
        <v>43300</v>
      </c>
      <c r="G20" s="10" t="n">
        <v>96.3</v>
      </c>
      <c r="H20" s="8" t="n">
        <v>1</v>
      </c>
      <c r="I20" s="8" t="n">
        <v>1</v>
      </c>
      <c r="J20" s="8" t="n">
        <v>0</v>
      </c>
    </row>
    <row r="21" customFormat="false" ht="15" hidden="false" customHeight="true" outlineLevel="0" collapsed="false">
      <c r="A21" s="4" t="n">
        <v>19</v>
      </c>
      <c r="B21" s="5" t="s">
        <v>33</v>
      </c>
      <c r="C21" s="4" t="s">
        <v>12</v>
      </c>
      <c r="D21" s="4" t="n">
        <v>5.8</v>
      </c>
      <c r="E21" s="6" t="n">
        <v>68</v>
      </c>
      <c r="F21" s="7" t="n">
        <v>22400</v>
      </c>
      <c r="G21" s="6" t="n">
        <v>90.4</v>
      </c>
      <c r="H21" s="4" t="n">
        <v>1</v>
      </c>
      <c r="I21" s="4" t="n">
        <v>0</v>
      </c>
      <c r="J21" s="4" t="n">
        <v>1</v>
      </c>
    </row>
    <row r="22" customFormat="false" ht="15" hidden="false" customHeight="true" outlineLevel="0" collapsed="false">
      <c r="A22" s="8" t="n">
        <v>20</v>
      </c>
      <c r="B22" s="9" t="s">
        <v>34</v>
      </c>
      <c r="C22" s="8" t="s">
        <v>14</v>
      </c>
      <c r="D22" s="8" t="n">
        <v>8</v>
      </c>
      <c r="E22" s="10" t="n">
        <v>60.9</v>
      </c>
      <c r="F22" s="11" t="n">
        <v>31500</v>
      </c>
      <c r="G22" s="10" t="n">
        <v>94.5</v>
      </c>
      <c r="H22" s="8" t="n">
        <v>1</v>
      </c>
      <c r="I22" s="8" t="n">
        <v>1</v>
      </c>
      <c r="J22" s="8" t="n">
        <v>0</v>
      </c>
    </row>
    <row r="23" customFormat="false" ht="15" hidden="false" customHeight="true" outlineLevel="0" collapsed="false">
      <c r="A23" s="4" t="n">
        <v>21</v>
      </c>
      <c r="B23" s="5" t="s">
        <v>35</v>
      </c>
      <c r="C23" s="4" t="s">
        <v>12</v>
      </c>
      <c r="D23" s="4" t="n">
        <v>4</v>
      </c>
      <c r="E23" s="6" t="n">
        <v>92.9</v>
      </c>
      <c r="F23" s="7" t="n">
        <v>27100</v>
      </c>
      <c r="G23" s="6" t="n">
        <v>83.3</v>
      </c>
      <c r="H23" s="4" t="n">
        <v>1</v>
      </c>
      <c r="I23" s="4" t="n">
        <v>0</v>
      </c>
      <c r="J23" s="4" t="n">
        <v>1</v>
      </c>
    </row>
    <row r="24" customFormat="false" ht="15" hidden="false" customHeight="true" outlineLevel="0" collapsed="false">
      <c r="A24" s="8" t="n">
        <v>22</v>
      </c>
      <c r="B24" s="9" t="s">
        <v>36</v>
      </c>
      <c r="C24" s="8" t="s">
        <v>21</v>
      </c>
      <c r="D24" s="8" t="n">
        <v>4.8</v>
      </c>
      <c r="E24" s="10" t="n">
        <v>70.4</v>
      </c>
      <c r="F24" s="11" t="n">
        <v>41600</v>
      </c>
      <c r="G24" s="10" t="n">
        <v>76.6</v>
      </c>
      <c r="H24" s="8" t="n">
        <v>1</v>
      </c>
      <c r="I24" s="8" t="n">
        <v>0</v>
      </c>
      <c r="J24" s="8" t="n">
        <v>0</v>
      </c>
    </row>
    <row r="25" customFormat="false" ht="15" hidden="false" customHeight="true" outlineLevel="0" collapsed="false">
      <c r="A25" s="4" t="n">
        <v>23</v>
      </c>
      <c r="B25" s="5" t="s">
        <v>37</v>
      </c>
      <c r="C25" s="4" t="s">
        <v>14</v>
      </c>
      <c r="D25" s="4" t="n">
        <v>4.1</v>
      </c>
      <c r="E25" s="6" t="n">
        <v>95.6</v>
      </c>
      <c r="F25" s="7" t="n">
        <v>47200</v>
      </c>
      <c r="G25" s="6" t="n">
        <v>98</v>
      </c>
      <c r="H25" s="4" t="n">
        <v>1</v>
      </c>
      <c r="I25" s="4" t="n">
        <v>1</v>
      </c>
      <c r="J25" s="4" t="n">
        <v>0</v>
      </c>
    </row>
    <row r="26" customFormat="false" ht="15" hidden="false" customHeight="true" outlineLevel="0" collapsed="false">
      <c r="A26" s="8" t="n">
        <v>24</v>
      </c>
      <c r="B26" s="9" t="s">
        <v>38</v>
      </c>
      <c r="C26" s="8" t="s">
        <v>21</v>
      </c>
      <c r="D26" s="8" t="n">
        <v>4.9</v>
      </c>
      <c r="E26" s="10" t="n">
        <v>91</v>
      </c>
      <c r="F26" s="11" t="n">
        <v>57800</v>
      </c>
      <c r="G26" s="10" t="n">
        <v>85.1</v>
      </c>
      <c r="H26" s="8" t="n">
        <v>1</v>
      </c>
      <c r="I26" s="8" t="n">
        <v>0</v>
      </c>
      <c r="J26" s="8" t="n">
        <v>0</v>
      </c>
    </row>
    <row r="27" customFormat="false" ht="15" hidden="false" customHeight="true" outlineLevel="0" collapsed="false">
      <c r="A27" s="4" t="n">
        <v>25</v>
      </c>
      <c r="B27" s="5" t="s">
        <v>39</v>
      </c>
      <c r="C27" s="4" t="s">
        <v>18</v>
      </c>
      <c r="D27" s="4" t="n">
        <v>0.9</v>
      </c>
      <c r="E27" s="6" t="n">
        <v>72.7</v>
      </c>
      <c r="F27" s="7" t="n">
        <v>32800</v>
      </c>
      <c r="G27" s="6" t="n">
        <v>83.7</v>
      </c>
      <c r="H27" s="4" t="n">
        <v>1</v>
      </c>
      <c r="I27" s="4" t="n">
        <v>0</v>
      </c>
      <c r="J27" s="4" t="n">
        <v>0</v>
      </c>
    </row>
    <row r="28" customFormat="false" ht="15" hidden="false" customHeight="true" outlineLevel="0" collapsed="false">
      <c r="A28" s="8" t="n">
        <v>26</v>
      </c>
      <c r="B28" s="9" t="s">
        <v>40</v>
      </c>
      <c r="C28" s="8" t="s">
        <v>12</v>
      </c>
      <c r="D28" s="8" t="n">
        <v>3.7</v>
      </c>
      <c r="E28" s="10" t="n">
        <v>65.3</v>
      </c>
      <c r="F28" s="11" t="n">
        <v>29800</v>
      </c>
      <c r="G28" s="10" t="n">
        <v>86.6</v>
      </c>
      <c r="H28" s="8" t="n">
        <v>1</v>
      </c>
      <c r="I28" s="8" t="n">
        <v>0</v>
      </c>
      <c r="J28" s="8" t="n">
        <v>1</v>
      </c>
    </row>
    <row r="29" customFormat="false" ht="15" hidden="false" customHeight="true" outlineLevel="0" collapsed="false">
      <c r="A29" s="4" t="n">
        <v>27</v>
      </c>
      <c r="B29" s="5" t="s">
        <v>41</v>
      </c>
      <c r="C29" s="4" t="s">
        <v>18</v>
      </c>
      <c r="D29" s="4" t="n">
        <v>7.7</v>
      </c>
      <c r="E29" s="6" t="n">
        <v>76.7</v>
      </c>
      <c r="F29" s="7" t="n">
        <v>21300</v>
      </c>
      <c r="G29" s="6" t="n">
        <v>100</v>
      </c>
      <c r="H29" s="4" t="n">
        <v>1</v>
      </c>
      <c r="I29" s="4" t="n">
        <v>0</v>
      </c>
      <c r="J29" s="4" t="n">
        <v>0</v>
      </c>
    </row>
    <row r="30" customFormat="false" ht="15" hidden="false" customHeight="true" outlineLevel="0" collapsed="false">
      <c r="A30" s="8" t="n">
        <v>28</v>
      </c>
      <c r="B30" s="9" t="s">
        <v>42</v>
      </c>
      <c r="C30" s="8" t="s">
        <v>21</v>
      </c>
      <c r="D30" s="8" t="n">
        <v>3.5</v>
      </c>
      <c r="E30" s="10" t="n">
        <v>91.5</v>
      </c>
      <c r="F30" s="11" t="n">
        <v>21600</v>
      </c>
      <c r="G30" s="10" t="n">
        <v>71.5</v>
      </c>
      <c r="H30" s="8" t="n">
        <v>1</v>
      </c>
      <c r="I30" s="8" t="n">
        <v>0</v>
      </c>
      <c r="J30" s="8" t="n">
        <v>0</v>
      </c>
    </row>
    <row r="31" customFormat="false" ht="15" hidden="false" customHeight="true" outlineLevel="0" collapsed="false">
      <c r="A31" s="4" t="n">
        <v>29</v>
      </c>
      <c r="B31" s="5" t="s">
        <v>43</v>
      </c>
      <c r="C31" s="4" t="s">
        <v>14</v>
      </c>
      <c r="D31" s="4" t="n">
        <v>4.4</v>
      </c>
      <c r="E31" s="6" t="n">
        <v>72.2</v>
      </c>
      <c r="F31" s="7" t="n">
        <v>20900</v>
      </c>
      <c r="G31" s="6" t="n">
        <v>82.1</v>
      </c>
      <c r="H31" s="4" t="n">
        <v>1</v>
      </c>
      <c r="I31" s="4" t="n">
        <v>1</v>
      </c>
      <c r="J31" s="4" t="n">
        <v>0</v>
      </c>
    </row>
    <row r="32" customFormat="false" ht="15" hidden="false" customHeight="true" outlineLevel="0" collapsed="false">
      <c r="A32" s="8" t="n">
        <v>30</v>
      </c>
      <c r="B32" s="9" t="s">
        <v>44</v>
      </c>
      <c r="C32" s="8" t="s">
        <v>18</v>
      </c>
      <c r="D32" s="8" t="n">
        <v>5.9</v>
      </c>
      <c r="E32" s="10" t="n">
        <v>72.1</v>
      </c>
      <c r="F32" s="11" t="n">
        <v>42200</v>
      </c>
      <c r="G32" s="10" t="n">
        <v>87.9</v>
      </c>
      <c r="H32" s="8" t="n">
        <v>1</v>
      </c>
      <c r="I32" s="8" t="n">
        <v>0</v>
      </c>
      <c r="J32" s="8" t="n">
        <v>0</v>
      </c>
    </row>
    <row r="33" customFormat="false" ht="15" hidden="false" customHeight="true" outlineLevel="0" collapsed="false">
      <c r="A33" s="4" t="n">
        <v>31</v>
      </c>
      <c r="B33" s="5" t="s">
        <v>45</v>
      </c>
      <c r="C33" s="4" t="s">
        <v>12</v>
      </c>
      <c r="D33" s="4" t="n">
        <v>6.7</v>
      </c>
      <c r="E33" s="6" t="n">
        <v>86.8</v>
      </c>
      <c r="F33" s="7" t="n">
        <v>46100</v>
      </c>
      <c r="G33" s="6" t="n">
        <v>97.1</v>
      </c>
      <c r="H33" s="4" t="n">
        <v>1</v>
      </c>
      <c r="I33" s="4" t="n">
        <v>0</v>
      </c>
      <c r="J33" s="4" t="n">
        <v>1</v>
      </c>
    </row>
    <row r="34" customFormat="false" ht="15" hidden="false" customHeight="true" outlineLevel="0" collapsed="false">
      <c r="A34" s="8" t="n">
        <v>32</v>
      </c>
      <c r="B34" s="9" t="s">
        <v>46</v>
      </c>
      <c r="C34" s="8" t="s">
        <v>18</v>
      </c>
      <c r="D34" s="8" t="n">
        <v>5</v>
      </c>
      <c r="E34" s="10" t="n">
        <v>71.3</v>
      </c>
      <c r="F34" s="11" t="n">
        <v>37300</v>
      </c>
      <c r="G34" s="10" t="n">
        <v>81.8</v>
      </c>
      <c r="H34" s="8" t="n">
        <v>1</v>
      </c>
      <c r="I34" s="8" t="n">
        <v>0</v>
      </c>
      <c r="J34" s="8" t="n">
        <v>0</v>
      </c>
    </row>
    <row r="35" customFormat="false" ht="15" hidden="false" customHeight="true" outlineLevel="0" collapsed="false">
      <c r="A35" s="4" t="n">
        <v>33</v>
      </c>
      <c r="B35" s="5" t="s">
        <v>47</v>
      </c>
      <c r="C35" s="4" t="s">
        <v>14</v>
      </c>
      <c r="D35" s="4" t="n">
        <v>5</v>
      </c>
      <c r="E35" s="6" t="n">
        <v>60</v>
      </c>
      <c r="F35" s="7" t="n">
        <v>17100</v>
      </c>
      <c r="G35" s="6" t="n">
        <v>89.1</v>
      </c>
      <c r="H35" s="4" t="n">
        <v>1</v>
      </c>
      <c r="I35" s="4" t="n">
        <v>1</v>
      </c>
      <c r="J35" s="4" t="n">
        <v>0</v>
      </c>
    </row>
    <row r="36" customFormat="false" ht="15" hidden="false" customHeight="true" outlineLevel="0" collapsed="false">
      <c r="A36" s="8" t="n">
        <v>34</v>
      </c>
      <c r="B36" s="9" t="s">
        <v>48</v>
      </c>
      <c r="C36" s="8" t="s">
        <v>18</v>
      </c>
      <c r="D36" s="8" t="n">
        <v>2.9</v>
      </c>
      <c r="E36" s="10" t="n">
        <v>64.2</v>
      </c>
      <c r="F36" s="11" t="n">
        <v>35100</v>
      </c>
      <c r="G36" s="10" t="n">
        <v>73.1</v>
      </c>
      <c r="H36" s="8" t="n">
        <v>1</v>
      </c>
      <c r="I36" s="8" t="n">
        <v>0</v>
      </c>
      <c r="J36" s="8" t="n">
        <v>0</v>
      </c>
    </row>
    <row r="37" customFormat="false" ht="15" hidden="false" customHeight="true" outlineLevel="0" collapsed="false">
      <c r="A37" s="4" t="n">
        <v>35</v>
      </c>
      <c r="B37" s="5" t="s">
        <v>49</v>
      </c>
      <c r="C37" s="4" t="s">
        <v>14</v>
      </c>
      <c r="D37" s="4" t="n">
        <v>6.2</v>
      </c>
      <c r="E37" s="6" t="n">
        <v>83.8</v>
      </c>
      <c r="F37" s="7" t="n">
        <v>10000</v>
      </c>
      <c r="G37" s="6" t="n">
        <v>92.6</v>
      </c>
      <c r="H37" s="4" t="n">
        <v>1</v>
      </c>
      <c r="I37" s="4" t="n">
        <v>1</v>
      </c>
      <c r="J37" s="4" t="n">
        <v>0</v>
      </c>
    </row>
    <row r="38" customFormat="false" ht="15" hidden="false" customHeight="true" outlineLevel="0" collapsed="false">
      <c r="A38" s="8" t="n">
        <v>36</v>
      </c>
      <c r="B38" s="9" t="s">
        <v>50</v>
      </c>
      <c r="C38" s="8" t="s">
        <v>12</v>
      </c>
      <c r="D38" s="8" t="n">
        <v>3.4</v>
      </c>
      <c r="E38" s="10" t="n">
        <v>88.3</v>
      </c>
      <c r="F38" s="11" t="n">
        <v>51700</v>
      </c>
      <c r="G38" s="10" t="n">
        <v>81.1</v>
      </c>
      <c r="H38" s="8" t="n">
        <v>1</v>
      </c>
      <c r="I38" s="8" t="n">
        <v>0</v>
      </c>
      <c r="J38" s="8" t="n">
        <v>1</v>
      </c>
    </row>
    <row r="39" customFormat="false" ht="15" hidden="false" customHeight="true" outlineLevel="0" collapsed="false">
      <c r="A39" s="4" t="n">
        <v>37</v>
      </c>
      <c r="B39" s="5" t="s">
        <v>51</v>
      </c>
      <c r="C39" s="4" t="s">
        <v>14</v>
      </c>
      <c r="D39" s="4" t="n">
        <v>5.2</v>
      </c>
      <c r="E39" s="6" t="n">
        <v>43.9</v>
      </c>
      <c r="F39" s="7" t="n">
        <v>37800</v>
      </c>
      <c r="G39" s="6" t="n">
        <v>77.6</v>
      </c>
      <c r="H39" s="4" t="n">
        <v>1</v>
      </c>
      <c r="I39" s="4" t="n">
        <v>1</v>
      </c>
      <c r="J39" s="4" t="n">
        <v>0</v>
      </c>
    </row>
    <row r="40" customFormat="false" ht="15" hidden="false" customHeight="true" outlineLevel="0" collapsed="false">
      <c r="A40" s="8" t="n">
        <v>38</v>
      </c>
      <c r="B40" s="9" t="s">
        <v>52</v>
      </c>
      <c r="C40" s="8" t="s">
        <v>14</v>
      </c>
      <c r="D40" s="8" t="n">
        <v>4.1</v>
      </c>
      <c r="E40" s="10" t="n">
        <v>79.4</v>
      </c>
      <c r="F40" s="11" t="n">
        <v>44400</v>
      </c>
      <c r="G40" s="10" t="n">
        <v>94.6</v>
      </c>
      <c r="H40" s="8" t="n">
        <v>1</v>
      </c>
      <c r="I40" s="8" t="n">
        <v>1</v>
      </c>
      <c r="J40" s="8" t="n">
        <v>0</v>
      </c>
    </row>
    <row r="41" customFormat="false" ht="15" hidden="false" customHeight="true" outlineLevel="0" collapsed="false">
      <c r="A41" s="4" t="n">
        <v>39</v>
      </c>
      <c r="B41" s="5" t="s">
        <v>53</v>
      </c>
      <c r="C41" s="4" t="s">
        <v>21</v>
      </c>
      <c r="D41" s="4" t="n">
        <v>4.4</v>
      </c>
      <c r="E41" s="6" t="n">
        <v>67.1</v>
      </c>
      <c r="F41" s="7" t="n">
        <v>42400</v>
      </c>
      <c r="G41" s="6" t="n">
        <v>81.2</v>
      </c>
      <c r="H41" s="4" t="n">
        <v>1</v>
      </c>
      <c r="I41" s="4" t="n">
        <v>0</v>
      </c>
      <c r="J41" s="4" t="n">
        <v>0</v>
      </c>
    </row>
    <row r="42" customFormat="false" ht="15" hidden="false" customHeight="true" outlineLevel="0" collapsed="false">
      <c r="A42" s="8" t="n">
        <v>40</v>
      </c>
      <c r="B42" s="9" t="s">
        <v>54</v>
      </c>
      <c r="C42" s="8" t="s">
        <v>14</v>
      </c>
      <c r="D42" s="8" t="n">
        <v>4.7</v>
      </c>
      <c r="E42" s="10" t="n">
        <v>92.2</v>
      </c>
      <c r="F42" s="11" t="n">
        <v>44600</v>
      </c>
      <c r="G42" s="10" t="n">
        <v>92.6</v>
      </c>
      <c r="H42" s="8" t="n">
        <v>1</v>
      </c>
      <c r="I42" s="8" t="n">
        <v>1</v>
      </c>
      <c r="J42" s="8" t="n">
        <v>0</v>
      </c>
    </row>
    <row r="43" customFormat="false" ht="15" hidden="false" customHeight="true" outlineLevel="0" collapsed="false">
      <c r="A43" s="4" t="n">
        <v>41</v>
      </c>
      <c r="B43" s="5" t="s">
        <v>55</v>
      </c>
      <c r="C43" s="4" t="s">
        <v>18</v>
      </c>
      <c r="D43" s="4" t="n">
        <v>6.9</v>
      </c>
      <c r="E43" s="6" t="n">
        <v>73.2</v>
      </c>
      <c r="F43" s="7" t="n">
        <v>57000</v>
      </c>
      <c r="G43" s="6" t="n">
        <v>88.8</v>
      </c>
      <c r="H43" s="4" t="n">
        <v>1</v>
      </c>
      <c r="I43" s="4" t="n">
        <v>0</v>
      </c>
      <c r="J43" s="4" t="n">
        <v>0</v>
      </c>
    </row>
    <row r="44" customFormat="false" ht="15" hidden="false" customHeight="true" outlineLevel="0" collapsed="false">
      <c r="A44" s="8" t="n">
        <v>42</v>
      </c>
      <c r="B44" s="9" t="s">
        <v>56</v>
      </c>
      <c r="C44" s="8" t="s">
        <v>12</v>
      </c>
      <c r="D44" s="8" t="n">
        <v>5.3</v>
      </c>
      <c r="E44" s="10" t="n">
        <v>81.8</v>
      </c>
      <c r="F44" s="11" t="n">
        <v>35000</v>
      </c>
      <c r="G44" s="10" t="n">
        <v>96.3</v>
      </c>
      <c r="H44" s="8" t="n">
        <v>1</v>
      </c>
      <c r="I44" s="8" t="n">
        <v>0</v>
      </c>
      <c r="J44" s="8" t="n">
        <v>1</v>
      </c>
    </row>
    <row r="45" customFormat="false" ht="15" hidden="false" customHeight="true" outlineLevel="0" collapsed="false">
      <c r="A45" s="4" t="n">
        <v>43</v>
      </c>
      <c r="B45" s="5" t="s">
        <v>57</v>
      </c>
      <c r="C45" s="4" t="s">
        <v>14</v>
      </c>
      <c r="D45" s="4" t="n">
        <v>4</v>
      </c>
      <c r="E45" s="6" t="n">
        <v>89.3</v>
      </c>
      <c r="F45" s="7" t="n">
        <v>22300</v>
      </c>
      <c r="G45" s="6" t="n">
        <v>100</v>
      </c>
      <c r="H45" s="4" t="n">
        <v>1</v>
      </c>
      <c r="I45" s="4" t="n">
        <v>1</v>
      </c>
      <c r="J45" s="4" t="n">
        <v>0</v>
      </c>
    </row>
    <row r="46" customFormat="false" ht="15" hidden="false" customHeight="true" outlineLevel="0" collapsed="false">
      <c r="A46" s="8" t="n">
        <v>44</v>
      </c>
      <c r="B46" s="9" t="s">
        <v>58</v>
      </c>
      <c r="C46" s="8" t="s">
        <v>12</v>
      </c>
      <c r="D46" s="8" t="n">
        <v>2.5</v>
      </c>
      <c r="E46" s="10" t="n">
        <v>74.8</v>
      </c>
      <c r="F46" s="11" t="n">
        <v>21400</v>
      </c>
      <c r="G46" s="10" t="n">
        <v>72.6</v>
      </c>
      <c r="H46" s="8" t="n">
        <v>1</v>
      </c>
      <c r="I46" s="8" t="n">
        <v>0</v>
      </c>
      <c r="J46" s="8" t="n">
        <v>1</v>
      </c>
    </row>
    <row r="47" customFormat="false" ht="15" hidden="false" customHeight="true" outlineLevel="0" collapsed="false">
      <c r="A47" s="4" t="n">
        <v>45</v>
      </c>
      <c r="B47" s="5" t="s">
        <v>59</v>
      </c>
      <c r="C47" s="4" t="s">
        <v>14</v>
      </c>
      <c r="D47" s="4" t="n">
        <v>4.5</v>
      </c>
      <c r="E47" s="6" t="n">
        <v>76.2</v>
      </c>
      <c r="F47" s="7" t="n">
        <v>46500</v>
      </c>
      <c r="G47" s="6" t="n">
        <v>91.8</v>
      </c>
      <c r="H47" s="4" t="n">
        <v>1</v>
      </c>
      <c r="I47" s="4" t="n">
        <v>1</v>
      </c>
      <c r="J47" s="4" t="n">
        <v>0</v>
      </c>
    </row>
    <row r="48" customFormat="false" ht="15" hidden="false" customHeight="true" outlineLevel="0" collapsed="false">
      <c r="A48" s="8" t="n">
        <v>46</v>
      </c>
      <c r="B48" s="9" t="s">
        <v>60</v>
      </c>
      <c r="C48" s="8" t="s">
        <v>14</v>
      </c>
      <c r="D48" s="8" t="n">
        <v>5</v>
      </c>
      <c r="E48" s="10" t="n">
        <v>71.5</v>
      </c>
      <c r="F48" s="11" t="n">
        <v>14000</v>
      </c>
      <c r="G48" s="10" t="n">
        <v>94.6</v>
      </c>
      <c r="H48" s="8" t="n">
        <v>1</v>
      </c>
      <c r="I48" s="8" t="n">
        <v>1</v>
      </c>
      <c r="J48" s="8" t="n">
        <v>0</v>
      </c>
    </row>
    <row r="49" customFormat="false" ht="15" hidden="false" customHeight="true" outlineLevel="0" collapsed="false">
      <c r="A49" s="4" t="n">
        <v>47</v>
      </c>
      <c r="B49" s="5" t="s">
        <v>61</v>
      </c>
      <c r="C49" s="4" t="s">
        <v>12</v>
      </c>
      <c r="D49" s="4" t="n">
        <v>5.3</v>
      </c>
      <c r="E49" s="6" t="n">
        <v>72.8</v>
      </c>
      <c r="F49" s="7" t="n">
        <v>39300</v>
      </c>
      <c r="G49" s="6" t="n">
        <v>91.1</v>
      </c>
      <c r="H49" s="4" t="n">
        <v>1</v>
      </c>
      <c r="I49" s="4" t="n">
        <v>0</v>
      </c>
      <c r="J49" s="4" t="n">
        <v>1</v>
      </c>
    </row>
    <row r="50" customFormat="false" ht="15" hidden="false" customHeight="true" outlineLevel="0" collapsed="false">
      <c r="A50" s="8" t="n">
        <v>48</v>
      </c>
      <c r="B50" s="9" t="s">
        <v>62</v>
      </c>
      <c r="C50" s="8" t="s">
        <v>12</v>
      </c>
      <c r="D50" s="8" t="n">
        <v>3.9</v>
      </c>
      <c r="E50" s="10" t="n">
        <v>75.3</v>
      </c>
      <c r="F50" s="11" t="n">
        <v>13700</v>
      </c>
      <c r="G50" s="10" t="n">
        <v>78.3</v>
      </c>
      <c r="H50" s="8" t="n">
        <v>1</v>
      </c>
      <c r="I50" s="8" t="n">
        <v>0</v>
      </c>
      <c r="J50" s="8" t="n">
        <v>1</v>
      </c>
    </row>
    <row r="51" customFormat="false" ht="15" hidden="false" customHeight="true" outlineLevel="0" collapsed="false">
      <c r="A51" s="4" t="n">
        <v>49</v>
      </c>
      <c r="B51" s="5" t="s">
        <v>63</v>
      </c>
      <c r="C51" s="4" t="s">
        <v>18</v>
      </c>
      <c r="D51" s="4" t="n">
        <v>5.3</v>
      </c>
      <c r="E51" s="6" t="n">
        <v>73.8</v>
      </c>
      <c r="F51" s="7" t="n">
        <v>24200</v>
      </c>
      <c r="G51" s="6" t="n">
        <v>81.5</v>
      </c>
      <c r="H51" s="4" t="n">
        <v>1</v>
      </c>
      <c r="I51" s="4" t="n">
        <v>0</v>
      </c>
      <c r="J51" s="4" t="n">
        <v>0</v>
      </c>
    </row>
    <row r="52" customFormat="false" ht="15" hidden="false" customHeight="true" outlineLevel="0" collapsed="false">
      <c r="A52" s="8" t="n">
        <v>50</v>
      </c>
      <c r="B52" s="9" t="s">
        <v>64</v>
      </c>
      <c r="C52" s="8" t="s">
        <v>18</v>
      </c>
      <c r="D52" s="8" t="n">
        <v>5.4</v>
      </c>
      <c r="E52" s="10" t="n">
        <v>81.8</v>
      </c>
      <c r="F52" s="11" t="n">
        <v>35200</v>
      </c>
      <c r="G52" s="10" t="n">
        <v>84.4</v>
      </c>
      <c r="H52" s="8" t="n">
        <v>1</v>
      </c>
      <c r="I52" s="8" t="n">
        <v>0</v>
      </c>
      <c r="J52" s="8" t="n">
        <v>0</v>
      </c>
    </row>
    <row r="53" customFormat="false" ht="15" hidden="false" customHeight="true" outlineLevel="0" collapsed="false">
      <c r="A53" s="4" t="n">
        <v>51</v>
      </c>
      <c r="B53" s="5" t="s">
        <v>65</v>
      </c>
      <c r="C53" s="4" t="s">
        <v>14</v>
      </c>
      <c r="D53" s="4" t="n">
        <v>7</v>
      </c>
      <c r="E53" s="6" t="n">
        <v>65.3</v>
      </c>
      <c r="F53" s="7" t="n">
        <v>16200</v>
      </c>
      <c r="G53" s="6" t="n">
        <v>90.9</v>
      </c>
      <c r="H53" s="4" t="n">
        <v>1</v>
      </c>
      <c r="I53" s="4" t="n">
        <v>1</v>
      </c>
      <c r="J53" s="4" t="n">
        <v>0</v>
      </c>
    </row>
    <row r="54" customFormat="false" ht="15" hidden="false" customHeight="true" outlineLevel="0" collapsed="false">
      <c r="A54" s="8" t="n">
        <v>52</v>
      </c>
      <c r="B54" s="9" t="s">
        <v>66</v>
      </c>
      <c r="C54" s="8" t="s">
        <v>18</v>
      </c>
      <c r="D54" s="8" t="n">
        <v>4.7</v>
      </c>
      <c r="E54" s="10" t="n">
        <v>81.1</v>
      </c>
      <c r="F54" s="11" t="n">
        <v>23200</v>
      </c>
      <c r="G54" s="10" t="n">
        <v>96.9</v>
      </c>
      <c r="H54" s="8" t="n">
        <v>1</v>
      </c>
      <c r="I54" s="8" t="n">
        <v>0</v>
      </c>
      <c r="J54" s="8" t="n">
        <v>0</v>
      </c>
    </row>
    <row r="55" customFormat="false" ht="15" hidden="false" customHeight="true" outlineLevel="0" collapsed="false">
      <c r="A55" s="4" t="n">
        <v>53</v>
      </c>
      <c r="B55" s="5" t="s">
        <v>67</v>
      </c>
      <c r="C55" s="4" t="s">
        <v>14</v>
      </c>
      <c r="D55" s="4" t="n">
        <v>5.4</v>
      </c>
      <c r="E55" s="6" t="n">
        <v>82.8</v>
      </c>
      <c r="F55" s="7" t="n">
        <v>10000</v>
      </c>
      <c r="G55" s="6" t="n">
        <v>96.7</v>
      </c>
      <c r="H55" s="4" t="n">
        <v>1</v>
      </c>
      <c r="I55" s="4" t="n">
        <v>1</v>
      </c>
      <c r="J55" s="4" t="n">
        <v>0</v>
      </c>
    </row>
    <row r="56" customFormat="false" ht="15" hidden="false" customHeight="true" outlineLevel="0" collapsed="false">
      <c r="A56" s="8" t="n">
        <v>54</v>
      </c>
      <c r="B56" s="9" t="s">
        <v>68</v>
      </c>
      <c r="C56" s="8" t="s">
        <v>18</v>
      </c>
      <c r="D56" s="8" t="n">
        <v>6.7</v>
      </c>
      <c r="E56" s="10" t="n">
        <v>78.8</v>
      </c>
      <c r="F56" s="11" t="n">
        <v>31400</v>
      </c>
      <c r="G56" s="10" t="n">
        <v>95.1</v>
      </c>
      <c r="H56" s="8" t="n">
        <v>1</v>
      </c>
      <c r="I56" s="8" t="n">
        <v>0</v>
      </c>
      <c r="J56" s="8" t="n">
        <v>0</v>
      </c>
    </row>
    <row r="57" customFormat="false" ht="15" hidden="false" customHeight="true" outlineLevel="0" collapsed="false">
      <c r="A57" s="4" t="n">
        <v>55</v>
      </c>
      <c r="B57" s="5" t="s">
        <v>69</v>
      </c>
      <c r="C57" s="4" t="s">
        <v>18</v>
      </c>
      <c r="D57" s="4" t="n">
        <v>5.2</v>
      </c>
      <c r="E57" s="6" t="n">
        <v>89.9</v>
      </c>
      <c r="F57" s="7" t="n">
        <v>41600</v>
      </c>
      <c r="G57" s="6" t="n">
        <v>82.9</v>
      </c>
      <c r="H57" s="4" t="n">
        <v>1</v>
      </c>
      <c r="I57" s="4" t="n">
        <v>0</v>
      </c>
      <c r="J57" s="4" t="n">
        <v>0</v>
      </c>
    </row>
    <row r="58" customFormat="false" ht="15" hidden="false" customHeight="true" outlineLevel="0" collapsed="false">
      <c r="A58" s="8" t="n">
        <v>56</v>
      </c>
      <c r="B58" s="9" t="s">
        <v>70</v>
      </c>
      <c r="C58" s="8" t="s">
        <v>14</v>
      </c>
      <c r="D58" s="8" t="n">
        <v>6.5</v>
      </c>
      <c r="E58" s="10" t="n">
        <v>57.5</v>
      </c>
      <c r="F58" s="11" t="n">
        <v>46800</v>
      </c>
      <c r="G58" s="10" t="n">
        <v>84.3</v>
      </c>
      <c r="H58" s="8" t="n">
        <v>1</v>
      </c>
      <c r="I58" s="8" t="n">
        <v>1</v>
      </c>
      <c r="J58" s="8" t="n">
        <v>0</v>
      </c>
    </row>
    <row r="59" customFormat="false" ht="15" hidden="false" customHeight="true" outlineLevel="0" collapsed="false">
      <c r="A59" s="4" t="n">
        <v>57</v>
      </c>
      <c r="B59" s="5" t="s">
        <v>71</v>
      </c>
      <c r="C59" s="4" t="s">
        <v>12</v>
      </c>
      <c r="D59" s="4" t="n">
        <v>4.8</v>
      </c>
      <c r="E59" s="6" t="n">
        <v>81.1</v>
      </c>
      <c r="F59" s="7" t="n">
        <v>24600</v>
      </c>
      <c r="G59" s="6" t="n">
        <v>90.4</v>
      </c>
      <c r="H59" s="4" t="n">
        <v>1</v>
      </c>
      <c r="I59" s="4" t="n">
        <v>0</v>
      </c>
      <c r="J59" s="4" t="n">
        <v>1</v>
      </c>
    </row>
    <row r="60" customFormat="false" ht="15" hidden="false" customHeight="true" outlineLevel="0" collapsed="false">
      <c r="A60" s="8" t="n">
        <v>58</v>
      </c>
      <c r="B60" s="9" t="s">
        <v>72</v>
      </c>
      <c r="C60" s="8" t="s">
        <v>14</v>
      </c>
      <c r="D60" s="8" t="n">
        <v>8.5</v>
      </c>
      <c r="E60" s="10" t="n">
        <v>70.1</v>
      </c>
      <c r="F60" s="11" t="n">
        <v>38300</v>
      </c>
      <c r="G60" s="10" t="n">
        <v>100</v>
      </c>
      <c r="H60" s="8" t="n">
        <v>1</v>
      </c>
      <c r="I60" s="8" t="n">
        <v>1</v>
      </c>
      <c r="J60" s="8" t="n">
        <v>0</v>
      </c>
    </row>
    <row r="61" customFormat="false" ht="15" hidden="false" customHeight="true" outlineLevel="0" collapsed="false">
      <c r="A61" s="4" t="n">
        <v>59</v>
      </c>
      <c r="B61" s="5" t="s">
        <v>73</v>
      </c>
      <c r="C61" s="4" t="s">
        <v>14</v>
      </c>
      <c r="D61" s="4" t="n">
        <v>4.4</v>
      </c>
      <c r="E61" s="6" t="n">
        <v>79.9</v>
      </c>
      <c r="F61" s="7" t="n">
        <v>22400</v>
      </c>
      <c r="G61" s="6" t="n">
        <v>97.8</v>
      </c>
      <c r="H61" s="4" t="n">
        <v>1</v>
      </c>
      <c r="I61" s="4" t="n">
        <v>1</v>
      </c>
      <c r="J61" s="4" t="n">
        <v>0</v>
      </c>
    </row>
    <row r="62" customFormat="false" ht="15" hidden="false" customHeight="true" outlineLevel="0" collapsed="false">
      <c r="A62" s="8" t="n">
        <v>60</v>
      </c>
      <c r="B62" s="9" t="s">
        <v>74</v>
      </c>
      <c r="C62" s="8" t="s">
        <v>14</v>
      </c>
      <c r="D62" s="8" t="n">
        <v>4.2</v>
      </c>
      <c r="E62" s="10" t="n">
        <v>86.4</v>
      </c>
      <c r="F62" s="11" t="n">
        <v>35800</v>
      </c>
      <c r="G62" s="10" t="n">
        <v>91</v>
      </c>
      <c r="H62" s="8" t="n">
        <v>1</v>
      </c>
      <c r="I62" s="8" t="n">
        <v>1</v>
      </c>
      <c r="J62" s="8" t="n">
        <v>0</v>
      </c>
    </row>
    <row r="63" customFormat="false" ht="15" hidden="false" customHeight="true" outlineLevel="0" collapsed="false">
      <c r="A63" s="4" t="n">
        <v>61</v>
      </c>
      <c r="B63" s="5" t="s">
        <v>75</v>
      </c>
      <c r="C63" s="4" t="s">
        <v>18</v>
      </c>
      <c r="D63" s="4" t="n">
        <v>3.3</v>
      </c>
      <c r="E63" s="6" t="n">
        <v>69.1</v>
      </c>
      <c r="F63" s="7" t="n">
        <v>33100</v>
      </c>
      <c r="G63" s="6" t="n">
        <v>79.2</v>
      </c>
      <c r="H63" s="4" t="n">
        <v>1</v>
      </c>
      <c r="I63" s="4" t="n">
        <v>0</v>
      </c>
      <c r="J63" s="4" t="n">
        <v>0</v>
      </c>
    </row>
    <row r="64" customFormat="false" ht="15" hidden="false" customHeight="true" outlineLevel="0" collapsed="false">
      <c r="A64" s="8" t="n">
        <v>62</v>
      </c>
      <c r="B64" s="9" t="s">
        <v>76</v>
      </c>
      <c r="C64" s="8" t="s">
        <v>21</v>
      </c>
      <c r="D64" s="8" t="n">
        <v>4.6</v>
      </c>
      <c r="E64" s="10" t="n">
        <v>88.8</v>
      </c>
      <c r="F64" s="11" t="n">
        <v>10000</v>
      </c>
      <c r="G64" s="10" t="n">
        <v>88.9</v>
      </c>
      <c r="H64" s="8" t="n">
        <v>1</v>
      </c>
      <c r="I64" s="8" t="n">
        <v>0</v>
      </c>
      <c r="J64" s="8" t="n">
        <v>0</v>
      </c>
    </row>
    <row r="65" customFormat="false" ht="15" hidden="false" customHeight="true" outlineLevel="0" collapsed="false">
      <c r="A65" s="4" t="n">
        <v>63</v>
      </c>
      <c r="B65" s="5" t="s">
        <v>77</v>
      </c>
      <c r="C65" s="4" t="s">
        <v>14</v>
      </c>
      <c r="D65" s="4" t="n">
        <v>0.5</v>
      </c>
      <c r="E65" s="6" t="n">
        <v>72.9</v>
      </c>
      <c r="F65" s="7" t="n">
        <v>38800</v>
      </c>
      <c r="G65" s="6" t="n">
        <v>81.1</v>
      </c>
      <c r="H65" s="4" t="n">
        <v>1</v>
      </c>
      <c r="I65" s="4" t="n">
        <v>1</v>
      </c>
      <c r="J65" s="4" t="n">
        <v>0</v>
      </c>
    </row>
    <row r="66" customFormat="false" ht="15" hidden="false" customHeight="true" outlineLevel="0" collapsed="false">
      <c r="A66" s="8" t="n">
        <v>64</v>
      </c>
      <c r="B66" s="9" t="s">
        <v>78</v>
      </c>
      <c r="C66" s="8" t="s">
        <v>14</v>
      </c>
      <c r="D66" s="8" t="n">
        <v>3.2</v>
      </c>
      <c r="E66" s="10" t="n">
        <v>73.2</v>
      </c>
      <c r="F66" s="11" t="n">
        <v>30900</v>
      </c>
      <c r="G66" s="10" t="n">
        <v>83.6</v>
      </c>
      <c r="H66" s="8" t="n">
        <v>1</v>
      </c>
      <c r="I66" s="8" t="n">
        <v>1</v>
      </c>
      <c r="J66" s="8" t="n">
        <v>0</v>
      </c>
    </row>
    <row r="67" customFormat="false" ht="15" hidden="false" customHeight="true" outlineLevel="0" collapsed="false">
      <c r="A67" s="4" t="n">
        <v>65</v>
      </c>
      <c r="B67" s="5" t="s">
        <v>79</v>
      </c>
      <c r="C67" s="4" t="s">
        <v>14</v>
      </c>
      <c r="D67" s="4" t="n">
        <v>5.9</v>
      </c>
      <c r="E67" s="6" t="n">
        <v>73.9</v>
      </c>
      <c r="F67" s="7" t="n">
        <v>20900</v>
      </c>
      <c r="G67" s="6" t="n">
        <v>100</v>
      </c>
      <c r="H67" s="4" t="n">
        <v>1</v>
      </c>
      <c r="I67" s="4" t="n">
        <v>1</v>
      </c>
      <c r="J67" s="4" t="n">
        <v>0</v>
      </c>
    </row>
    <row r="68" customFormat="false" ht="15" hidden="false" customHeight="true" outlineLevel="0" collapsed="false">
      <c r="A68" s="8" t="n">
        <v>66</v>
      </c>
      <c r="B68" s="9" t="s">
        <v>80</v>
      </c>
      <c r="C68" s="8" t="s">
        <v>14</v>
      </c>
      <c r="D68" s="8" t="n">
        <v>3.3</v>
      </c>
      <c r="E68" s="10" t="n">
        <v>72.4</v>
      </c>
      <c r="F68" s="11" t="n">
        <v>54100</v>
      </c>
      <c r="G68" s="10" t="n">
        <v>84.5</v>
      </c>
      <c r="H68" s="8" t="n">
        <v>1</v>
      </c>
      <c r="I68" s="8" t="n">
        <v>1</v>
      </c>
      <c r="J68" s="8" t="n">
        <v>0</v>
      </c>
    </row>
    <row r="69" customFormat="false" ht="15" hidden="false" customHeight="true" outlineLevel="0" collapsed="false">
      <c r="A69" s="4" t="n">
        <v>67</v>
      </c>
      <c r="B69" s="5" t="s">
        <v>81</v>
      </c>
      <c r="C69" s="4" t="s">
        <v>12</v>
      </c>
      <c r="D69" s="4" t="n">
        <v>9.6</v>
      </c>
      <c r="E69" s="6" t="n">
        <v>66.4</v>
      </c>
      <c r="F69" s="7" t="n">
        <v>50700</v>
      </c>
      <c r="G69" s="6" t="n">
        <v>100</v>
      </c>
      <c r="H69" s="4" t="n">
        <v>1</v>
      </c>
      <c r="I69" s="4" t="n">
        <v>0</v>
      </c>
      <c r="J69" s="4" t="n">
        <v>1</v>
      </c>
    </row>
    <row r="70" customFormat="false" ht="15" hidden="false" customHeight="true" outlineLevel="0" collapsed="false">
      <c r="A70" s="8" t="n">
        <v>68</v>
      </c>
      <c r="B70" s="9" t="s">
        <v>82</v>
      </c>
      <c r="C70" s="8" t="s">
        <v>14</v>
      </c>
      <c r="D70" s="8" t="n">
        <v>7.7</v>
      </c>
      <c r="E70" s="10" t="n">
        <v>96.1</v>
      </c>
      <c r="F70" s="11" t="n">
        <v>47900</v>
      </c>
      <c r="G70" s="10" t="n">
        <v>100</v>
      </c>
      <c r="H70" s="8" t="n">
        <v>1</v>
      </c>
      <c r="I70" s="8" t="n">
        <v>1</v>
      </c>
      <c r="J70" s="8" t="n">
        <v>0</v>
      </c>
    </row>
    <row r="71" customFormat="false" ht="15" hidden="false" customHeight="true" outlineLevel="0" collapsed="false">
      <c r="A71" s="4" t="n">
        <v>69</v>
      </c>
      <c r="B71" s="5" t="s">
        <v>83</v>
      </c>
      <c r="C71" s="4" t="s">
        <v>14</v>
      </c>
      <c r="D71" s="4" t="n">
        <v>3.9</v>
      </c>
      <c r="E71" s="6" t="n">
        <v>74.7</v>
      </c>
      <c r="F71" s="7" t="n">
        <v>43200</v>
      </c>
      <c r="G71" s="6" t="n">
        <v>82.5</v>
      </c>
      <c r="H71" s="4" t="n">
        <v>1</v>
      </c>
      <c r="I71" s="4" t="n">
        <v>1</v>
      </c>
      <c r="J71" s="4" t="n">
        <v>0</v>
      </c>
    </row>
    <row r="72" customFormat="false" ht="15" hidden="false" customHeight="true" outlineLevel="0" collapsed="false">
      <c r="A72" s="8" t="n">
        <v>70</v>
      </c>
      <c r="B72" s="9" t="s">
        <v>84</v>
      </c>
      <c r="C72" s="8" t="s">
        <v>14</v>
      </c>
      <c r="D72" s="8" t="n">
        <v>5.3</v>
      </c>
      <c r="E72" s="10" t="n">
        <v>72.4</v>
      </c>
      <c r="F72" s="11" t="n">
        <v>33200</v>
      </c>
      <c r="G72" s="10" t="n">
        <v>88.2</v>
      </c>
      <c r="H72" s="8" t="n">
        <v>1</v>
      </c>
      <c r="I72" s="8" t="n">
        <v>1</v>
      </c>
      <c r="J72" s="8" t="n">
        <v>0</v>
      </c>
    </row>
    <row r="73" customFormat="false" ht="15" hidden="false" customHeight="true" outlineLevel="0" collapsed="false">
      <c r="A73" s="4" t="n">
        <v>71</v>
      </c>
      <c r="B73" s="5" t="s">
        <v>85</v>
      </c>
      <c r="C73" s="4" t="s">
        <v>18</v>
      </c>
      <c r="D73" s="4" t="n">
        <v>4.9</v>
      </c>
      <c r="E73" s="6" t="n">
        <v>94</v>
      </c>
      <c r="F73" s="7" t="n">
        <v>26200</v>
      </c>
      <c r="G73" s="6" t="n">
        <v>88.4</v>
      </c>
      <c r="H73" s="4" t="n">
        <v>1</v>
      </c>
      <c r="I73" s="4" t="n">
        <v>0</v>
      </c>
      <c r="J73" s="4" t="n">
        <v>0</v>
      </c>
    </row>
    <row r="74" customFormat="false" ht="15" hidden="false" customHeight="true" outlineLevel="0" collapsed="false">
      <c r="A74" s="8" t="n">
        <v>72</v>
      </c>
      <c r="B74" s="9" t="s">
        <v>86</v>
      </c>
      <c r="C74" s="8" t="s">
        <v>21</v>
      </c>
      <c r="D74" s="8" t="n">
        <v>3.7</v>
      </c>
      <c r="E74" s="10" t="n">
        <v>75.8</v>
      </c>
      <c r="F74" s="11" t="n">
        <v>12900</v>
      </c>
      <c r="G74" s="10" t="n">
        <v>80.6</v>
      </c>
      <c r="H74" s="8" t="n">
        <v>1</v>
      </c>
      <c r="I74" s="8" t="n">
        <v>0</v>
      </c>
      <c r="J74" s="8" t="n">
        <v>0</v>
      </c>
    </row>
    <row r="75" customFormat="false" ht="15" hidden="false" customHeight="true" outlineLevel="0" collapsed="false">
      <c r="A75" s="4" t="n">
        <v>73</v>
      </c>
      <c r="B75" s="5" t="s">
        <v>87</v>
      </c>
      <c r="C75" s="4" t="s">
        <v>12</v>
      </c>
      <c r="D75" s="4" t="n">
        <v>4.3</v>
      </c>
      <c r="E75" s="6" t="n">
        <v>77.3</v>
      </c>
      <c r="F75" s="7" t="n">
        <v>33900</v>
      </c>
      <c r="G75" s="6" t="n">
        <v>94.3</v>
      </c>
      <c r="H75" s="4" t="n">
        <v>1</v>
      </c>
      <c r="I75" s="4" t="n">
        <v>0</v>
      </c>
      <c r="J75" s="4" t="n">
        <v>1</v>
      </c>
    </row>
    <row r="76" customFormat="false" ht="15" hidden="false" customHeight="true" outlineLevel="0" collapsed="false">
      <c r="A76" s="8" t="n">
        <v>74</v>
      </c>
      <c r="B76" s="9" t="s">
        <v>88</v>
      </c>
      <c r="C76" s="8" t="s">
        <v>14</v>
      </c>
      <c r="D76" s="8" t="n">
        <v>6.2</v>
      </c>
      <c r="E76" s="10" t="n">
        <v>96.1</v>
      </c>
      <c r="F76" s="11" t="n">
        <v>37800</v>
      </c>
      <c r="G76" s="10" t="n">
        <v>100</v>
      </c>
      <c r="H76" s="8" t="n">
        <v>1</v>
      </c>
      <c r="I76" s="8" t="n">
        <v>1</v>
      </c>
      <c r="J76" s="8" t="n">
        <v>0</v>
      </c>
    </row>
    <row r="77" customFormat="false" ht="15" hidden="false" customHeight="true" outlineLevel="0" collapsed="false">
      <c r="A77" s="4" t="n">
        <v>75</v>
      </c>
      <c r="B77" s="5" t="s">
        <v>89</v>
      </c>
      <c r="C77" s="4" t="s">
        <v>14</v>
      </c>
      <c r="D77" s="4" t="n">
        <v>5.2</v>
      </c>
      <c r="E77" s="6" t="n">
        <v>81.3</v>
      </c>
      <c r="F77" s="7" t="n">
        <v>31100</v>
      </c>
      <c r="G77" s="6" t="n">
        <v>99.6</v>
      </c>
      <c r="H77" s="4" t="n">
        <v>1</v>
      </c>
      <c r="I77" s="4" t="n">
        <v>1</v>
      </c>
      <c r="J77" s="4" t="n">
        <v>0</v>
      </c>
    </row>
    <row r="78" customFormat="false" ht="15" hidden="false" customHeight="true" outlineLevel="0" collapsed="false">
      <c r="A78" s="8" t="n">
        <v>76</v>
      </c>
      <c r="B78" s="9" t="s">
        <v>90</v>
      </c>
      <c r="C78" s="8" t="s">
        <v>21</v>
      </c>
      <c r="D78" s="8" t="n">
        <v>4.9</v>
      </c>
      <c r="E78" s="10" t="n">
        <v>92.4</v>
      </c>
      <c r="F78" s="11" t="n">
        <v>27700</v>
      </c>
      <c r="G78" s="10" t="n">
        <v>100</v>
      </c>
      <c r="H78" s="8" t="n">
        <v>1</v>
      </c>
      <c r="I78" s="8" t="n">
        <v>0</v>
      </c>
      <c r="J78" s="8" t="n">
        <v>0</v>
      </c>
    </row>
    <row r="79" customFormat="false" ht="15" hidden="false" customHeight="true" outlineLevel="0" collapsed="false">
      <c r="A79" s="4" t="n">
        <v>77</v>
      </c>
      <c r="B79" s="5" t="s">
        <v>91</v>
      </c>
      <c r="C79" s="4" t="s">
        <v>14</v>
      </c>
      <c r="D79" s="4" t="n">
        <v>4.4</v>
      </c>
      <c r="E79" s="6" t="n">
        <v>83.1</v>
      </c>
      <c r="F79" s="7" t="n">
        <v>30300</v>
      </c>
      <c r="G79" s="6" t="n">
        <v>96.6</v>
      </c>
      <c r="H79" s="4" t="n">
        <v>1</v>
      </c>
      <c r="I79" s="4" t="n">
        <v>1</v>
      </c>
      <c r="J79" s="4" t="n">
        <v>0</v>
      </c>
    </row>
    <row r="80" customFormat="false" ht="15" hidden="false" customHeight="true" outlineLevel="0" collapsed="false">
      <c r="A80" s="8" t="n">
        <v>78</v>
      </c>
      <c r="B80" s="9" t="s">
        <v>92</v>
      </c>
      <c r="C80" s="8" t="s">
        <v>12</v>
      </c>
      <c r="D80" s="8" t="n">
        <v>5.4</v>
      </c>
      <c r="E80" s="10" t="n">
        <v>77.1</v>
      </c>
      <c r="F80" s="11" t="n">
        <v>36200</v>
      </c>
      <c r="G80" s="10" t="n">
        <v>96.7</v>
      </c>
      <c r="H80" s="8" t="n">
        <v>1</v>
      </c>
      <c r="I80" s="8" t="n">
        <v>0</v>
      </c>
      <c r="J80" s="8" t="n">
        <v>1</v>
      </c>
    </row>
    <row r="81" customFormat="false" ht="15" hidden="false" customHeight="true" outlineLevel="0" collapsed="false">
      <c r="A81" s="4" t="n">
        <v>79</v>
      </c>
      <c r="B81" s="5" t="s">
        <v>93</v>
      </c>
      <c r="C81" s="4" t="s">
        <v>18</v>
      </c>
      <c r="D81" s="4" t="n">
        <v>3.8</v>
      </c>
      <c r="E81" s="6" t="n">
        <v>85.1</v>
      </c>
      <c r="F81" s="7" t="n">
        <v>28400</v>
      </c>
      <c r="G81" s="6" t="n">
        <v>92.6</v>
      </c>
      <c r="H81" s="4" t="n">
        <v>1</v>
      </c>
      <c r="I81" s="4" t="n">
        <v>0</v>
      </c>
      <c r="J81" s="4" t="n">
        <v>0</v>
      </c>
    </row>
    <row r="82" customFormat="false" ht="15" hidden="false" customHeight="true" outlineLevel="0" collapsed="false">
      <c r="A82" s="8" t="n">
        <v>80</v>
      </c>
      <c r="B82" s="9" t="s">
        <v>94</v>
      </c>
      <c r="C82" s="8" t="s">
        <v>12</v>
      </c>
      <c r="D82" s="8" t="n">
        <v>5.1</v>
      </c>
      <c r="E82" s="10" t="n">
        <v>75.7</v>
      </c>
      <c r="F82" s="11" t="n">
        <v>38500</v>
      </c>
      <c r="G82" s="10" t="n">
        <v>90.7</v>
      </c>
      <c r="H82" s="8" t="n">
        <v>1</v>
      </c>
      <c r="I82" s="8" t="n">
        <v>0</v>
      </c>
      <c r="J82" s="8" t="n">
        <v>1</v>
      </c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558C0"/>
    <pageSetUpPr fitToPage="false"/>
  </sheetPr>
  <dimension ref="A1:L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14"/>
    <col collapsed="false" customWidth="true" hidden="false" outlineLevel="0" max="3" min="3" style="1" width="16"/>
    <col collapsed="false" customWidth="true" hidden="false" outlineLevel="0" max="4" min="4" style="1" width="26"/>
    <col collapsed="false" customWidth="true" hidden="false" outlineLevel="0" max="5" min="5" style="1" width="4"/>
    <col collapsed="false" customWidth="true" hidden="false" outlineLevel="0" max="7" min="6" style="1" width="11"/>
    <col collapsed="false" customWidth="true" hidden="false" outlineLevel="0" max="12" min="8" style="1" width="10"/>
  </cols>
  <sheetData>
    <row r="1" customFormat="false" ht="27.75" hidden="false" customHeight="true" outlineLevel="0" collapsed="false">
      <c r="A1" s="12" t="s">
        <v>95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</row>
    <row r="2" customFormat="false" ht="18" hidden="false" customHeight="true" outlineLevel="0" collapsed="false">
      <c r="A2" s="13" t="s">
        <v>96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</row>
    <row r="3" customFormat="false" ht="21.75" hidden="false" customHeight="true" outlineLevel="0" collapsed="false">
      <c r="F3" s="14" t="s">
        <v>97</v>
      </c>
      <c r="G3" s="14"/>
      <c r="H3" s="14"/>
      <c r="I3" s="14"/>
      <c r="J3" s="14"/>
      <c r="K3" s="14"/>
      <c r="L3" s="14"/>
    </row>
    <row r="4" customFormat="false" ht="19.5" hidden="false" customHeight="true" outlineLevel="0" collapsed="false">
      <c r="A4" s="14" t="s">
        <v>98</v>
      </c>
      <c r="B4" s="14"/>
      <c r="C4" s="14"/>
      <c r="D4" s="14"/>
      <c r="F4" s="15" t="s">
        <v>4</v>
      </c>
      <c r="G4" s="15" t="s">
        <v>99</v>
      </c>
      <c r="H4" s="15" t="s">
        <v>100</v>
      </c>
      <c r="I4" s="15" t="s">
        <v>101</v>
      </c>
      <c r="J4" s="15" t="s">
        <v>102</v>
      </c>
      <c r="K4" s="15" t="s">
        <v>103</v>
      </c>
      <c r="L4" s="15" t="s">
        <v>104</v>
      </c>
    </row>
    <row r="5" customFormat="false" ht="15" hidden="false" customHeight="true" outlineLevel="0" collapsed="false">
      <c r="A5" s="16" t="s">
        <v>105</v>
      </c>
      <c r="B5" s="17" t="n">
        <f aca="false">SLOPE('📊 RawData'!G3:G82,'📊 RawData'!D3:D82)</f>
        <v>2.93415942123932</v>
      </c>
      <c r="C5" s="18" t="s">
        <v>106</v>
      </c>
      <c r="D5" s="19" t="s">
        <v>107</v>
      </c>
      <c r="F5" s="6" t="n">
        <f aca="false">'📊 RawData'!D3</f>
        <v>5.3</v>
      </c>
      <c r="G5" s="6" t="n">
        <f aca="false">'📊 RawData'!G3</f>
        <v>100</v>
      </c>
      <c r="H5" s="6" t="n">
        <f aca="false">ROUND($B$6+$B$5*F5,1)</f>
        <v>90.8</v>
      </c>
      <c r="I5" s="20" t="n">
        <f aca="false">G5-H5</f>
        <v>9.2</v>
      </c>
      <c r="J5" s="20" t="n">
        <f aca="false">ABS(I5)</f>
        <v>9.2</v>
      </c>
      <c r="K5" s="20" t="n">
        <f aca="false">I5^2</f>
        <v>84.6400000000001</v>
      </c>
      <c r="L5" s="21" t="n">
        <f aca="false">ABS((G5-H5)/G5)</f>
        <v>0.092</v>
      </c>
    </row>
    <row r="6" customFormat="false" ht="15" hidden="false" customHeight="true" outlineLevel="0" collapsed="false">
      <c r="A6" s="22" t="s">
        <v>108</v>
      </c>
      <c r="B6" s="23" t="n">
        <f aca="false">INTERCEPT('📊 RawData'!G3:G82,'📊 RawData'!D3:D82)</f>
        <v>75.2407055751575</v>
      </c>
      <c r="C6" s="24" t="s">
        <v>106</v>
      </c>
      <c r="D6" s="25" t="s">
        <v>109</v>
      </c>
      <c r="F6" s="10" t="n">
        <f aca="false">'📊 RawData'!D4</f>
        <v>3</v>
      </c>
      <c r="G6" s="10" t="n">
        <f aca="false">'📊 RawData'!G4</f>
        <v>84.8</v>
      </c>
      <c r="H6" s="10" t="n">
        <f aca="false">ROUND($B$6+$B$5*F6,1)</f>
        <v>84</v>
      </c>
      <c r="I6" s="26" t="n">
        <f aca="false">G6-H6</f>
        <v>0.799999999999997</v>
      </c>
      <c r="J6" s="26" t="n">
        <f aca="false">ABS(I6)</f>
        <v>0.799999999999997</v>
      </c>
      <c r="K6" s="26" t="n">
        <f aca="false">I6^2</f>
        <v>0.639999999999996</v>
      </c>
      <c r="L6" s="27" t="n">
        <f aca="false">ABS((G6-H6)/G6)</f>
        <v>0.00943396226415091</v>
      </c>
    </row>
    <row r="7" customFormat="false" ht="15" hidden="false" customHeight="true" outlineLevel="0" collapsed="false">
      <c r="A7" s="16" t="s">
        <v>110</v>
      </c>
      <c r="B7" s="17" t="n">
        <f aca="false">RSQ('📊 RawData'!G3:G82,'📊 RawData'!D3:D82)</f>
        <v>0.349289413669868</v>
      </c>
      <c r="C7" s="18" t="s">
        <v>106</v>
      </c>
      <c r="D7" s="19" t="s">
        <v>111</v>
      </c>
      <c r="F7" s="6" t="n">
        <f aca="false">'📊 RawData'!D5</f>
        <v>2.8</v>
      </c>
      <c r="G7" s="6" t="n">
        <f aca="false">'📊 RawData'!G5</f>
        <v>92.8</v>
      </c>
      <c r="H7" s="6" t="n">
        <f aca="false">ROUND($B$6+$B$5*F7,1)</f>
        <v>83.5</v>
      </c>
      <c r="I7" s="20" t="n">
        <f aca="false">G7-H7</f>
        <v>9.3</v>
      </c>
      <c r="J7" s="20" t="n">
        <f aca="false">ABS(I7)</f>
        <v>9.3</v>
      </c>
      <c r="K7" s="20" t="n">
        <f aca="false">I7^2</f>
        <v>86.49</v>
      </c>
      <c r="L7" s="21" t="n">
        <f aca="false">ABS((G7-H7)/G7)</f>
        <v>0.100215517241379</v>
      </c>
    </row>
    <row r="8" customFormat="false" ht="15" hidden="false" customHeight="true" outlineLevel="0" collapsed="false">
      <c r="A8" s="22" t="s">
        <v>112</v>
      </c>
      <c r="B8" s="23" t="n">
        <f aca="false">CORREL('📊 RawData'!G3:G82,'📊 RawData'!D3:D82)</f>
        <v>0.591007118121151</v>
      </c>
      <c r="C8" s="24" t="s">
        <v>106</v>
      </c>
      <c r="D8" s="25" t="s">
        <v>113</v>
      </c>
      <c r="F8" s="10" t="n">
        <f aca="false">'📊 RawData'!D6</f>
        <v>2.9</v>
      </c>
      <c r="G8" s="10" t="n">
        <f aca="false">'📊 RawData'!G6</f>
        <v>88.9</v>
      </c>
      <c r="H8" s="10" t="n">
        <f aca="false">ROUND($B$6+$B$5*F8,1)</f>
        <v>83.7</v>
      </c>
      <c r="I8" s="26" t="n">
        <f aca="false">G8-H8</f>
        <v>5.2</v>
      </c>
      <c r="J8" s="26" t="n">
        <f aca="false">ABS(I8)</f>
        <v>5.2</v>
      </c>
      <c r="K8" s="26" t="n">
        <f aca="false">I8^2</f>
        <v>27.04</v>
      </c>
      <c r="L8" s="27" t="n">
        <f aca="false">ABS((G8-H8)/G8)</f>
        <v>0.0584926884139483</v>
      </c>
    </row>
    <row r="9" customFormat="false" ht="15" hidden="false" customHeight="true" outlineLevel="0" collapsed="false">
      <c r="A9" s="16" t="s">
        <v>114</v>
      </c>
      <c r="B9" s="28" t="n">
        <v>6.6288</v>
      </c>
      <c r="C9" s="18" t="s">
        <v>106</v>
      </c>
      <c r="D9" s="19" t="s">
        <v>115</v>
      </c>
      <c r="F9" s="6" t="n">
        <f aca="false">'📊 RawData'!D7</f>
        <v>2.7</v>
      </c>
      <c r="G9" s="6" t="n">
        <f aca="false">'📊 RawData'!G7</f>
        <v>85.5</v>
      </c>
      <c r="H9" s="6" t="n">
        <f aca="false">ROUND($B$6+$B$5*F9,1)</f>
        <v>83.2</v>
      </c>
      <c r="I9" s="20" t="n">
        <f aca="false">G9-H9</f>
        <v>2.3</v>
      </c>
      <c r="J9" s="20" t="n">
        <f aca="false">ABS(I9)</f>
        <v>2.3</v>
      </c>
      <c r="K9" s="20" t="n">
        <f aca="false">I9^2</f>
        <v>5.28999999999999</v>
      </c>
      <c r="L9" s="21" t="n">
        <f aca="false">ABS((G9-H9)/G9)</f>
        <v>0.0269005847953216</v>
      </c>
    </row>
    <row r="10" customFormat="false" ht="15" hidden="false" customHeight="true" outlineLevel="0" collapsed="false">
      <c r="A10" s="22" t="s">
        <v>116</v>
      </c>
      <c r="B10" s="29" t="n">
        <f aca="false">COUNT('📊 RawData'!D3:D82)</f>
        <v>80</v>
      </c>
      <c r="C10" s="24" t="s">
        <v>106</v>
      </c>
      <c r="D10" s="25" t="s">
        <v>117</v>
      </c>
      <c r="F10" s="10" t="n">
        <f aca="false">'📊 RawData'!D8</f>
        <v>3.8</v>
      </c>
      <c r="G10" s="10" t="n">
        <f aca="false">'📊 RawData'!G8</f>
        <v>83.9</v>
      </c>
      <c r="H10" s="10" t="n">
        <f aca="false">ROUND($B$6+$B$5*F10,1)</f>
        <v>86.4</v>
      </c>
      <c r="I10" s="26" t="n">
        <f aca="false">G10-H10</f>
        <v>-2.5</v>
      </c>
      <c r="J10" s="26" t="n">
        <f aca="false">ABS(I10)</f>
        <v>2.5</v>
      </c>
      <c r="K10" s="26" t="n">
        <f aca="false">I10^2</f>
        <v>6.25</v>
      </c>
      <c r="L10" s="27" t="n">
        <f aca="false">ABS((G10-H10)/G10)</f>
        <v>0.0297973778307509</v>
      </c>
    </row>
    <row r="11" customFormat="false" ht="15" hidden="false" customHeight="true" outlineLevel="0" collapsed="false">
      <c r="F11" s="6" t="n">
        <f aca="false">'📊 RawData'!D9</f>
        <v>3</v>
      </c>
      <c r="G11" s="6" t="n">
        <f aca="false">'📊 RawData'!G9</f>
        <v>74.2</v>
      </c>
      <c r="H11" s="6" t="n">
        <f aca="false">ROUND($B$6+$B$5*F11,1)</f>
        <v>84</v>
      </c>
      <c r="I11" s="20" t="n">
        <f aca="false">G11-H11</f>
        <v>-9.8</v>
      </c>
      <c r="J11" s="20" t="n">
        <f aca="false">ABS(I11)</f>
        <v>9.8</v>
      </c>
      <c r="K11" s="20" t="n">
        <f aca="false">I11^2</f>
        <v>96.04</v>
      </c>
      <c r="L11" s="21" t="n">
        <f aca="false">ABS((G11-H11)/G11)</f>
        <v>0.132075471698113</v>
      </c>
    </row>
    <row r="12" customFormat="false" ht="15" hidden="false" customHeight="true" outlineLevel="0" collapsed="false">
      <c r="A12" s="30" t="s">
        <v>118</v>
      </c>
      <c r="B12" s="30"/>
      <c r="C12" s="30"/>
      <c r="D12" s="30"/>
      <c r="F12" s="10" t="n">
        <f aca="false">'📊 RawData'!D10</f>
        <v>4.2</v>
      </c>
      <c r="G12" s="10" t="n">
        <f aca="false">'📊 RawData'!G10</f>
        <v>85</v>
      </c>
      <c r="H12" s="10" t="n">
        <f aca="false">ROUND($B$6+$B$5*F12,1)</f>
        <v>87.6</v>
      </c>
      <c r="I12" s="26" t="n">
        <f aca="false">G12-H12</f>
        <v>-2.59999999999999</v>
      </c>
      <c r="J12" s="26" t="n">
        <f aca="false">ABS(I12)</f>
        <v>2.59999999999999</v>
      </c>
      <c r="K12" s="26" t="n">
        <f aca="false">I12^2</f>
        <v>6.75999999999997</v>
      </c>
      <c r="L12" s="27" t="n">
        <f aca="false">ABS((G12-H12)/G12)</f>
        <v>0.0305882352941176</v>
      </c>
    </row>
    <row r="13" customFormat="false" ht="15" hidden="false" customHeight="true" outlineLevel="0" collapsed="false">
      <c r="A13" s="31" t="str">
        <f aca="false">CONCATENATE("Score  =  ",TEXT(B6,"0.00"),"  +  ",TEXT(B5,"0.00"),"  ×  StudyHours")</f>
        <v>Score  =  75.24  +  2.93  ×  StudyHours</v>
      </c>
      <c r="B13" s="31"/>
      <c r="C13" s="31"/>
      <c r="D13" s="31"/>
      <c r="F13" s="6" t="n">
        <f aca="false">'📊 RawData'!D11</f>
        <v>0.8</v>
      </c>
      <c r="G13" s="6" t="n">
        <f aca="false">'📊 RawData'!G11</f>
        <v>64</v>
      </c>
      <c r="H13" s="6" t="n">
        <f aca="false">ROUND($B$6+$B$5*F13,1)</f>
        <v>77.6</v>
      </c>
      <c r="I13" s="20" t="n">
        <f aca="false">G13-H13</f>
        <v>-13.6</v>
      </c>
      <c r="J13" s="20" t="n">
        <f aca="false">ABS(I13)</f>
        <v>13.6</v>
      </c>
      <c r="K13" s="20" t="n">
        <f aca="false">I13^2</f>
        <v>184.96</v>
      </c>
      <c r="L13" s="21" t="n">
        <f aca="false">ABS((G13-H13)/G13)</f>
        <v>0.2125</v>
      </c>
    </row>
    <row r="14" customFormat="false" ht="15" hidden="false" customHeight="true" outlineLevel="0" collapsed="false">
      <c r="F14" s="10" t="n">
        <f aca="false">'📊 RawData'!D12</f>
        <v>7</v>
      </c>
      <c r="G14" s="10" t="n">
        <f aca="false">'📊 RawData'!G12</f>
        <v>99.9</v>
      </c>
      <c r="H14" s="10" t="n">
        <f aca="false">ROUND($B$6+$B$5*F14,1)</f>
        <v>95.8</v>
      </c>
      <c r="I14" s="26" t="n">
        <f aca="false">G14-H14</f>
        <v>4.10000000000001</v>
      </c>
      <c r="J14" s="26" t="n">
        <f aca="false">ABS(I14)</f>
        <v>4.10000000000001</v>
      </c>
      <c r="K14" s="26" t="n">
        <f aca="false">I14^2</f>
        <v>16.8100000000001</v>
      </c>
      <c r="L14" s="27" t="n">
        <f aca="false">ABS((G14-H14)/G14)</f>
        <v>0.0410410410410411</v>
      </c>
    </row>
    <row r="15" customFormat="false" ht="18" hidden="false" customHeight="true" outlineLevel="0" collapsed="false">
      <c r="A15" s="32" t="s">
        <v>119</v>
      </c>
      <c r="B15" s="32"/>
      <c r="C15" s="32"/>
      <c r="D15" s="32"/>
      <c r="F15" s="6" t="n">
        <f aca="false">'📊 RawData'!D13</f>
        <v>6.3</v>
      </c>
      <c r="G15" s="6" t="n">
        <f aca="false">'📊 RawData'!G13</f>
        <v>94.4</v>
      </c>
      <c r="H15" s="6" t="n">
        <f aca="false">ROUND($B$6+$B$5*F15,1)</f>
        <v>93.7</v>
      </c>
      <c r="I15" s="20" t="n">
        <f aca="false">G15-H15</f>
        <v>0.700000000000003</v>
      </c>
      <c r="J15" s="20" t="n">
        <f aca="false">ABS(I15)</f>
        <v>0.700000000000003</v>
      </c>
      <c r="K15" s="20" t="n">
        <f aca="false">I15^2</f>
        <v>0.490000000000004</v>
      </c>
      <c r="L15" s="21" t="n">
        <f aca="false">ABS((G15-H15)/G15)</f>
        <v>0.00741525423728817</v>
      </c>
    </row>
    <row r="16" customFormat="false" ht="18" hidden="false" customHeight="true" outlineLevel="0" collapsed="false">
      <c r="A16" s="32"/>
      <c r="B16" s="32"/>
      <c r="C16" s="32"/>
      <c r="D16" s="32"/>
      <c r="F16" s="10" t="n">
        <f aca="false">'📊 RawData'!D14</f>
        <v>6</v>
      </c>
      <c r="G16" s="10" t="n">
        <f aca="false">'📊 RawData'!G14</f>
        <v>98.5</v>
      </c>
      <c r="H16" s="10" t="n">
        <f aca="false">ROUND($B$6+$B$5*F16,1)</f>
        <v>92.8</v>
      </c>
      <c r="I16" s="26" t="n">
        <f aca="false">G16-H16</f>
        <v>5.7</v>
      </c>
      <c r="J16" s="26" t="n">
        <f aca="false">ABS(I16)</f>
        <v>5.7</v>
      </c>
      <c r="K16" s="26" t="n">
        <f aca="false">I16^2</f>
        <v>32.49</v>
      </c>
      <c r="L16" s="27" t="n">
        <f aca="false">ABS((G16-H16)/G16)</f>
        <v>0.0578680203045686</v>
      </c>
    </row>
    <row r="17" customFormat="false" ht="18" hidden="false" customHeight="true" outlineLevel="0" collapsed="false">
      <c r="A17" s="32"/>
      <c r="B17" s="32"/>
      <c r="C17" s="32"/>
      <c r="D17" s="32"/>
      <c r="F17" s="6" t="n">
        <f aca="false">'📊 RawData'!D15</f>
        <v>2.5</v>
      </c>
      <c r="G17" s="6" t="n">
        <f aca="false">'📊 RawData'!G15</f>
        <v>93.3</v>
      </c>
      <c r="H17" s="6" t="n">
        <f aca="false">ROUND($B$6+$B$5*F17,1)</f>
        <v>82.6</v>
      </c>
      <c r="I17" s="20" t="n">
        <f aca="false">G17-H17</f>
        <v>10.7</v>
      </c>
      <c r="J17" s="20" t="n">
        <f aca="false">ABS(I17)</f>
        <v>10.7</v>
      </c>
      <c r="K17" s="20" t="n">
        <f aca="false">I17^2</f>
        <v>114.49</v>
      </c>
      <c r="L17" s="21" t="n">
        <f aca="false">ABS((G17-H17)/G17)</f>
        <v>0.114683815648446</v>
      </c>
    </row>
    <row r="18" customFormat="false" ht="18" hidden="false" customHeight="true" outlineLevel="0" collapsed="false">
      <c r="A18" s="32"/>
      <c r="B18" s="32"/>
      <c r="C18" s="32"/>
      <c r="D18" s="32"/>
      <c r="F18" s="10" t="n">
        <f aca="false">'📊 RawData'!D16</f>
        <v>7.4</v>
      </c>
      <c r="G18" s="10" t="n">
        <f aca="false">'📊 RawData'!G16</f>
        <v>97.4</v>
      </c>
      <c r="H18" s="10" t="n">
        <f aca="false">ROUND($B$6+$B$5*F18,1)</f>
        <v>97</v>
      </c>
      <c r="I18" s="26" t="n">
        <f aca="false">G18-H18</f>
        <v>0.400000000000006</v>
      </c>
      <c r="J18" s="26" t="n">
        <f aca="false">ABS(I18)</f>
        <v>0.400000000000006</v>
      </c>
      <c r="K18" s="26" t="n">
        <f aca="false">I18^2</f>
        <v>0.160000000000005</v>
      </c>
      <c r="L18" s="27" t="n">
        <f aca="false">ABS((G18-H18)/G18)</f>
        <v>0.00410677618069821</v>
      </c>
    </row>
    <row r="19" customFormat="false" ht="15" hidden="false" customHeight="true" outlineLevel="0" collapsed="false">
      <c r="F19" s="6" t="n">
        <f aca="false">'📊 RawData'!D17</f>
        <v>4.3</v>
      </c>
      <c r="G19" s="6" t="n">
        <f aca="false">'📊 RawData'!G17</f>
        <v>91</v>
      </c>
      <c r="H19" s="6" t="n">
        <f aca="false">ROUND($B$6+$B$5*F19,1)</f>
        <v>87.9</v>
      </c>
      <c r="I19" s="20" t="n">
        <f aca="false">G19-H19</f>
        <v>3.09999999999999</v>
      </c>
      <c r="J19" s="20" t="n">
        <f aca="false">ABS(I19)</f>
        <v>3.09999999999999</v>
      </c>
      <c r="K19" s="20" t="n">
        <f aca="false">I19^2</f>
        <v>9.60999999999996</v>
      </c>
      <c r="L19" s="21" t="n">
        <f aca="false">ABS((G19-H19)/G19)</f>
        <v>0.034065934065934</v>
      </c>
    </row>
    <row r="20" customFormat="false" ht="21.75" hidden="false" customHeight="true" outlineLevel="0" collapsed="false">
      <c r="A20" s="33" t="s">
        <v>120</v>
      </c>
      <c r="B20" s="33"/>
      <c r="C20" s="33"/>
      <c r="D20" s="33"/>
      <c r="F20" s="10" t="n">
        <f aca="false">'📊 RawData'!D18</f>
        <v>5.7</v>
      </c>
      <c r="G20" s="10" t="n">
        <f aca="false">'📊 RawData'!G18</f>
        <v>94.1</v>
      </c>
      <c r="H20" s="10" t="n">
        <f aca="false">ROUND($B$6+$B$5*F20,1)</f>
        <v>92</v>
      </c>
      <c r="I20" s="26" t="n">
        <f aca="false">G20-H20</f>
        <v>2.09999999999999</v>
      </c>
      <c r="J20" s="26" t="n">
        <f aca="false">ABS(I20)</f>
        <v>2.09999999999999</v>
      </c>
      <c r="K20" s="26" t="n">
        <f aca="false">I20^2</f>
        <v>4.40999999999998</v>
      </c>
      <c r="L20" s="27" t="n">
        <f aca="false">ABS((G20-H20)/G20)</f>
        <v>0.0223166843783209</v>
      </c>
    </row>
    <row r="21" customFormat="false" ht="15" hidden="false" customHeight="true" outlineLevel="0" collapsed="false">
      <c r="A21" s="34" t="s">
        <v>121</v>
      </c>
      <c r="B21" s="34" t="s">
        <v>122</v>
      </c>
      <c r="C21" s="34" t="s">
        <v>123</v>
      </c>
      <c r="D21" s="34" t="s">
        <v>124</v>
      </c>
      <c r="F21" s="6" t="n">
        <f aca="false">'📊 RawData'!D19</f>
        <v>5.5</v>
      </c>
      <c r="G21" s="6" t="n">
        <f aca="false">'📊 RawData'!G19</f>
        <v>87.4</v>
      </c>
      <c r="H21" s="6" t="n">
        <f aca="false">ROUND($B$6+$B$5*F21,1)</f>
        <v>91.4</v>
      </c>
      <c r="I21" s="20" t="n">
        <f aca="false">G21-H21</f>
        <v>-4</v>
      </c>
      <c r="J21" s="20" t="n">
        <f aca="false">ABS(I21)</f>
        <v>4</v>
      </c>
      <c r="K21" s="20" t="n">
        <f aca="false">I21^2</f>
        <v>16</v>
      </c>
      <c r="L21" s="21" t="n">
        <f aca="false">ABS((G21-H21)/G21)</f>
        <v>0.045766590389016</v>
      </c>
    </row>
    <row r="22" customFormat="false" ht="15.75" hidden="false" customHeight="true" outlineLevel="0" collapsed="false">
      <c r="A22" s="35" t="n">
        <v>1</v>
      </c>
      <c r="B22" s="36" t="n">
        <f aca="false">ROUND($B$6+$B$5*A22,1)</f>
        <v>78.2</v>
      </c>
      <c r="C22" s="6" t="n">
        <f aca="false">ROUND(B22-1.96*$B$9,1)</f>
        <v>65.2</v>
      </c>
      <c r="D22" s="6" t="n">
        <f aca="false">ROUND(B22+1.96*$B$9,1)</f>
        <v>91.2</v>
      </c>
      <c r="F22" s="10" t="n">
        <f aca="false">'📊 RawData'!D20</f>
        <v>4.4</v>
      </c>
      <c r="G22" s="10" t="n">
        <f aca="false">'📊 RawData'!G20</f>
        <v>96.3</v>
      </c>
      <c r="H22" s="10" t="n">
        <f aca="false">ROUND($B$6+$B$5*F22,1)</f>
        <v>88.2</v>
      </c>
      <c r="I22" s="26" t="n">
        <f aca="false">G22-H22</f>
        <v>8.09999999999999</v>
      </c>
      <c r="J22" s="26" t="n">
        <f aca="false">ABS(I22)</f>
        <v>8.09999999999999</v>
      </c>
      <c r="K22" s="26" t="n">
        <f aca="false">I22^2</f>
        <v>65.6099999999999</v>
      </c>
      <c r="L22" s="27" t="n">
        <f aca="false">ABS((G22-H22)/G22)</f>
        <v>0.0841121495327102</v>
      </c>
    </row>
    <row r="23" customFormat="false" ht="15.75" hidden="false" customHeight="true" outlineLevel="0" collapsed="false">
      <c r="A23" s="37" t="n">
        <v>2</v>
      </c>
      <c r="B23" s="38" t="n">
        <f aca="false">ROUND($B$6+$B$5*A23,1)</f>
        <v>81.1</v>
      </c>
      <c r="C23" s="10" t="n">
        <f aca="false">ROUND(B23-1.96*$B$9,1)</f>
        <v>68.1</v>
      </c>
      <c r="D23" s="10" t="n">
        <f aca="false">ROUND(B23+1.96*$B$9,1)</f>
        <v>94.1</v>
      </c>
      <c r="F23" s="6" t="n">
        <f aca="false">'📊 RawData'!D21</f>
        <v>5.8</v>
      </c>
      <c r="G23" s="6" t="n">
        <f aca="false">'📊 RawData'!G21</f>
        <v>90.4</v>
      </c>
      <c r="H23" s="6" t="n">
        <f aca="false">ROUND($B$6+$B$5*F23,1)</f>
        <v>92.3</v>
      </c>
      <c r="I23" s="20" t="n">
        <f aca="false">G23-H23</f>
        <v>-1.89999999999999</v>
      </c>
      <c r="J23" s="20" t="n">
        <f aca="false">ABS(I23)</f>
        <v>1.89999999999999</v>
      </c>
      <c r="K23" s="20" t="n">
        <f aca="false">I23^2</f>
        <v>3.60999999999997</v>
      </c>
      <c r="L23" s="21" t="n">
        <f aca="false">ABS((G23-H23)/G23)</f>
        <v>0.0210176991150442</v>
      </c>
    </row>
    <row r="24" customFormat="false" ht="15.75" hidden="false" customHeight="true" outlineLevel="0" collapsed="false">
      <c r="A24" s="35" t="n">
        <v>3</v>
      </c>
      <c r="B24" s="36" t="n">
        <f aca="false">ROUND($B$6+$B$5*A24,1)</f>
        <v>84</v>
      </c>
      <c r="C24" s="6" t="n">
        <f aca="false">ROUND(B24-1.96*$B$9,1)</f>
        <v>71</v>
      </c>
      <c r="D24" s="6" t="n">
        <f aca="false">ROUND(B24+1.96*$B$9,1)</f>
        <v>97</v>
      </c>
      <c r="F24" s="10" t="n">
        <f aca="false">'📊 RawData'!D22</f>
        <v>8</v>
      </c>
      <c r="G24" s="10" t="n">
        <f aca="false">'📊 RawData'!G22</f>
        <v>94.5</v>
      </c>
      <c r="H24" s="10" t="n">
        <f aca="false">ROUND($B$6+$B$5*F24,1)</f>
        <v>98.7</v>
      </c>
      <c r="I24" s="26" t="n">
        <f aca="false">G24-H24</f>
        <v>-4.2</v>
      </c>
      <c r="J24" s="26" t="n">
        <f aca="false">ABS(I24)</f>
        <v>4.2</v>
      </c>
      <c r="K24" s="26" t="n">
        <f aca="false">I24^2</f>
        <v>17.64</v>
      </c>
      <c r="L24" s="27" t="n">
        <f aca="false">ABS((G24-H24)/G24)</f>
        <v>0.0444444444444445</v>
      </c>
    </row>
    <row r="25" customFormat="false" ht="15.75" hidden="false" customHeight="true" outlineLevel="0" collapsed="false">
      <c r="A25" s="37" t="n">
        <v>4</v>
      </c>
      <c r="B25" s="38" t="n">
        <f aca="false">ROUND($B$6+$B$5*A25,1)</f>
        <v>87</v>
      </c>
      <c r="C25" s="10" t="n">
        <f aca="false">ROUND(B25-1.96*$B$9,1)</f>
        <v>74</v>
      </c>
      <c r="D25" s="10" t="n">
        <f aca="false">ROUND(B25+1.96*$B$9,1)</f>
        <v>100</v>
      </c>
      <c r="F25" s="6" t="n">
        <f aca="false">'📊 RawData'!D23</f>
        <v>4</v>
      </c>
      <c r="G25" s="6" t="n">
        <f aca="false">'📊 RawData'!G23</f>
        <v>83.3</v>
      </c>
      <c r="H25" s="6" t="n">
        <f aca="false">ROUND($B$6+$B$5*F25,1)</f>
        <v>87</v>
      </c>
      <c r="I25" s="20" t="n">
        <f aca="false">G25-H25</f>
        <v>-3.7</v>
      </c>
      <c r="J25" s="20" t="n">
        <f aca="false">ABS(I25)</f>
        <v>3.7</v>
      </c>
      <c r="K25" s="20" t="n">
        <f aca="false">I25^2</f>
        <v>13.69</v>
      </c>
      <c r="L25" s="21" t="n">
        <f aca="false">ABS((G25-H25)/G25)</f>
        <v>0.0444177671068428</v>
      </c>
    </row>
    <row r="26" customFormat="false" ht="15.75" hidden="false" customHeight="true" outlineLevel="0" collapsed="false">
      <c r="A26" s="35" t="n">
        <v>5</v>
      </c>
      <c r="B26" s="36" t="n">
        <f aca="false">ROUND($B$6+$B$5*A26,1)</f>
        <v>89.9</v>
      </c>
      <c r="C26" s="6" t="n">
        <f aca="false">ROUND(B26-1.96*$B$9,1)</f>
        <v>76.9</v>
      </c>
      <c r="D26" s="6" t="n">
        <f aca="false">ROUND(B26+1.96*$B$9,1)</f>
        <v>102.9</v>
      </c>
      <c r="F26" s="10" t="n">
        <f aca="false">'📊 RawData'!D24</f>
        <v>4.8</v>
      </c>
      <c r="G26" s="10" t="n">
        <f aca="false">'📊 RawData'!G24</f>
        <v>76.6</v>
      </c>
      <c r="H26" s="10" t="n">
        <f aca="false">ROUND($B$6+$B$5*F26,1)</f>
        <v>89.3</v>
      </c>
      <c r="I26" s="26" t="n">
        <f aca="false">G26-H26</f>
        <v>-12.7</v>
      </c>
      <c r="J26" s="26" t="n">
        <f aca="false">ABS(I26)</f>
        <v>12.7</v>
      </c>
      <c r="K26" s="26" t="n">
        <f aca="false">I26^2</f>
        <v>161.29</v>
      </c>
      <c r="L26" s="27" t="n">
        <f aca="false">ABS((G26-H26)/G26)</f>
        <v>0.16579634464752</v>
      </c>
    </row>
    <row r="27" customFormat="false" ht="15.75" hidden="false" customHeight="true" outlineLevel="0" collapsed="false">
      <c r="A27" s="37" t="n">
        <v>6</v>
      </c>
      <c r="B27" s="38" t="n">
        <f aca="false">ROUND($B$6+$B$5*A27,1)</f>
        <v>92.8</v>
      </c>
      <c r="C27" s="10" t="n">
        <f aca="false">ROUND(B27-1.96*$B$9,1)</f>
        <v>79.8</v>
      </c>
      <c r="D27" s="10" t="n">
        <f aca="false">ROUND(B27+1.96*$B$9,1)</f>
        <v>105.8</v>
      </c>
      <c r="F27" s="6" t="n">
        <f aca="false">'📊 RawData'!D25</f>
        <v>4.1</v>
      </c>
      <c r="G27" s="6" t="n">
        <f aca="false">'📊 RawData'!G25</f>
        <v>98</v>
      </c>
      <c r="H27" s="6" t="n">
        <f aca="false">ROUND($B$6+$B$5*F27,1)</f>
        <v>87.3</v>
      </c>
      <c r="I27" s="20" t="n">
        <f aca="false">G27-H27</f>
        <v>10.7</v>
      </c>
      <c r="J27" s="20" t="n">
        <f aca="false">ABS(I27)</f>
        <v>10.7</v>
      </c>
      <c r="K27" s="20" t="n">
        <f aca="false">I27^2</f>
        <v>114.49</v>
      </c>
      <c r="L27" s="21" t="n">
        <f aca="false">ABS((G27-H27)/G27)</f>
        <v>0.109183673469388</v>
      </c>
    </row>
    <row r="28" customFormat="false" ht="15.75" hidden="false" customHeight="true" outlineLevel="0" collapsed="false">
      <c r="A28" s="35" t="n">
        <v>7</v>
      </c>
      <c r="B28" s="36" t="n">
        <f aca="false">ROUND($B$6+$B$5*A28,1)</f>
        <v>95.8</v>
      </c>
      <c r="C28" s="6" t="n">
        <f aca="false">ROUND(B28-1.96*$B$9,1)</f>
        <v>82.8</v>
      </c>
      <c r="D28" s="6" t="n">
        <f aca="false">ROUND(B28+1.96*$B$9,1)</f>
        <v>108.8</v>
      </c>
      <c r="F28" s="10" t="n">
        <f aca="false">'📊 RawData'!D26</f>
        <v>4.9</v>
      </c>
      <c r="G28" s="10" t="n">
        <f aca="false">'📊 RawData'!G26</f>
        <v>85.1</v>
      </c>
      <c r="H28" s="10" t="n">
        <f aca="false">ROUND($B$6+$B$5*F28,1)</f>
        <v>89.6</v>
      </c>
      <c r="I28" s="26" t="n">
        <f aca="false">G28-H28</f>
        <v>-4.5</v>
      </c>
      <c r="J28" s="26" t="n">
        <f aca="false">ABS(I28)</f>
        <v>4.5</v>
      </c>
      <c r="K28" s="26" t="n">
        <f aca="false">I28^2</f>
        <v>20.25</v>
      </c>
      <c r="L28" s="27" t="n">
        <f aca="false">ABS((G28-H28)/G28)</f>
        <v>0.0528789659224442</v>
      </c>
    </row>
    <row r="29" customFormat="false" ht="15.75" hidden="false" customHeight="true" outlineLevel="0" collapsed="false">
      <c r="A29" s="37" t="n">
        <v>8</v>
      </c>
      <c r="B29" s="38" t="n">
        <f aca="false">ROUND($B$6+$B$5*A29,1)</f>
        <v>98.7</v>
      </c>
      <c r="C29" s="10" t="n">
        <f aca="false">ROUND(B29-1.96*$B$9,1)</f>
        <v>85.7</v>
      </c>
      <c r="D29" s="10" t="n">
        <f aca="false">ROUND(B29+1.96*$B$9,1)</f>
        <v>111.7</v>
      </c>
      <c r="F29" s="6" t="n">
        <f aca="false">'📊 RawData'!D27</f>
        <v>0.9</v>
      </c>
      <c r="G29" s="6" t="n">
        <f aca="false">'📊 RawData'!G27</f>
        <v>83.7</v>
      </c>
      <c r="H29" s="6" t="n">
        <f aca="false">ROUND($B$6+$B$5*F29,1)</f>
        <v>77.9</v>
      </c>
      <c r="I29" s="20" t="n">
        <f aca="false">G29-H29</f>
        <v>5.8</v>
      </c>
      <c r="J29" s="20" t="n">
        <f aca="false">ABS(I29)</f>
        <v>5.8</v>
      </c>
      <c r="K29" s="20" t="n">
        <f aca="false">I29^2</f>
        <v>33.64</v>
      </c>
      <c r="L29" s="21" t="n">
        <f aca="false">ABS((G29-H29)/G29)</f>
        <v>0.069295101553166</v>
      </c>
    </row>
    <row r="30" customFormat="false" ht="15.75" hidden="false" customHeight="true" outlineLevel="0" collapsed="false">
      <c r="A30" s="35" t="n">
        <v>9</v>
      </c>
      <c r="B30" s="36" t="n">
        <f aca="false">ROUND($B$6+$B$5*A30,1)</f>
        <v>101.6</v>
      </c>
      <c r="C30" s="6" t="n">
        <f aca="false">ROUND(B30-1.96*$B$9,1)</f>
        <v>88.6</v>
      </c>
      <c r="D30" s="6" t="n">
        <f aca="false">ROUND(B30+1.96*$B$9,1)</f>
        <v>114.6</v>
      </c>
      <c r="F30" s="10" t="n">
        <f aca="false">'📊 RawData'!D28</f>
        <v>3.7</v>
      </c>
      <c r="G30" s="10" t="n">
        <f aca="false">'📊 RawData'!G28</f>
        <v>86.6</v>
      </c>
      <c r="H30" s="10" t="n">
        <f aca="false">ROUND($B$6+$B$5*F30,1)</f>
        <v>86.1</v>
      </c>
      <c r="I30" s="26" t="n">
        <f aca="false">G30-H30</f>
        <v>0.5</v>
      </c>
      <c r="J30" s="26" t="n">
        <f aca="false">ABS(I30)</f>
        <v>0.5</v>
      </c>
      <c r="K30" s="26" t="n">
        <f aca="false">I30^2</f>
        <v>0.25</v>
      </c>
      <c r="L30" s="27" t="n">
        <f aca="false">ABS((G30-H30)/G30)</f>
        <v>0.00577367205542725</v>
      </c>
    </row>
    <row r="31" customFormat="false" ht="15.75" hidden="false" customHeight="true" outlineLevel="0" collapsed="false">
      <c r="A31" s="37" t="n">
        <v>10</v>
      </c>
      <c r="B31" s="38" t="n">
        <f aca="false">ROUND($B$6+$B$5*A31,1)</f>
        <v>104.6</v>
      </c>
      <c r="C31" s="10" t="n">
        <f aca="false">ROUND(B31-1.96*$B$9,1)</f>
        <v>91.6</v>
      </c>
      <c r="D31" s="10" t="n">
        <f aca="false">ROUND(B31+1.96*$B$9,1)</f>
        <v>117.6</v>
      </c>
      <c r="F31" s="6" t="n">
        <f aca="false">'📊 RawData'!D29</f>
        <v>7.7</v>
      </c>
      <c r="G31" s="6" t="n">
        <f aca="false">'📊 RawData'!G29</f>
        <v>100</v>
      </c>
      <c r="H31" s="6" t="n">
        <f aca="false">ROUND($B$6+$B$5*F31,1)</f>
        <v>97.8</v>
      </c>
      <c r="I31" s="20" t="n">
        <f aca="false">G31-H31</f>
        <v>2.2</v>
      </c>
      <c r="J31" s="20" t="n">
        <f aca="false">ABS(I31)</f>
        <v>2.2</v>
      </c>
      <c r="K31" s="20" t="n">
        <f aca="false">I31^2</f>
        <v>4.84000000000001</v>
      </c>
      <c r="L31" s="21" t="n">
        <f aca="false">ABS((G31-H31)/G31)</f>
        <v>0.022</v>
      </c>
    </row>
    <row r="32" customFormat="false" ht="15" hidden="false" customHeight="true" outlineLevel="0" collapsed="false">
      <c r="F32" s="10" t="n">
        <f aca="false">'📊 RawData'!D30</f>
        <v>3.5</v>
      </c>
      <c r="G32" s="10" t="n">
        <f aca="false">'📊 RawData'!G30</f>
        <v>71.5</v>
      </c>
      <c r="H32" s="10" t="n">
        <f aca="false">ROUND($B$6+$B$5*F32,1)</f>
        <v>85.5</v>
      </c>
      <c r="I32" s="26" t="n">
        <f aca="false">G32-H32</f>
        <v>-14</v>
      </c>
      <c r="J32" s="26" t="n">
        <f aca="false">ABS(I32)</f>
        <v>14</v>
      </c>
      <c r="K32" s="26" t="n">
        <f aca="false">I32^2</f>
        <v>196</v>
      </c>
      <c r="L32" s="27" t="n">
        <f aca="false">ABS((G32-H32)/G32)</f>
        <v>0.195804195804196</v>
      </c>
    </row>
    <row r="33" customFormat="false" ht="15" hidden="false" customHeight="true" outlineLevel="0" collapsed="false">
      <c r="F33" s="6" t="n">
        <f aca="false">'📊 RawData'!D31</f>
        <v>4.4</v>
      </c>
      <c r="G33" s="6" t="n">
        <f aca="false">'📊 RawData'!G31</f>
        <v>82.1</v>
      </c>
      <c r="H33" s="6" t="n">
        <f aca="false">ROUND($B$6+$B$5*F33,1)</f>
        <v>88.2</v>
      </c>
      <c r="I33" s="20" t="n">
        <f aca="false">G33-H33</f>
        <v>-6.10000000000001</v>
      </c>
      <c r="J33" s="20" t="n">
        <f aca="false">ABS(I33)</f>
        <v>6.10000000000001</v>
      </c>
      <c r="K33" s="20" t="n">
        <f aca="false">I33^2</f>
        <v>37.2100000000001</v>
      </c>
      <c r="L33" s="21" t="n">
        <f aca="false">ABS((G33-H33)/G33)</f>
        <v>0.0742996345919611</v>
      </c>
    </row>
    <row r="34" customFormat="false" ht="15" hidden="false" customHeight="true" outlineLevel="0" collapsed="false">
      <c r="F34" s="10" t="n">
        <f aca="false">'📊 RawData'!D32</f>
        <v>5.9</v>
      </c>
      <c r="G34" s="10" t="n">
        <f aca="false">'📊 RawData'!G32</f>
        <v>87.9</v>
      </c>
      <c r="H34" s="10" t="n">
        <f aca="false">ROUND($B$6+$B$5*F34,1)</f>
        <v>92.6</v>
      </c>
      <c r="I34" s="26" t="n">
        <f aca="false">G34-H34</f>
        <v>-4.69999999999999</v>
      </c>
      <c r="J34" s="26" t="n">
        <f aca="false">ABS(I34)</f>
        <v>4.69999999999999</v>
      </c>
      <c r="K34" s="26" t="n">
        <f aca="false">I34^2</f>
        <v>22.0899999999999</v>
      </c>
      <c r="L34" s="27" t="n">
        <f aca="false">ABS((G34-H34)/G34)</f>
        <v>0.0534698521046643</v>
      </c>
    </row>
    <row r="35" customFormat="false" ht="15" hidden="false" customHeight="true" outlineLevel="0" collapsed="false">
      <c r="F35" s="6" t="n">
        <f aca="false">'📊 RawData'!D33</f>
        <v>6.7</v>
      </c>
      <c r="G35" s="6" t="n">
        <f aca="false">'📊 RawData'!G33</f>
        <v>97.1</v>
      </c>
      <c r="H35" s="6" t="n">
        <f aca="false">ROUND($B$6+$B$5*F35,1)</f>
        <v>94.9</v>
      </c>
      <c r="I35" s="20" t="n">
        <f aca="false">G35-H35</f>
        <v>2.19999999999999</v>
      </c>
      <c r="J35" s="20" t="n">
        <f aca="false">ABS(I35)</f>
        <v>2.19999999999999</v>
      </c>
      <c r="K35" s="20" t="n">
        <f aca="false">I35^2</f>
        <v>4.83999999999995</v>
      </c>
      <c r="L35" s="21" t="n">
        <f aca="false">ABS((G35-H35)/G35)</f>
        <v>0.0226570545829041</v>
      </c>
    </row>
    <row r="36" customFormat="false" ht="15" hidden="false" customHeight="true" outlineLevel="0" collapsed="false">
      <c r="F36" s="10" t="n">
        <f aca="false">'📊 RawData'!D34</f>
        <v>5</v>
      </c>
      <c r="G36" s="10" t="n">
        <f aca="false">'📊 RawData'!G34</f>
        <v>81.8</v>
      </c>
      <c r="H36" s="10" t="n">
        <f aca="false">ROUND($B$6+$B$5*F36,1)</f>
        <v>89.9</v>
      </c>
      <c r="I36" s="26" t="n">
        <f aca="false">G36-H36</f>
        <v>-8.10000000000001</v>
      </c>
      <c r="J36" s="26" t="n">
        <f aca="false">ABS(I36)</f>
        <v>8.10000000000001</v>
      </c>
      <c r="K36" s="26" t="n">
        <f aca="false">I36^2</f>
        <v>65.6100000000001</v>
      </c>
      <c r="L36" s="27" t="n">
        <f aca="false">ABS((G36-H36)/G36)</f>
        <v>0.0990220048899757</v>
      </c>
    </row>
    <row r="37" customFormat="false" ht="15" hidden="false" customHeight="true" outlineLevel="0" collapsed="false">
      <c r="F37" s="6" t="n">
        <f aca="false">'📊 RawData'!D35</f>
        <v>5</v>
      </c>
      <c r="G37" s="6" t="n">
        <f aca="false">'📊 RawData'!G35</f>
        <v>89.1</v>
      </c>
      <c r="H37" s="6" t="n">
        <f aca="false">ROUND($B$6+$B$5*F37,1)</f>
        <v>89.9</v>
      </c>
      <c r="I37" s="20" t="n">
        <f aca="false">G37-H37</f>
        <v>-0.800000000000011</v>
      </c>
      <c r="J37" s="20" t="n">
        <f aca="false">ABS(I37)</f>
        <v>0.800000000000011</v>
      </c>
      <c r="K37" s="20" t="n">
        <f aca="false">I37^2</f>
        <v>0.640000000000018</v>
      </c>
      <c r="L37" s="21" t="n">
        <f aca="false">ABS((G37-H37)/G37)</f>
        <v>0.00897867564534244</v>
      </c>
    </row>
    <row r="38" customFormat="false" ht="15" hidden="false" customHeight="true" outlineLevel="0" collapsed="false">
      <c r="F38" s="10" t="n">
        <f aca="false">'📊 RawData'!D36</f>
        <v>2.9</v>
      </c>
      <c r="G38" s="10" t="n">
        <f aca="false">'📊 RawData'!G36</f>
        <v>73.1</v>
      </c>
      <c r="H38" s="10" t="n">
        <f aca="false">ROUND($B$6+$B$5*F38,1)</f>
        <v>83.7</v>
      </c>
      <c r="I38" s="26" t="n">
        <f aca="false">G38-H38</f>
        <v>-10.6</v>
      </c>
      <c r="J38" s="26" t="n">
        <f aca="false">ABS(I38)</f>
        <v>10.6</v>
      </c>
      <c r="K38" s="26" t="n">
        <f aca="false">I38^2</f>
        <v>112.36</v>
      </c>
      <c r="L38" s="27" t="n">
        <f aca="false">ABS((G38-H38)/G38)</f>
        <v>0.145006839945281</v>
      </c>
    </row>
    <row r="39" customFormat="false" ht="15" hidden="false" customHeight="true" outlineLevel="0" collapsed="false">
      <c r="F39" s="6" t="n">
        <f aca="false">'📊 RawData'!D37</f>
        <v>6.2</v>
      </c>
      <c r="G39" s="6" t="n">
        <f aca="false">'📊 RawData'!G37</f>
        <v>92.6</v>
      </c>
      <c r="H39" s="6" t="n">
        <f aca="false">ROUND($B$6+$B$5*F39,1)</f>
        <v>93.4</v>
      </c>
      <c r="I39" s="20" t="n">
        <f aca="false">G39-H39</f>
        <v>-0.800000000000011</v>
      </c>
      <c r="J39" s="20" t="n">
        <f aca="false">ABS(I39)</f>
        <v>0.800000000000011</v>
      </c>
      <c r="K39" s="20" t="n">
        <f aca="false">I39^2</f>
        <v>0.640000000000018</v>
      </c>
      <c r="L39" s="21" t="n">
        <f aca="false">ABS((G39-H39)/G39)</f>
        <v>0.0086393088552917</v>
      </c>
    </row>
    <row r="40" customFormat="false" ht="15" hidden="false" customHeight="true" outlineLevel="0" collapsed="false">
      <c r="F40" s="10" t="n">
        <f aca="false">'📊 RawData'!D38</f>
        <v>3.4</v>
      </c>
      <c r="G40" s="10" t="n">
        <f aca="false">'📊 RawData'!G38</f>
        <v>81.1</v>
      </c>
      <c r="H40" s="10" t="n">
        <f aca="false">ROUND($B$6+$B$5*F40,1)</f>
        <v>85.2</v>
      </c>
      <c r="I40" s="26" t="n">
        <f aca="false">G40-H40</f>
        <v>-4.10000000000001</v>
      </c>
      <c r="J40" s="26" t="n">
        <f aca="false">ABS(I40)</f>
        <v>4.10000000000001</v>
      </c>
      <c r="K40" s="26" t="n">
        <f aca="false">I40^2</f>
        <v>16.8100000000001</v>
      </c>
      <c r="L40" s="27" t="n">
        <f aca="false">ABS((G40-H40)/G40)</f>
        <v>0.0505548705302097</v>
      </c>
    </row>
    <row r="41" customFormat="false" ht="15" hidden="false" customHeight="true" outlineLevel="0" collapsed="false">
      <c r="F41" s="6" t="n">
        <f aca="false">'📊 RawData'!D39</f>
        <v>5.2</v>
      </c>
      <c r="G41" s="6" t="n">
        <f aca="false">'📊 RawData'!G39</f>
        <v>77.6</v>
      </c>
      <c r="H41" s="6" t="n">
        <f aca="false">ROUND($B$6+$B$5*F41,1)</f>
        <v>90.5</v>
      </c>
      <c r="I41" s="20" t="n">
        <f aca="false">G41-H41</f>
        <v>-12.9</v>
      </c>
      <c r="J41" s="20" t="n">
        <f aca="false">ABS(I41)</f>
        <v>12.9</v>
      </c>
      <c r="K41" s="20" t="n">
        <f aca="false">I41^2</f>
        <v>166.41</v>
      </c>
      <c r="L41" s="21" t="n">
        <f aca="false">ABS((G41-H41)/G41)</f>
        <v>0.166237113402062</v>
      </c>
    </row>
    <row r="42" customFormat="false" ht="15" hidden="false" customHeight="true" outlineLevel="0" collapsed="false">
      <c r="F42" s="10" t="n">
        <f aca="false">'📊 RawData'!D40</f>
        <v>4.1</v>
      </c>
      <c r="G42" s="10" t="n">
        <f aca="false">'📊 RawData'!G40</f>
        <v>94.6</v>
      </c>
      <c r="H42" s="10" t="n">
        <f aca="false">ROUND($B$6+$B$5*F42,1)</f>
        <v>87.3</v>
      </c>
      <c r="I42" s="26" t="n">
        <f aca="false">G42-H42</f>
        <v>7.3</v>
      </c>
      <c r="J42" s="26" t="n">
        <f aca="false">ABS(I42)</f>
        <v>7.3</v>
      </c>
      <c r="K42" s="26" t="n">
        <f aca="false">I42^2</f>
        <v>53.29</v>
      </c>
      <c r="L42" s="27" t="n">
        <f aca="false">ABS((G42-H42)/G42)</f>
        <v>0.0771670190274841</v>
      </c>
    </row>
    <row r="43" customFormat="false" ht="15" hidden="false" customHeight="true" outlineLevel="0" collapsed="false">
      <c r="F43" s="6" t="n">
        <f aca="false">'📊 RawData'!D41</f>
        <v>4.4</v>
      </c>
      <c r="G43" s="6" t="n">
        <f aca="false">'📊 RawData'!G41</f>
        <v>81.2</v>
      </c>
      <c r="H43" s="6" t="n">
        <f aca="false">ROUND($B$6+$B$5*F43,1)</f>
        <v>88.2</v>
      </c>
      <c r="I43" s="20" t="n">
        <f aca="false">G43-H43</f>
        <v>-7</v>
      </c>
      <c r="J43" s="20" t="n">
        <f aca="false">ABS(I43)</f>
        <v>7</v>
      </c>
      <c r="K43" s="20" t="n">
        <f aca="false">I43^2</f>
        <v>49</v>
      </c>
      <c r="L43" s="21" t="n">
        <f aca="false">ABS((G43-H43)/G43)</f>
        <v>0.0862068965517241</v>
      </c>
    </row>
    <row r="44" customFormat="false" ht="15" hidden="false" customHeight="true" outlineLevel="0" collapsed="false">
      <c r="F44" s="10" t="n">
        <f aca="false">'📊 RawData'!D42</f>
        <v>4.7</v>
      </c>
      <c r="G44" s="10" t="n">
        <f aca="false">'📊 RawData'!G42</f>
        <v>92.6</v>
      </c>
      <c r="H44" s="10" t="n">
        <f aca="false">ROUND($B$6+$B$5*F44,1)</f>
        <v>89</v>
      </c>
      <c r="I44" s="26" t="n">
        <f aca="false">G44-H44</f>
        <v>3.59999999999999</v>
      </c>
      <c r="J44" s="26" t="n">
        <f aca="false">ABS(I44)</f>
        <v>3.59999999999999</v>
      </c>
      <c r="K44" s="26" t="n">
        <f aca="false">I44^2</f>
        <v>12.96</v>
      </c>
      <c r="L44" s="27" t="n">
        <f aca="false">ABS((G44-H44)/G44)</f>
        <v>0.038876889848812</v>
      </c>
    </row>
    <row r="45" customFormat="false" ht="15" hidden="false" customHeight="true" outlineLevel="0" collapsed="false">
      <c r="F45" s="6" t="n">
        <f aca="false">'📊 RawData'!D43</f>
        <v>6.9</v>
      </c>
      <c r="G45" s="6" t="n">
        <f aca="false">'📊 RawData'!G43</f>
        <v>88.8</v>
      </c>
      <c r="H45" s="6" t="n">
        <f aca="false">ROUND($B$6+$B$5*F45,1)</f>
        <v>95.5</v>
      </c>
      <c r="I45" s="20" t="n">
        <f aca="false">G45-H45</f>
        <v>-6.7</v>
      </c>
      <c r="J45" s="20" t="n">
        <f aca="false">ABS(I45)</f>
        <v>6.7</v>
      </c>
      <c r="K45" s="20" t="n">
        <f aca="false">I45^2</f>
        <v>44.89</v>
      </c>
      <c r="L45" s="21" t="n">
        <f aca="false">ABS((G45-H45)/G45)</f>
        <v>0.0754504504504505</v>
      </c>
    </row>
    <row r="46" customFormat="false" ht="15" hidden="false" customHeight="true" outlineLevel="0" collapsed="false">
      <c r="F46" s="10" t="n">
        <f aca="false">'📊 RawData'!D44</f>
        <v>5.3</v>
      </c>
      <c r="G46" s="10" t="n">
        <f aca="false">'📊 RawData'!G44</f>
        <v>96.3</v>
      </c>
      <c r="H46" s="10" t="n">
        <f aca="false">ROUND($B$6+$B$5*F46,1)</f>
        <v>90.8</v>
      </c>
      <c r="I46" s="26" t="n">
        <f aca="false">G46-H46</f>
        <v>5.5</v>
      </c>
      <c r="J46" s="26" t="n">
        <f aca="false">ABS(I46)</f>
        <v>5.5</v>
      </c>
      <c r="K46" s="26" t="n">
        <f aca="false">I46^2</f>
        <v>30.25</v>
      </c>
      <c r="L46" s="27" t="n">
        <f aca="false">ABS((G46-H46)/G46)</f>
        <v>0.0571131879543095</v>
      </c>
    </row>
    <row r="47" customFormat="false" ht="15" hidden="false" customHeight="true" outlineLevel="0" collapsed="false">
      <c r="F47" s="6" t="n">
        <f aca="false">'📊 RawData'!D45</f>
        <v>4</v>
      </c>
      <c r="G47" s="6" t="n">
        <f aca="false">'📊 RawData'!G45</f>
        <v>100</v>
      </c>
      <c r="H47" s="6" t="n">
        <f aca="false">ROUND($B$6+$B$5*F47,1)</f>
        <v>87</v>
      </c>
      <c r="I47" s="20" t="n">
        <f aca="false">G47-H47</f>
        <v>13</v>
      </c>
      <c r="J47" s="20" t="n">
        <f aca="false">ABS(I47)</f>
        <v>13</v>
      </c>
      <c r="K47" s="20" t="n">
        <f aca="false">I47^2</f>
        <v>169</v>
      </c>
      <c r="L47" s="21" t="n">
        <f aca="false">ABS((G47-H47)/G47)</f>
        <v>0.13</v>
      </c>
    </row>
    <row r="48" customFormat="false" ht="15" hidden="false" customHeight="true" outlineLevel="0" collapsed="false">
      <c r="F48" s="10" t="n">
        <f aca="false">'📊 RawData'!D46</f>
        <v>2.5</v>
      </c>
      <c r="G48" s="10" t="n">
        <f aca="false">'📊 RawData'!G46</f>
        <v>72.6</v>
      </c>
      <c r="H48" s="10" t="n">
        <f aca="false">ROUND($B$6+$B$5*F48,1)</f>
        <v>82.6</v>
      </c>
      <c r="I48" s="26" t="n">
        <f aca="false">G48-H48</f>
        <v>-10</v>
      </c>
      <c r="J48" s="26" t="n">
        <f aca="false">ABS(I48)</f>
        <v>10</v>
      </c>
      <c r="K48" s="26" t="n">
        <f aca="false">I48^2</f>
        <v>100</v>
      </c>
      <c r="L48" s="27" t="n">
        <f aca="false">ABS((G48-H48)/G48)</f>
        <v>0.137741046831956</v>
      </c>
    </row>
    <row r="49" customFormat="false" ht="15" hidden="false" customHeight="true" outlineLevel="0" collapsed="false">
      <c r="F49" s="6" t="n">
        <f aca="false">'📊 RawData'!D47</f>
        <v>4.5</v>
      </c>
      <c r="G49" s="6" t="n">
        <f aca="false">'📊 RawData'!G47</f>
        <v>91.8</v>
      </c>
      <c r="H49" s="6" t="n">
        <f aca="false">ROUND($B$6+$B$5*F49,1)</f>
        <v>88.4</v>
      </c>
      <c r="I49" s="20" t="n">
        <f aca="false">G49-H49</f>
        <v>3.39999999999999</v>
      </c>
      <c r="J49" s="20" t="n">
        <f aca="false">ABS(I49)</f>
        <v>3.39999999999999</v>
      </c>
      <c r="K49" s="20" t="n">
        <f aca="false">I49^2</f>
        <v>11.5599999999999</v>
      </c>
      <c r="L49" s="21" t="n">
        <f aca="false">ABS((G49-H49)/G49)</f>
        <v>0.0370370370370369</v>
      </c>
    </row>
    <row r="50" customFormat="false" ht="15" hidden="false" customHeight="true" outlineLevel="0" collapsed="false">
      <c r="F50" s="10" t="n">
        <f aca="false">'📊 RawData'!D48</f>
        <v>5</v>
      </c>
      <c r="G50" s="10" t="n">
        <f aca="false">'📊 RawData'!G48</f>
        <v>94.6</v>
      </c>
      <c r="H50" s="10" t="n">
        <f aca="false">ROUND($B$6+$B$5*F50,1)</f>
        <v>89.9</v>
      </c>
      <c r="I50" s="26" t="n">
        <f aca="false">G50-H50</f>
        <v>4.69999999999999</v>
      </c>
      <c r="J50" s="26" t="n">
        <f aca="false">ABS(I50)</f>
        <v>4.69999999999999</v>
      </c>
      <c r="K50" s="26" t="n">
        <f aca="false">I50^2</f>
        <v>22.0899999999999</v>
      </c>
      <c r="L50" s="27" t="n">
        <f aca="false">ABS((G50-H50)/G50)</f>
        <v>0.0496828752642705</v>
      </c>
    </row>
    <row r="51" customFormat="false" ht="15" hidden="false" customHeight="true" outlineLevel="0" collapsed="false">
      <c r="F51" s="6" t="n">
        <f aca="false">'📊 RawData'!D49</f>
        <v>5.3</v>
      </c>
      <c r="G51" s="6" t="n">
        <f aca="false">'📊 RawData'!G49</f>
        <v>91.1</v>
      </c>
      <c r="H51" s="6" t="n">
        <f aca="false">ROUND($B$6+$B$5*F51,1)</f>
        <v>90.8</v>
      </c>
      <c r="I51" s="20" t="n">
        <f aca="false">G51-H51</f>
        <v>0.299999999999997</v>
      </c>
      <c r="J51" s="20" t="n">
        <f aca="false">ABS(I51)</f>
        <v>0.299999999999997</v>
      </c>
      <c r="K51" s="20" t="n">
        <f aca="false">I51^2</f>
        <v>0.0899999999999983</v>
      </c>
      <c r="L51" s="21" t="n">
        <f aca="false">ABS((G51-H51)/G51)</f>
        <v>0.00329308452250271</v>
      </c>
    </row>
    <row r="52" customFormat="false" ht="15" hidden="false" customHeight="true" outlineLevel="0" collapsed="false">
      <c r="F52" s="10" t="n">
        <f aca="false">'📊 RawData'!D50</f>
        <v>3.9</v>
      </c>
      <c r="G52" s="10" t="n">
        <f aca="false">'📊 RawData'!G50</f>
        <v>78.3</v>
      </c>
      <c r="H52" s="10" t="n">
        <f aca="false">ROUND($B$6+$B$5*F52,1)</f>
        <v>86.7</v>
      </c>
      <c r="I52" s="26" t="n">
        <f aca="false">G52-H52</f>
        <v>-8.40000000000001</v>
      </c>
      <c r="J52" s="26" t="n">
        <f aca="false">ABS(I52)</f>
        <v>8.40000000000001</v>
      </c>
      <c r="K52" s="26" t="n">
        <f aca="false">I52^2</f>
        <v>70.5600000000001</v>
      </c>
      <c r="L52" s="27" t="n">
        <f aca="false">ABS((G52-H52)/G52)</f>
        <v>0.10727969348659</v>
      </c>
    </row>
    <row r="53" customFormat="false" ht="15" hidden="false" customHeight="true" outlineLevel="0" collapsed="false">
      <c r="F53" s="6" t="n">
        <f aca="false">'📊 RawData'!D51</f>
        <v>5.3</v>
      </c>
      <c r="G53" s="6" t="n">
        <f aca="false">'📊 RawData'!G51</f>
        <v>81.5</v>
      </c>
      <c r="H53" s="6" t="n">
        <f aca="false">ROUND($B$6+$B$5*F53,1)</f>
        <v>90.8</v>
      </c>
      <c r="I53" s="20" t="n">
        <f aca="false">G53-H53</f>
        <v>-9.3</v>
      </c>
      <c r="J53" s="20" t="n">
        <f aca="false">ABS(I53)</f>
        <v>9.3</v>
      </c>
      <c r="K53" s="20" t="n">
        <f aca="false">I53^2</f>
        <v>86.49</v>
      </c>
      <c r="L53" s="21" t="n">
        <f aca="false">ABS((G53-H53)/G53)</f>
        <v>0.114110429447853</v>
      </c>
    </row>
    <row r="54" customFormat="false" ht="15" hidden="false" customHeight="true" outlineLevel="0" collapsed="false">
      <c r="F54" s="10" t="n">
        <f aca="false">'📊 RawData'!D52</f>
        <v>5.4</v>
      </c>
      <c r="G54" s="10" t="n">
        <f aca="false">'📊 RawData'!G52</f>
        <v>84.4</v>
      </c>
      <c r="H54" s="10" t="n">
        <f aca="false">ROUND($B$6+$B$5*F54,1)</f>
        <v>91.1</v>
      </c>
      <c r="I54" s="26" t="n">
        <f aca="false">G54-H54</f>
        <v>-6.69999999999999</v>
      </c>
      <c r="J54" s="26" t="n">
        <f aca="false">ABS(I54)</f>
        <v>6.69999999999999</v>
      </c>
      <c r="K54" s="26" t="n">
        <f aca="false">I54^2</f>
        <v>44.8899999999998</v>
      </c>
      <c r="L54" s="27" t="n">
        <f aca="false">ABS((G54-H54)/G54)</f>
        <v>0.079383886255924</v>
      </c>
    </row>
    <row r="55" customFormat="false" ht="15" hidden="false" customHeight="true" outlineLevel="0" collapsed="false">
      <c r="F55" s="6" t="n">
        <f aca="false">'📊 RawData'!D53</f>
        <v>7</v>
      </c>
      <c r="G55" s="6" t="n">
        <f aca="false">'📊 RawData'!G53</f>
        <v>90.9</v>
      </c>
      <c r="H55" s="6" t="n">
        <f aca="false">ROUND($B$6+$B$5*F55,1)</f>
        <v>95.8</v>
      </c>
      <c r="I55" s="20" t="n">
        <f aca="false">G55-H55</f>
        <v>-4.89999999999999</v>
      </c>
      <c r="J55" s="20" t="n">
        <f aca="false">ABS(I55)</f>
        <v>4.89999999999999</v>
      </c>
      <c r="K55" s="20" t="n">
        <f aca="false">I55^2</f>
        <v>24.0099999999999</v>
      </c>
      <c r="L55" s="21" t="n">
        <f aca="false">ABS((G55-H55)/G55)</f>
        <v>0.0539053905390538</v>
      </c>
    </row>
    <row r="56" customFormat="false" ht="15" hidden="false" customHeight="true" outlineLevel="0" collapsed="false">
      <c r="F56" s="10" t="n">
        <f aca="false">'📊 RawData'!D54</f>
        <v>4.7</v>
      </c>
      <c r="G56" s="10" t="n">
        <f aca="false">'📊 RawData'!G54</f>
        <v>96.9</v>
      </c>
      <c r="H56" s="10" t="n">
        <f aca="false">ROUND($B$6+$B$5*F56,1)</f>
        <v>89</v>
      </c>
      <c r="I56" s="26" t="n">
        <f aca="false">G56-H56</f>
        <v>7.90000000000001</v>
      </c>
      <c r="J56" s="26" t="n">
        <f aca="false">ABS(I56)</f>
        <v>7.90000000000001</v>
      </c>
      <c r="K56" s="26" t="n">
        <f aca="false">I56^2</f>
        <v>62.4100000000001</v>
      </c>
      <c r="L56" s="27" t="n">
        <f aca="false">ABS((G56-H56)/G56)</f>
        <v>0.0815273477812178</v>
      </c>
    </row>
    <row r="57" customFormat="false" ht="15" hidden="false" customHeight="true" outlineLevel="0" collapsed="false">
      <c r="F57" s="6" t="n">
        <f aca="false">'📊 RawData'!D55</f>
        <v>5.4</v>
      </c>
      <c r="G57" s="6" t="n">
        <f aca="false">'📊 RawData'!G55</f>
        <v>96.7</v>
      </c>
      <c r="H57" s="6" t="n">
        <f aca="false">ROUND($B$6+$B$5*F57,1)</f>
        <v>91.1</v>
      </c>
      <c r="I57" s="20" t="n">
        <f aca="false">G57-H57</f>
        <v>5.60000000000001</v>
      </c>
      <c r="J57" s="20" t="n">
        <f aca="false">ABS(I57)</f>
        <v>5.60000000000001</v>
      </c>
      <c r="K57" s="20" t="n">
        <f aca="false">I57^2</f>
        <v>31.3600000000001</v>
      </c>
      <c r="L57" s="21" t="n">
        <f aca="false">ABS((G57-H57)/G57)</f>
        <v>0.0579110651499484</v>
      </c>
    </row>
    <row r="58" customFormat="false" ht="15" hidden="false" customHeight="true" outlineLevel="0" collapsed="false">
      <c r="F58" s="10" t="n">
        <f aca="false">'📊 RawData'!D56</f>
        <v>6.7</v>
      </c>
      <c r="G58" s="10" t="n">
        <f aca="false">'📊 RawData'!G56</f>
        <v>95.1</v>
      </c>
      <c r="H58" s="10" t="n">
        <f aca="false">ROUND($B$6+$B$5*F58,1)</f>
        <v>94.9</v>
      </c>
      <c r="I58" s="26" t="n">
        <f aca="false">G58-H58</f>
        <v>0.199999999999989</v>
      </c>
      <c r="J58" s="26" t="n">
        <f aca="false">ABS(I58)</f>
        <v>0.199999999999989</v>
      </c>
      <c r="K58" s="26" t="n">
        <f aca="false">I58^2</f>
        <v>0.0399999999999955</v>
      </c>
      <c r="L58" s="27" t="n">
        <f aca="false">ABS((G58-H58)/G58)</f>
        <v>0.00210304942166129</v>
      </c>
    </row>
    <row r="59" customFormat="false" ht="15" hidden="false" customHeight="true" outlineLevel="0" collapsed="false">
      <c r="F59" s="6" t="n">
        <f aca="false">'📊 RawData'!D57</f>
        <v>5.2</v>
      </c>
      <c r="G59" s="6" t="n">
        <f aca="false">'📊 RawData'!G57</f>
        <v>82.9</v>
      </c>
      <c r="H59" s="6" t="n">
        <f aca="false">ROUND($B$6+$B$5*F59,1)</f>
        <v>90.5</v>
      </c>
      <c r="I59" s="20" t="n">
        <f aca="false">G59-H59</f>
        <v>-7.59999999999999</v>
      </c>
      <c r="J59" s="20" t="n">
        <f aca="false">ABS(I59)</f>
        <v>7.59999999999999</v>
      </c>
      <c r="K59" s="20" t="n">
        <f aca="false">I59^2</f>
        <v>57.7599999999999</v>
      </c>
      <c r="L59" s="21" t="n">
        <f aca="false">ABS((G59-H59)/G59)</f>
        <v>0.09167671893848</v>
      </c>
    </row>
    <row r="60" customFormat="false" ht="15" hidden="false" customHeight="true" outlineLevel="0" collapsed="false">
      <c r="F60" s="10" t="n">
        <f aca="false">'📊 RawData'!D58</f>
        <v>6.5</v>
      </c>
      <c r="G60" s="10" t="n">
        <f aca="false">'📊 RawData'!G58</f>
        <v>84.3</v>
      </c>
      <c r="H60" s="10" t="n">
        <f aca="false">ROUND($B$6+$B$5*F60,1)</f>
        <v>94.3</v>
      </c>
      <c r="I60" s="26" t="n">
        <f aca="false">G60-H60</f>
        <v>-10</v>
      </c>
      <c r="J60" s="26" t="n">
        <f aca="false">ABS(I60)</f>
        <v>10</v>
      </c>
      <c r="K60" s="26" t="n">
        <f aca="false">I60^2</f>
        <v>100</v>
      </c>
      <c r="L60" s="27" t="n">
        <f aca="false">ABS((G60-H60)/G60)</f>
        <v>0.118623962040332</v>
      </c>
    </row>
    <row r="61" customFormat="false" ht="15" hidden="false" customHeight="true" outlineLevel="0" collapsed="false">
      <c r="F61" s="6" t="n">
        <f aca="false">'📊 RawData'!D59</f>
        <v>4.8</v>
      </c>
      <c r="G61" s="6" t="n">
        <f aca="false">'📊 RawData'!G59</f>
        <v>90.4</v>
      </c>
      <c r="H61" s="6" t="n">
        <f aca="false">ROUND($B$6+$B$5*F61,1)</f>
        <v>89.3</v>
      </c>
      <c r="I61" s="20" t="n">
        <f aca="false">G61-H61</f>
        <v>1.10000000000001</v>
      </c>
      <c r="J61" s="20" t="n">
        <f aca="false">ABS(I61)</f>
        <v>1.10000000000001</v>
      </c>
      <c r="K61" s="20" t="n">
        <f aca="false">I61^2</f>
        <v>1.21000000000002</v>
      </c>
      <c r="L61" s="21" t="n">
        <f aca="false">ABS((G61-H61)/G61)</f>
        <v>0.0121681415929204</v>
      </c>
    </row>
    <row r="62" customFormat="false" ht="15" hidden="false" customHeight="true" outlineLevel="0" collapsed="false">
      <c r="F62" s="10" t="n">
        <f aca="false">'📊 RawData'!D60</f>
        <v>8.5</v>
      </c>
      <c r="G62" s="10" t="n">
        <f aca="false">'📊 RawData'!G60</f>
        <v>100</v>
      </c>
      <c r="H62" s="10" t="n">
        <f aca="false">ROUND($B$6+$B$5*F62,1)</f>
        <v>100.2</v>
      </c>
      <c r="I62" s="26" t="n">
        <f aca="false">G62-H62</f>
        <v>-0.200000000000003</v>
      </c>
      <c r="J62" s="26" t="n">
        <f aca="false">ABS(I62)</f>
        <v>0.200000000000003</v>
      </c>
      <c r="K62" s="26" t="n">
        <f aca="false">I62^2</f>
        <v>0.0400000000000011</v>
      </c>
      <c r="L62" s="27" t="n">
        <f aca="false">ABS((G62-H62)/G62)</f>
        <v>0.00200000000000003</v>
      </c>
    </row>
    <row r="63" customFormat="false" ht="15" hidden="false" customHeight="true" outlineLevel="0" collapsed="false">
      <c r="F63" s="6" t="n">
        <f aca="false">'📊 RawData'!D61</f>
        <v>4.4</v>
      </c>
      <c r="G63" s="6" t="n">
        <f aca="false">'📊 RawData'!G61</f>
        <v>97.8</v>
      </c>
      <c r="H63" s="6" t="n">
        <f aca="false">ROUND($B$6+$B$5*F63,1)</f>
        <v>88.2</v>
      </c>
      <c r="I63" s="20" t="n">
        <f aca="false">G63-H63</f>
        <v>9.59999999999999</v>
      </c>
      <c r="J63" s="20" t="n">
        <f aca="false">ABS(I63)</f>
        <v>9.59999999999999</v>
      </c>
      <c r="K63" s="20" t="n">
        <f aca="false">I63^2</f>
        <v>92.1599999999999</v>
      </c>
      <c r="L63" s="21" t="n">
        <f aca="false">ABS((G63-H63)/G63)</f>
        <v>0.0981595092024539</v>
      </c>
    </row>
    <row r="64" customFormat="false" ht="15" hidden="false" customHeight="true" outlineLevel="0" collapsed="false">
      <c r="F64" s="10" t="n">
        <f aca="false">'📊 RawData'!D62</f>
        <v>4.2</v>
      </c>
      <c r="G64" s="10" t="n">
        <f aca="false">'📊 RawData'!G62</f>
        <v>91</v>
      </c>
      <c r="H64" s="10" t="n">
        <f aca="false">ROUND($B$6+$B$5*F64,1)</f>
        <v>87.6</v>
      </c>
      <c r="I64" s="26" t="n">
        <f aca="false">G64-H64</f>
        <v>3.40000000000001</v>
      </c>
      <c r="J64" s="26" t="n">
        <f aca="false">ABS(I64)</f>
        <v>3.40000000000001</v>
      </c>
      <c r="K64" s="26" t="n">
        <f aca="false">I64^2</f>
        <v>11.56</v>
      </c>
      <c r="L64" s="27" t="n">
        <f aca="false">ABS((G64-H64)/G64)</f>
        <v>0.0373626373626374</v>
      </c>
    </row>
    <row r="65" customFormat="false" ht="15" hidden="false" customHeight="true" outlineLevel="0" collapsed="false">
      <c r="F65" s="6" t="n">
        <f aca="false">'📊 RawData'!D63</f>
        <v>3.3</v>
      </c>
      <c r="G65" s="6" t="n">
        <f aca="false">'📊 RawData'!G63</f>
        <v>79.2</v>
      </c>
      <c r="H65" s="6" t="n">
        <f aca="false">ROUND($B$6+$B$5*F65,1)</f>
        <v>84.9</v>
      </c>
      <c r="I65" s="20" t="n">
        <f aca="false">G65-H65</f>
        <v>-5.7</v>
      </c>
      <c r="J65" s="20" t="n">
        <f aca="false">ABS(I65)</f>
        <v>5.7</v>
      </c>
      <c r="K65" s="20" t="n">
        <f aca="false">I65^2</f>
        <v>32.49</v>
      </c>
      <c r="L65" s="21" t="n">
        <f aca="false">ABS((G65-H65)/G65)</f>
        <v>0.071969696969697</v>
      </c>
    </row>
    <row r="66" customFormat="false" ht="15" hidden="false" customHeight="true" outlineLevel="0" collapsed="false">
      <c r="F66" s="10" t="n">
        <f aca="false">'📊 RawData'!D64</f>
        <v>4.6</v>
      </c>
      <c r="G66" s="10" t="n">
        <f aca="false">'📊 RawData'!G64</f>
        <v>88.9</v>
      </c>
      <c r="H66" s="10" t="n">
        <f aca="false">ROUND($B$6+$B$5*F66,1)</f>
        <v>88.7</v>
      </c>
      <c r="I66" s="26" t="n">
        <f aca="false">G66-H66</f>
        <v>0.200000000000003</v>
      </c>
      <c r="J66" s="26" t="n">
        <f aca="false">ABS(I66)</f>
        <v>0.200000000000003</v>
      </c>
      <c r="K66" s="26" t="n">
        <f aca="false">I66^2</f>
        <v>0.0400000000000011</v>
      </c>
      <c r="L66" s="27" t="n">
        <f aca="false">ABS((G66-H66)/G66)</f>
        <v>0.00224971878515189</v>
      </c>
    </row>
    <row r="67" customFormat="false" ht="15" hidden="false" customHeight="true" outlineLevel="0" collapsed="false">
      <c r="F67" s="6" t="n">
        <f aca="false">'📊 RawData'!D65</f>
        <v>0.5</v>
      </c>
      <c r="G67" s="6" t="n">
        <f aca="false">'📊 RawData'!G65</f>
        <v>81.1</v>
      </c>
      <c r="H67" s="6" t="n">
        <f aca="false">ROUND($B$6+$B$5*F67,1)</f>
        <v>76.7</v>
      </c>
      <c r="I67" s="20" t="n">
        <f aca="false">G67-H67</f>
        <v>4.39999999999999</v>
      </c>
      <c r="J67" s="20" t="n">
        <f aca="false">ABS(I67)</f>
        <v>4.39999999999999</v>
      </c>
      <c r="K67" s="20" t="n">
        <f aca="false">I67^2</f>
        <v>19.3599999999999</v>
      </c>
      <c r="L67" s="21" t="n">
        <f aca="false">ABS((G67-H67)/G67)</f>
        <v>0.0542540073982736</v>
      </c>
    </row>
    <row r="68" customFormat="false" ht="15" hidden="false" customHeight="true" outlineLevel="0" collapsed="false">
      <c r="F68" s="10" t="n">
        <f aca="false">'📊 RawData'!D66</f>
        <v>3.2</v>
      </c>
      <c r="G68" s="10" t="n">
        <f aca="false">'📊 RawData'!G66</f>
        <v>83.6</v>
      </c>
      <c r="H68" s="10" t="n">
        <f aca="false">ROUND($B$6+$B$5*F68,1)</f>
        <v>84.6</v>
      </c>
      <c r="I68" s="26" t="n">
        <f aca="false">G68-H68</f>
        <v>-1</v>
      </c>
      <c r="J68" s="26" t="n">
        <f aca="false">ABS(I68)</f>
        <v>1</v>
      </c>
      <c r="K68" s="26" t="n">
        <f aca="false">I68^2</f>
        <v>1</v>
      </c>
      <c r="L68" s="27" t="n">
        <f aca="false">ABS((G68-H68)/G68)</f>
        <v>0.0119617224880383</v>
      </c>
    </row>
    <row r="69" customFormat="false" ht="15" hidden="false" customHeight="true" outlineLevel="0" collapsed="false">
      <c r="F69" s="6" t="n">
        <f aca="false">'📊 RawData'!D67</f>
        <v>5.9</v>
      </c>
      <c r="G69" s="6" t="n">
        <f aca="false">'📊 RawData'!G67</f>
        <v>100</v>
      </c>
      <c r="H69" s="6" t="n">
        <f aca="false">ROUND($B$6+$B$5*F69,1)</f>
        <v>92.6</v>
      </c>
      <c r="I69" s="20" t="n">
        <f aca="false">G69-H69</f>
        <v>7.40000000000001</v>
      </c>
      <c r="J69" s="20" t="n">
        <f aca="false">ABS(I69)</f>
        <v>7.40000000000001</v>
      </c>
      <c r="K69" s="20" t="n">
        <f aca="false">I69^2</f>
        <v>54.7600000000001</v>
      </c>
      <c r="L69" s="21" t="n">
        <f aca="false">ABS((G69-H69)/G69)</f>
        <v>0.0740000000000001</v>
      </c>
    </row>
    <row r="70" customFormat="false" ht="15" hidden="false" customHeight="true" outlineLevel="0" collapsed="false">
      <c r="F70" s="10" t="n">
        <f aca="false">'📊 RawData'!D68</f>
        <v>3.3</v>
      </c>
      <c r="G70" s="10" t="n">
        <f aca="false">'📊 RawData'!G68</f>
        <v>84.5</v>
      </c>
      <c r="H70" s="10" t="n">
        <f aca="false">ROUND($B$6+$B$5*F70,1)</f>
        <v>84.9</v>
      </c>
      <c r="I70" s="26" t="n">
        <f aca="false">G70-H70</f>
        <v>-0.400000000000006</v>
      </c>
      <c r="J70" s="26" t="n">
        <f aca="false">ABS(I70)</f>
        <v>0.400000000000006</v>
      </c>
      <c r="K70" s="26" t="n">
        <f aca="false">I70^2</f>
        <v>0.160000000000005</v>
      </c>
      <c r="L70" s="27" t="n">
        <f aca="false">ABS((G70-H70)/G70)</f>
        <v>0.00473372781065095</v>
      </c>
    </row>
    <row r="71" customFormat="false" ht="15" hidden="false" customHeight="true" outlineLevel="0" collapsed="false">
      <c r="F71" s="6" t="n">
        <f aca="false">'📊 RawData'!D69</f>
        <v>9.6</v>
      </c>
      <c r="G71" s="6" t="n">
        <f aca="false">'📊 RawData'!G69</f>
        <v>100</v>
      </c>
      <c r="H71" s="6" t="n">
        <f aca="false">ROUND($B$6+$B$5*F71,1)</f>
        <v>103.4</v>
      </c>
      <c r="I71" s="20" t="n">
        <f aca="false">G71-H71</f>
        <v>-3.40000000000001</v>
      </c>
      <c r="J71" s="20" t="n">
        <f aca="false">ABS(I71)</f>
        <v>3.40000000000001</v>
      </c>
      <c r="K71" s="20" t="n">
        <f aca="false">I71^2</f>
        <v>11.56</v>
      </c>
      <c r="L71" s="21" t="n">
        <f aca="false">ABS((G71-H71)/G71)</f>
        <v>0.0340000000000001</v>
      </c>
    </row>
    <row r="72" customFormat="false" ht="15" hidden="false" customHeight="true" outlineLevel="0" collapsed="false">
      <c r="F72" s="10" t="n">
        <f aca="false">'📊 RawData'!D70</f>
        <v>7.7</v>
      </c>
      <c r="G72" s="10" t="n">
        <f aca="false">'📊 RawData'!G70</f>
        <v>100</v>
      </c>
      <c r="H72" s="10" t="n">
        <f aca="false">ROUND($B$6+$B$5*F72,1)</f>
        <v>97.8</v>
      </c>
      <c r="I72" s="26" t="n">
        <f aca="false">G72-H72</f>
        <v>2.2</v>
      </c>
      <c r="J72" s="26" t="n">
        <f aca="false">ABS(I72)</f>
        <v>2.2</v>
      </c>
      <c r="K72" s="26" t="n">
        <f aca="false">I72^2</f>
        <v>4.84000000000001</v>
      </c>
      <c r="L72" s="27" t="n">
        <f aca="false">ABS((G72-H72)/G72)</f>
        <v>0.022</v>
      </c>
    </row>
    <row r="73" customFormat="false" ht="15" hidden="false" customHeight="true" outlineLevel="0" collapsed="false">
      <c r="F73" s="6" t="n">
        <f aca="false">'📊 RawData'!D71</f>
        <v>3.9</v>
      </c>
      <c r="G73" s="6" t="n">
        <f aca="false">'📊 RawData'!G71</f>
        <v>82.5</v>
      </c>
      <c r="H73" s="6" t="n">
        <f aca="false">ROUND($B$6+$B$5*F73,1)</f>
        <v>86.7</v>
      </c>
      <c r="I73" s="20" t="n">
        <f aca="false">G73-H73</f>
        <v>-4.2</v>
      </c>
      <c r="J73" s="20" t="n">
        <f aca="false">ABS(I73)</f>
        <v>4.2</v>
      </c>
      <c r="K73" s="20" t="n">
        <f aca="false">I73^2</f>
        <v>17.64</v>
      </c>
      <c r="L73" s="21" t="n">
        <f aca="false">ABS((G73-H73)/G73)</f>
        <v>0.0509090909090909</v>
      </c>
    </row>
    <row r="74" customFormat="false" ht="15" hidden="false" customHeight="true" outlineLevel="0" collapsed="false">
      <c r="F74" s="10" t="n">
        <f aca="false">'📊 RawData'!D72</f>
        <v>5.3</v>
      </c>
      <c r="G74" s="10" t="n">
        <f aca="false">'📊 RawData'!G72</f>
        <v>88.2</v>
      </c>
      <c r="H74" s="10" t="n">
        <f aca="false">ROUND($B$6+$B$5*F74,1)</f>
        <v>90.8</v>
      </c>
      <c r="I74" s="26" t="n">
        <f aca="false">G74-H74</f>
        <v>-2.59999999999999</v>
      </c>
      <c r="J74" s="26" t="n">
        <f aca="false">ABS(I74)</f>
        <v>2.59999999999999</v>
      </c>
      <c r="K74" s="26" t="n">
        <f aca="false">I74^2</f>
        <v>6.75999999999997</v>
      </c>
      <c r="L74" s="27" t="n">
        <f aca="false">ABS((G74-H74)/G74)</f>
        <v>0.0294784580498866</v>
      </c>
    </row>
    <row r="75" customFormat="false" ht="15" hidden="false" customHeight="true" outlineLevel="0" collapsed="false">
      <c r="F75" s="6" t="n">
        <f aca="false">'📊 RawData'!D73</f>
        <v>4.9</v>
      </c>
      <c r="G75" s="6" t="n">
        <f aca="false">'📊 RawData'!G73</f>
        <v>88.4</v>
      </c>
      <c r="H75" s="6" t="n">
        <f aca="false">ROUND($B$6+$B$5*F75,1)</f>
        <v>89.6</v>
      </c>
      <c r="I75" s="20" t="n">
        <f aca="false">G75-H75</f>
        <v>-1.19999999999999</v>
      </c>
      <c r="J75" s="20" t="n">
        <f aca="false">ABS(I75)</f>
        <v>1.19999999999999</v>
      </c>
      <c r="K75" s="20" t="n">
        <f aca="false">I75^2</f>
        <v>1.43999999999997</v>
      </c>
      <c r="L75" s="21" t="n">
        <f aca="false">ABS((G75-H75)/G75)</f>
        <v>0.013574660633484</v>
      </c>
    </row>
    <row r="76" customFormat="false" ht="15" hidden="false" customHeight="true" outlineLevel="0" collapsed="false">
      <c r="F76" s="10" t="n">
        <f aca="false">'📊 RawData'!D74</f>
        <v>3.7</v>
      </c>
      <c r="G76" s="10" t="n">
        <f aca="false">'📊 RawData'!G74</f>
        <v>80.6</v>
      </c>
      <c r="H76" s="10" t="n">
        <f aca="false">ROUND($B$6+$B$5*F76,1)</f>
        <v>86.1</v>
      </c>
      <c r="I76" s="26" t="n">
        <f aca="false">G76-H76</f>
        <v>-5.5</v>
      </c>
      <c r="J76" s="26" t="n">
        <f aca="false">ABS(I76)</f>
        <v>5.5</v>
      </c>
      <c r="K76" s="26" t="n">
        <f aca="false">I76^2</f>
        <v>30.25</v>
      </c>
      <c r="L76" s="27" t="n">
        <f aca="false">ABS((G76-H76)/G76)</f>
        <v>0.0682382133995037</v>
      </c>
    </row>
    <row r="77" customFormat="false" ht="15" hidden="false" customHeight="true" outlineLevel="0" collapsed="false">
      <c r="F77" s="6" t="n">
        <f aca="false">'📊 RawData'!D75</f>
        <v>4.3</v>
      </c>
      <c r="G77" s="6" t="n">
        <f aca="false">'📊 RawData'!G75</f>
        <v>94.3</v>
      </c>
      <c r="H77" s="6" t="n">
        <f aca="false">ROUND($B$6+$B$5*F77,1)</f>
        <v>87.9</v>
      </c>
      <c r="I77" s="20" t="n">
        <f aca="false">G77-H77</f>
        <v>6.39999999999999</v>
      </c>
      <c r="J77" s="20" t="n">
        <f aca="false">ABS(I77)</f>
        <v>6.39999999999999</v>
      </c>
      <c r="K77" s="20" t="n">
        <f aca="false">I77^2</f>
        <v>40.9599999999999</v>
      </c>
      <c r="L77" s="21" t="n">
        <f aca="false">ABS((G77-H77)/G77)</f>
        <v>0.0678685047720042</v>
      </c>
    </row>
    <row r="78" customFormat="false" ht="15" hidden="false" customHeight="true" outlineLevel="0" collapsed="false">
      <c r="F78" s="10" t="n">
        <f aca="false">'📊 RawData'!D76</f>
        <v>6.2</v>
      </c>
      <c r="G78" s="10" t="n">
        <f aca="false">'📊 RawData'!G76</f>
        <v>100</v>
      </c>
      <c r="H78" s="10" t="n">
        <f aca="false">ROUND($B$6+$B$5*F78,1)</f>
        <v>93.4</v>
      </c>
      <c r="I78" s="26" t="n">
        <f aca="false">G78-H78</f>
        <v>6.59999999999999</v>
      </c>
      <c r="J78" s="26" t="n">
        <f aca="false">ABS(I78)</f>
        <v>6.59999999999999</v>
      </c>
      <c r="K78" s="26" t="n">
        <f aca="false">I78^2</f>
        <v>43.5599999999999</v>
      </c>
      <c r="L78" s="27" t="n">
        <f aca="false">ABS((G78-H78)/G78)</f>
        <v>0.066</v>
      </c>
    </row>
    <row r="79" customFormat="false" ht="15" hidden="false" customHeight="true" outlineLevel="0" collapsed="false">
      <c r="F79" s="6" t="n">
        <f aca="false">'📊 RawData'!D77</f>
        <v>5.2</v>
      </c>
      <c r="G79" s="6" t="n">
        <f aca="false">'📊 RawData'!G77</f>
        <v>99.6</v>
      </c>
      <c r="H79" s="6" t="n">
        <f aca="false">ROUND($B$6+$B$5*F79,1)</f>
        <v>90.5</v>
      </c>
      <c r="I79" s="20" t="n">
        <f aca="false">G79-H79</f>
        <v>9.09999999999999</v>
      </c>
      <c r="J79" s="20" t="n">
        <f aca="false">ABS(I79)</f>
        <v>9.09999999999999</v>
      </c>
      <c r="K79" s="20" t="n">
        <f aca="false">I79^2</f>
        <v>82.8099999999999</v>
      </c>
      <c r="L79" s="21" t="n">
        <f aca="false">ABS((G79-H79)/G79)</f>
        <v>0.0913654618473895</v>
      </c>
    </row>
    <row r="80" customFormat="false" ht="15" hidden="false" customHeight="true" outlineLevel="0" collapsed="false">
      <c r="F80" s="10" t="n">
        <f aca="false">'📊 RawData'!D78</f>
        <v>4.9</v>
      </c>
      <c r="G80" s="10" t="n">
        <f aca="false">'📊 RawData'!G78</f>
        <v>100</v>
      </c>
      <c r="H80" s="10" t="n">
        <f aca="false">ROUND($B$6+$B$5*F80,1)</f>
        <v>89.6</v>
      </c>
      <c r="I80" s="26" t="n">
        <f aca="false">G80-H80</f>
        <v>10.4</v>
      </c>
      <c r="J80" s="26" t="n">
        <f aca="false">ABS(I80)</f>
        <v>10.4</v>
      </c>
      <c r="K80" s="26" t="n">
        <f aca="false">I80^2</f>
        <v>108.16</v>
      </c>
      <c r="L80" s="27" t="n">
        <f aca="false">ABS((G80-H80)/G80)</f>
        <v>0.104</v>
      </c>
    </row>
    <row r="81" customFormat="false" ht="15" hidden="false" customHeight="true" outlineLevel="0" collapsed="false">
      <c r="F81" s="6" t="n">
        <f aca="false">'📊 RawData'!D79</f>
        <v>4.4</v>
      </c>
      <c r="G81" s="6" t="n">
        <f aca="false">'📊 RawData'!G79</f>
        <v>96.6</v>
      </c>
      <c r="H81" s="6" t="n">
        <f aca="false">ROUND($B$6+$B$5*F81,1)</f>
        <v>88.2</v>
      </c>
      <c r="I81" s="20" t="n">
        <f aca="false">G81-H81</f>
        <v>8.39999999999999</v>
      </c>
      <c r="J81" s="20" t="n">
        <f aca="false">ABS(I81)</f>
        <v>8.39999999999999</v>
      </c>
      <c r="K81" s="20" t="n">
        <f aca="false">I81^2</f>
        <v>70.5599999999999</v>
      </c>
      <c r="L81" s="21" t="n">
        <f aca="false">ABS((G81-H81)/G81)</f>
        <v>0.0869565217391304</v>
      </c>
    </row>
    <row r="82" customFormat="false" ht="15" hidden="false" customHeight="true" outlineLevel="0" collapsed="false">
      <c r="F82" s="10" t="n">
        <f aca="false">'📊 RawData'!D80</f>
        <v>5.4</v>
      </c>
      <c r="G82" s="10" t="n">
        <f aca="false">'📊 RawData'!G80</f>
        <v>96.7</v>
      </c>
      <c r="H82" s="10" t="n">
        <f aca="false">ROUND($B$6+$B$5*F82,1)</f>
        <v>91.1</v>
      </c>
      <c r="I82" s="26" t="n">
        <f aca="false">G82-H82</f>
        <v>5.60000000000001</v>
      </c>
      <c r="J82" s="26" t="n">
        <f aca="false">ABS(I82)</f>
        <v>5.60000000000001</v>
      </c>
      <c r="K82" s="26" t="n">
        <f aca="false">I82^2</f>
        <v>31.3600000000001</v>
      </c>
      <c r="L82" s="27" t="n">
        <f aca="false">ABS((G82-H82)/G82)</f>
        <v>0.0579110651499484</v>
      </c>
    </row>
    <row r="83" customFormat="false" ht="15" hidden="false" customHeight="true" outlineLevel="0" collapsed="false">
      <c r="F83" s="6" t="n">
        <f aca="false">'📊 RawData'!D81</f>
        <v>3.8</v>
      </c>
      <c r="G83" s="6" t="n">
        <f aca="false">'📊 RawData'!G81</f>
        <v>92.6</v>
      </c>
      <c r="H83" s="6" t="n">
        <f aca="false">ROUND($B$6+$B$5*F83,1)</f>
        <v>86.4</v>
      </c>
      <c r="I83" s="20" t="n">
        <f aca="false">G83-H83</f>
        <v>6.19999999999999</v>
      </c>
      <c r="J83" s="20" t="n">
        <f aca="false">ABS(I83)</f>
        <v>6.19999999999999</v>
      </c>
      <c r="K83" s="20" t="n">
        <f aca="false">I83^2</f>
        <v>38.4399999999999</v>
      </c>
      <c r="L83" s="21" t="n">
        <f aca="false">ABS((G83-H83)/G83)</f>
        <v>0.0669546436285096</v>
      </c>
    </row>
    <row r="84" customFormat="false" ht="15" hidden="false" customHeight="true" outlineLevel="0" collapsed="false">
      <c r="F84" s="10" t="n">
        <f aca="false">'📊 RawData'!D82</f>
        <v>5.1</v>
      </c>
      <c r="G84" s="10" t="n">
        <f aca="false">'📊 RawData'!G82</f>
        <v>90.7</v>
      </c>
      <c r="H84" s="10" t="n">
        <f aca="false">ROUND($B$6+$B$5*F84,1)</f>
        <v>90.2</v>
      </c>
      <c r="I84" s="26" t="n">
        <f aca="false">G84-H84</f>
        <v>0.5</v>
      </c>
      <c r="J84" s="26" t="n">
        <f aca="false">ABS(I84)</f>
        <v>0.5</v>
      </c>
      <c r="K84" s="26" t="n">
        <f aca="false">I84^2</f>
        <v>0.25</v>
      </c>
      <c r="L84" s="27" t="n">
        <f aca="false">ABS((G84-H84)/G84)</f>
        <v>0.00551267916207277</v>
      </c>
    </row>
    <row r="85" customFormat="false" ht="18" hidden="false" customHeight="true" outlineLevel="0" collapsed="false">
      <c r="A85" s="39" t="s">
        <v>125</v>
      </c>
      <c r="B85" s="39"/>
      <c r="C85" s="39"/>
      <c r="D85" s="39"/>
      <c r="E85" s="39"/>
      <c r="F85" s="40" t="n">
        <f aca="false">AVERAGE(F5:F84)</f>
        <v>4.795</v>
      </c>
      <c r="G85" s="40" t="n">
        <f aca="false">AVERAGE(G5:G84)</f>
        <v>89.31</v>
      </c>
      <c r="H85" s="40" t="n">
        <f aca="false">AVERAGE(H5:H84)</f>
        <v>89.31375</v>
      </c>
      <c r="I85" s="41" t="n">
        <f aca="false">AVERAGE(I5:I84)</f>
        <v>-0.00375000000000085</v>
      </c>
      <c r="J85" s="3" t="n">
        <f aca="false">AVERAGE(J5:J84)</f>
        <v>5.40625</v>
      </c>
      <c r="K85" s="3" t="n">
        <f aca="false">SQRT(AVERAGE(K5:K84))</f>
        <v>6.54074728146563</v>
      </c>
      <c r="L85" s="42" t="n">
        <f aca="false">AVERAGE(L5:L84)</f>
        <v>0.0624446976679052</v>
      </c>
    </row>
  </sheetData>
  <mergeCells count="9">
    <mergeCell ref="A1:L1"/>
    <mergeCell ref="A2:L2"/>
    <mergeCell ref="F3:L3"/>
    <mergeCell ref="A4:D4"/>
    <mergeCell ref="A12:D12"/>
    <mergeCell ref="A13:D13"/>
    <mergeCell ref="A15:D18"/>
    <mergeCell ref="A20:D20"/>
    <mergeCell ref="A85:E8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84F00"/>
    <pageSetUpPr fitToPage="false"/>
  </sheetPr>
  <dimension ref="A1:J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13"/>
    <col collapsed="false" customWidth="true" hidden="false" outlineLevel="0" max="4" min="3" style="1" width="12"/>
    <col collapsed="false" customWidth="true" hidden="false" outlineLevel="0" max="5" min="5" style="1" width="16"/>
    <col collapsed="false" customWidth="true" hidden="false" outlineLevel="0" max="7" min="6" style="1" width="13"/>
    <col collapsed="false" customWidth="true" hidden="false" outlineLevel="0" max="8" min="8" style="1" width="14"/>
    <col collapsed="false" customWidth="true" hidden="false" outlineLevel="0" max="9" min="9" style="1" width="40"/>
  </cols>
  <sheetData>
    <row r="1" customFormat="false" ht="27.75" hidden="false" customHeight="true" outlineLevel="0" collapsed="false">
      <c r="A1" s="43" t="s">
        <v>126</v>
      </c>
      <c r="B1" s="43"/>
      <c r="C1" s="43"/>
      <c r="D1" s="43"/>
      <c r="E1" s="43"/>
      <c r="F1" s="43"/>
      <c r="G1" s="43"/>
      <c r="H1" s="43"/>
      <c r="I1" s="43"/>
      <c r="J1" s="43"/>
    </row>
    <row r="2" customFormat="false" ht="18" hidden="false" customHeight="true" outlineLevel="0" collapsed="false">
      <c r="A2" s="44" t="s">
        <v>127</v>
      </c>
      <c r="B2" s="44"/>
      <c r="C2" s="44"/>
      <c r="D2" s="44"/>
      <c r="E2" s="44"/>
      <c r="F2" s="44"/>
      <c r="G2" s="44"/>
      <c r="H2" s="44"/>
      <c r="I2" s="44"/>
      <c r="J2" s="44"/>
    </row>
    <row r="4" customFormat="false" ht="21.75" hidden="false" customHeight="true" outlineLevel="0" collapsed="false">
      <c r="A4" s="45" t="s">
        <v>128</v>
      </c>
      <c r="B4" s="45"/>
      <c r="C4" s="45"/>
      <c r="D4" s="45"/>
      <c r="E4" s="45"/>
      <c r="F4" s="45"/>
      <c r="G4" s="45"/>
      <c r="H4" s="45"/>
      <c r="I4" s="45"/>
      <c r="J4" s="45"/>
    </row>
    <row r="5" customFormat="false" ht="15" hidden="false" customHeight="true" outlineLevel="0" collapsed="false">
      <c r="A5" s="46" t="s">
        <v>129</v>
      </c>
      <c r="B5" s="46" t="s">
        <v>130</v>
      </c>
      <c r="C5" s="46" t="s">
        <v>131</v>
      </c>
      <c r="D5" s="46" t="s">
        <v>132</v>
      </c>
      <c r="E5" s="46" t="s">
        <v>133</v>
      </c>
    </row>
    <row r="6" customFormat="false" ht="21.75" hidden="false" customHeight="true" outlineLevel="0" collapsed="false">
      <c r="A6" s="16" t="s">
        <v>134</v>
      </c>
      <c r="B6" s="47" t="n">
        <f aca="false">CORREL('📊 RawData'!G3:G82,'📊 RawData'!D3:D82)</f>
        <v>0.591007118121151</v>
      </c>
      <c r="C6" s="48" t="s">
        <v>135</v>
      </c>
      <c r="D6" s="49" t="s">
        <v>136</v>
      </c>
    </row>
    <row r="7" customFormat="false" ht="21.75" hidden="false" customHeight="true" outlineLevel="0" collapsed="false">
      <c r="A7" s="22" t="s">
        <v>137</v>
      </c>
      <c r="B7" s="50" t="n">
        <f aca="false">RSQ('📊 RawData'!G3:G82,'📊 RawData'!D3:D82)</f>
        <v>0.349289413669868</v>
      </c>
      <c r="C7" s="51" t="s">
        <v>138</v>
      </c>
      <c r="D7" s="52" t="s">
        <v>139</v>
      </c>
    </row>
    <row r="8" customFormat="false" ht="21.75" hidden="false" customHeight="true" outlineLevel="0" collapsed="false">
      <c r="A8" s="16" t="s">
        <v>140</v>
      </c>
      <c r="B8" s="47" t="n">
        <f aca="false">1-(1-B7)*(80-1)/(80-1-1)</f>
        <v>0.340946970255379</v>
      </c>
      <c r="C8" s="48" t="s">
        <v>141</v>
      </c>
      <c r="D8" s="49" t="s">
        <v>142</v>
      </c>
    </row>
    <row r="9" customFormat="false" ht="21.75" hidden="false" customHeight="true" outlineLevel="0" collapsed="false">
      <c r="A9" s="22" t="s">
        <v>143</v>
      </c>
      <c r="B9" s="53" t="n">
        <v>6.6288</v>
      </c>
      <c r="C9" s="51" t="s">
        <v>144</v>
      </c>
      <c r="D9" s="52" t="s">
        <v>145</v>
      </c>
    </row>
    <row r="10" customFormat="false" ht="21.75" hidden="false" customHeight="true" outlineLevel="0" collapsed="false">
      <c r="A10" s="16" t="s">
        <v>146</v>
      </c>
      <c r="B10" s="54" t="n">
        <f aca="false">COUNT('📊 RawData'!D3:D82)</f>
        <v>80</v>
      </c>
      <c r="C10" s="48" t="s">
        <v>147</v>
      </c>
      <c r="D10" s="49" t="s">
        <v>148</v>
      </c>
    </row>
    <row r="12" customFormat="false" ht="21.75" hidden="false" customHeight="true" outlineLevel="0" collapsed="false">
      <c r="A12" s="14" t="s">
        <v>149</v>
      </c>
      <c r="B12" s="14"/>
      <c r="C12" s="14"/>
      <c r="D12" s="14"/>
      <c r="E12" s="14"/>
      <c r="F12" s="14"/>
      <c r="G12" s="14"/>
      <c r="H12" s="14"/>
      <c r="I12" s="14"/>
      <c r="J12" s="14"/>
    </row>
    <row r="13" customFormat="false" ht="15" hidden="false" customHeight="true" outlineLevel="0" collapsed="false">
      <c r="A13" s="15" t="s">
        <v>150</v>
      </c>
      <c r="B13" s="15" t="s">
        <v>151</v>
      </c>
      <c r="C13" s="15" t="s">
        <v>152</v>
      </c>
      <c r="D13" s="15" t="s">
        <v>153</v>
      </c>
      <c r="E13" s="15" t="s">
        <v>154</v>
      </c>
      <c r="F13" s="15" t="s">
        <v>155</v>
      </c>
      <c r="G13" s="15" t="s">
        <v>156</v>
      </c>
    </row>
    <row r="14" customFormat="false" ht="24" hidden="false" customHeight="true" outlineLevel="0" collapsed="false">
      <c r="A14" s="55" t="s">
        <v>157</v>
      </c>
      <c r="B14" s="56" t="s">
        <v>158</v>
      </c>
      <c r="C14" s="57" t="n">
        <f aca="false">B7*DEVSQ('📊 RawData'!G3:G82)</f>
        <v>1839.78837694316</v>
      </c>
      <c r="D14" s="57" t="n">
        <f aca="false">C14/B14</f>
        <v>1839.78837694316</v>
      </c>
      <c r="E14" s="57" t="n">
        <f aca="false">D14/D15</f>
        <v>41.8689580876549</v>
      </c>
      <c r="F14" s="58" t="str">
        <f aca="false">IF(E14&gt;3.96,"&lt; 0.05 ✓ SIGNIFICANT","≥ 0.05 ✗ NOT SIG")</f>
        <v>&lt; 0.05 ✓ SIGNIFICANT</v>
      </c>
      <c r="G14" s="59" t="s">
        <v>159</v>
      </c>
    </row>
    <row r="15" customFormat="false" ht="24" hidden="false" customHeight="true" outlineLevel="0" collapsed="false">
      <c r="A15" s="22" t="s">
        <v>101</v>
      </c>
      <c r="B15" s="8" t="s">
        <v>160</v>
      </c>
      <c r="C15" s="10" t="n">
        <f aca="false">(1-B7)*DEVSQ('📊 RawData'!G3:G82)</f>
        <v>3427.44362305684</v>
      </c>
      <c r="D15" s="10" t="n">
        <f aca="false">C15/B15</f>
        <v>43.9415849109851</v>
      </c>
      <c r="E15" s="8" t="s">
        <v>161</v>
      </c>
      <c r="F15" s="8" t="s">
        <v>161</v>
      </c>
      <c r="G15" s="9" t="s">
        <v>162</v>
      </c>
    </row>
    <row r="16" customFormat="false" ht="24" hidden="false" customHeight="true" outlineLevel="0" collapsed="false">
      <c r="A16" s="55" t="s">
        <v>163</v>
      </c>
      <c r="B16" s="60" t="s">
        <v>164</v>
      </c>
      <c r="C16" s="61" t="n">
        <f aca="false">DEVSQ('📊 RawData'!G3:G82)</f>
        <v>5267.232</v>
      </c>
      <c r="D16" s="60" t="s">
        <v>161</v>
      </c>
      <c r="E16" s="60" t="s">
        <v>161</v>
      </c>
      <c r="F16" s="60" t="s">
        <v>161</v>
      </c>
      <c r="G16" s="55" t="s">
        <v>165</v>
      </c>
    </row>
    <row r="18" customFormat="false" ht="21.75" hidden="false" customHeight="true" outlineLevel="0" collapsed="false">
      <c r="A18" s="33" t="s">
        <v>166</v>
      </c>
      <c r="B18" s="33"/>
      <c r="C18" s="33"/>
      <c r="D18" s="33"/>
      <c r="E18" s="33"/>
      <c r="F18" s="33"/>
      <c r="G18" s="33"/>
      <c r="H18" s="33"/>
      <c r="I18" s="33"/>
      <c r="J18" s="33"/>
    </row>
    <row r="19" customFormat="false" ht="19.5" hidden="false" customHeight="true" outlineLevel="0" collapsed="false">
      <c r="A19" s="34" t="s">
        <v>167</v>
      </c>
      <c r="B19" s="34" t="s">
        <v>168</v>
      </c>
      <c r="C19" s="34" t="s">
        <v>114</v>
      </c>
      <c r="D19" s="34" t="s">
        <v>169</v>
      </c>
      <c r="E19" s="34" t="s">
        <v>170</v>
      </c>
      <c r="F19" s="34" t="s">
        <v>171</v>
      </c>
      <c r="G19" s="34" t="s">
        <v>172</v>
      </c>
      <c r="H19" s="34" t="s">
        <v>173</v>
      </c>
      <c r="I19" s="34" t="s">
        <v>156</v>
      </c>
    </row>
    <row r="20" customFormat="false" ht="24" hidden="false" customHeight="true" outlineLevel="0" collapsed="false">
      <c r="A20" s="16" t="s">
        <v>174</v>
      </c>
      <c r="B20" s="62" t="n">
        <f aca="false">INTERCEPT('📊 RawData'!G3:G82,'📊 RawData'!D3:D82)</f>
        <v>75.2407055751575</v>
      </c>
      <c r="C20" s="63" t="n">
        <f aca="false">B9/4</f>
        <v>1.6572</v>
      </c>
      <c r="D20" s="20" t="n">
        <f aca="false">B20/C20</f>
        <v>45.402308457131</v>
      </c>
      <c r="E20" s="4" t="str">
        <f aca="false">IF(ABS(D20)&gt;2,"&lt; 0.05 ✓","≥ 0.05 ✗")</f>
        <v>&lt; 0.05 ✓</v>
      </c>
      <c r="F20" s="63" t="n">
        <f aca="false">B20-1.96*C20</f>
        <v>71.9925935751575</v>
      </c>
      <c r="G20" s="63" t="n">
        <f aca="false">B20+1.96*C20</f>
        <v>78.4888175751575</v>
      </c>
      <c r="H20" s="18" t="str">
        <f aca="false">IF(ABS(D20)&gt;2,"✓ YES","✗ NO")</f>
        <v>✓ YES</v>
      </c>
      <c r="I20" s="48" t="s">
        <v>175</v>
      </c>
    </row>
    <row r="21" customFormat="false" ht="24" hidden="false" customHeight="true" outlineLevel="0" collapsed="false">
      <c r="A21" s="22" t="s">
        <v>4</v>
      </c>
      <c r="B21" s="64" t="n">
        <f aca="false">SLOPE('📊 RawData'!G3:G82,'📊 RawData'!D3:D82)</f>
        <v>2.93415942123932</v>
      </c>
      <c r="C21" s="65" t="n">
        <f aca="false">STDEV('📊 RawData'!G3:G82)*SQRT(1-RSQ('📊 RawData'!G3:G82,'📊 RawData'!D3:D82))*SQRT(79/78)</f>
        <v>6.62884491529143</v>
      </c>
      <c r="D21" s="26" t="n">
        <f aca="false">B21/C21</f>
        <v>0.442635098382042</v>
      </c>
      <c r="E21" s="8" t="str">
        <f aca="false">IF(ABS(D21)&gt;2,"&lt; 0.05 ✓","≥ 0.05 ✗")</f>
        <v>≥ 0.05 ✗</v>
      </c>
      <c r="F21" s="65" t="n">
        <f aca="false">B21-1.96*C21</f>
        <v>-10.0583766127319</v>
      </c>
      <c r="G21" s="65" t="n">
        <f aca="false">B21+1.96*C21</f>
        <v>15.9266954552105</v>
      </c>
      <c r="H21" s="24" t="str">
        <f aca="false">IF(ABS(D21)&gt;2,"✓ YES","✗ NO")</f>
        <v>✗ NO</v>
      </c>
      <c r="I21" s="51" t="s">
        <v>176</v>
      </c>
    </row>
    <row r="23" customFormat="false" ht="21.75" hidden="false" customHeight="true" outlineLevel="0" collapsed="false">
      <c r="A23" s="66" t="s">
        <v>177</v>
      </c>
      <c r="B23" s="66"/>
      <c r="C23" s="66"/>
      <c r="D23" s="66"/>
      <c r="E23" s="66"/>
      <c r="F23" s="66"/>
      <c r="G23" s="66"/>
      <c r="H23" s="66"/>
      <c r="I23" s="66"/>
      <c r="J23" s="66"/>
    </row>
    <row r="24" customFormat="false" ht="21.75" hidden="false" customHeight="true" outlineLevel="0" collapsed="false">
      <c r="A24" s="67" t="s">
        <v>178</v>
      </c>
      <c r="B24" s="18" t="s">
        <v>179</v>
      </c>
      <c r="C24" s="68" t="s">
        <v>180</v>
      </c>
      <c r="D24" s="68"/>
      <c r="E24" s="68"/>
      <c r="F24" s="68"/>
      <c r="G24" s="68"/>
      <c r="H24" s="68"/>
      <c r="I24" s="68"/>
      <c r="J24" s="68"/>
    </row>
    <row r="25" customFormat="false" ht="21.75" hidden="false" customHeight="true" outlineLevel="0" collapsed="false">
      <c r="A25" s="69" t="s">
        <v>181</v>
      </c>
      <c r="B25" s="24" t="s">
        <v>179</v>
      </c>
      <c r="C25" s="70" t="s">
        <v>182</v>
      </c>
      <c r="D25" s="70"/>
      <c r="E25" s="70"/>
      <c r="F25" s="70"/>
      <c r="G25" s="70"/>
      <c r="H25" s="70"/>
      <c r="I25" s="70"/>
      <c r="J25" s="70"/>
    </row>
    <row r="26" customFormat="false" ht="21.75" hidden="false" customHeight="true" outlineLevel="0" collapsed="false">
      <c r="A26" s="67" t="s">
        <v>183</v>
      </c>
      <c r="B26" s="18" t="s">
        <v>179</v>
      </c>
      <c r="C26" s="68" t="s">
        <v>184</v>
      </c>
      <c r="D26" s="68"/>
      <c r="E26" s="68"/>
      <c r="F26" s="68"/>
      <c r="G26" s="68"/>
      <c r="H26" s="68"/>
      <c r="I26" s="68"/>
      <c r="J26" s="68"/>
    </row>
    <row r="27" customFormat="false" ht="21.75" hidden="false" customHeight="true" outlineLevel="0" collapsed="false">
      <c r="A27" s="69" t="s">
        <v>185</v>
      </c>
      <c r="B27" s="24" t="s">
        <v>179</v>
      </c>
      <c r="C27" s="70" t="s">
        <v>186</v>
      </c>
      <c r="D27" s="70"/>
      <c r="E27" s="70"/>
      <c r="F27" s="70"/>
      <c r="G27" s="70"/>
      <c r="H27" s="70"/>
      <c r="I27" s="70"/>
      <c r="J27" s="70"/>
    </row>
    <row r="28" customFormat="false" ht="21.75" hidden="false" customHeight="true" outlineLevel="0" collapsed="false">
      <c r="A28" s="67" t="s">
        <v>187</v>
      </c>
      <c r="B28" s="18" t="s">
        <v>179</v>
      </c>
      <c r="C28" s="68" t="s">
        <v>188</v>
      </c>
      <c r="D28" s="68"/>
      <c r="E28" s="68"/>
      <c r="F28" s="68"/>
      <c r="G28" s="68"/>
      <c r="H28" s="68"/>
      <c r="I28" s="68"/>
      <c r="J28" s="68"/>
    </row>
    <row r="29" customFormat="false" ht="21.75" hidden="false" customHeight="true" outlineLevel="0" collapsed="false">
      <c r="A29" s="69" t="s">
        <v>189</v>
      </c>
      <c r="B29" s="24" t="s">
        <v>179</v>
      </c>
      <c r="C29" s="70" t="s">
        <v>190</v>
      </c>
      <c r="D29" s="70"/>
      <c r="E29" s="70"/>
      <c r="F29" s="70"/>
      <c r="G29" s="70"/>
      <c r="H29" s="70"/>
      <c r="I29" s="70"/>
      <c r="J29" s="70"/>
    </row>
  </sheetData>
  <mergeCells count="12">
    <mergeCell ref="A1:J1"/>
    <mergeCell ref="A2:J2"/>
    <mergeCell ref="A4:J4"/>
    <mergeCell ref="A12:J12"/>
    <mergeCell ref="A18:J18"/>
    <mergeCell ref="A23:J23"/>
    <mergeCell ref="C24:J24"/>
    <mergeCell ref="C25:J25"/>
    <mergeCell ref="C26:J26"/>
    <mergeCell ref="C27:J27"/>
    <mergeCell ref="C28:J28"/>
    <mergeCell ref="C29:J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E35B1"/>
    <pageSetUpPr fitToPage="false"/>
  </sheetPr>
  <dimension ref="A1:N8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26"/>
    <col collapsed="false" customWidth="true" hidden="false" outlineLevel="0" max="4" min="3" style="1" width="14"/>
    <col collapsed="false" customWidth="true" hidden="false" outlineLevel="0" max="5" min="5" style="1" width="4"/>
    <col collapsed="false" customWidth="true" hidden="false" outlineLevel="0" max="7" min="6" style="1" width="10"/>
    <col collapsed="false" customWidth="true" hidden="false" outlineLevel="0" max="8" min="8" style="1" width="8"/>
    <col collapsed="false" customWidth="true" hidden="false" outlineLevel="0" max="9" min="9" style="1" width="10"/>
    <col collapsed="false" customWidth="true" hidden="false" outlineLevel="0" max="10" min="10" style="1" width="11"/>
    <col collapsed="false" customWidth="true" hidden="false" outlineLevel="0" max="14" min="11" style="1" width="10"/>
  </cols>
  <sheetData>
    <row r="1" customFormat="false" ht="27.75" hidden="false" customHeight="true" outlineLevel="0" collapsed="false">
      <c r="A1" s="71" t="s">
        <v>191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</row>
    <row r="2" customFormat="false" ht="18" hidden="false" customHeight="true" outlineLevel="0" collapsed="false">
      <c r="A2" s="72" t="s">
        <v>192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</row>
    <row r="4" customFormat="false" ht="21.75" hidden="false" customHeight="true" outlineLevel="0" collapsed="false">
      <c r="A4" s="66" t="s">
        <v>193</v>
      </c>
      <c r="B4" s="66"/>
      <c r="C4" s="66"/>
      <c r="D4" s="66"/>
      <c r="F4" s="66" t="s">
        <v>194</v>
      </c>
      <c r="G4" s="66"/>
      <c r="H4" s="66"/>
      <c r="I4" s="66"/>
      <c r="J4" s="66"/>
      <c r="K4" s="66"/>
      <c r="L4" s="66"/>
      <c r="M4" s="66"/>
      <c r="N4" s="66"/>
    </row>
    <row r="5" customFormat="false" ht="19.5" hidden="false" customHeight="true" outlineLevel="0" collapsed="false">
      <c r="A5" s="73" t="s">
        <v>195</v>
      </c>
      <c r="B5" s="73" t="s">
        <v>130</v>
      </c>
      <c r="C5" s="73" t="s">
        <v>196</v>
      </c>
      <c r="D5" s="73" t="s">
        <v>197</v>
      </c>
      <c r="F5" s="73" t="s">
        <v>198</v>
      </c>
      <c r="G5" s="73" t="s">
        <v>199</v>
      </c>
      <c r="H5" s="73" t="s">
        <v>9</v>
      </c>
      <c r="I5" s="73" t="s">
        <v>99</v>
      </c>
      <c r="J5" s="73" t="s">
        <v>200</v>
      </c>
      <c r="K5" s="73" t="s">
        <v>101</v>
      </c>
      <c r="L5" s="73" t="s">
        <v>201</v>
      </c>
      <c r="M5" s="73" t="s">
        <v>202</v>
      </c>
      <c r="N5" s="73" t="s">
        <v>203</v>
      </c>
    </row>
    <row r="6" customFormat="false" ht="15" hidden="false" customHeight="true" outlineLevel="0" collapsed="false">
      <c r="A6" s="16" t="s">
        <v>108</v>
      </c>
      <c r="B6" s="74" t="s">
        <v>204</v>
      </c>
      <c r="C6" s="75" t="s">
        <v>205</v>
      </c>
      <c r="D6" s="76" t="s">
        <v>206</v>
      </c>
      <c r="F6" s="6" t="n">
        <f aca="false">'📊 RawData'!D3</f>
        <v>5.3</v>
      </c>
      <c r="G6" s="6" t="n">
        <f aca="false">'📊 RawData'!E3</f>
        <v>84.6</v>
      </c>
      <c r="H6" s="4" t="n">
        <f aca="false">'📊 RawData'!I3</f>
        <v>0</v>
      </c>
      <c r="I6" s="6" t="n">
        <f aca="false">'📊 RawData'!G3</f>
        <v>100</v>
      </c>
      <c r="J6" s="77" t="n">
        <f aca="false">ROUND($B$6+$B$7*F6+$B$8*G6+$B$9*H6,1)</f>
        <v>90.7</v>
      </c>
      <c r="K6" s="20" t="n">
        <f aca="false">I6-J6</f>
        <v>9.3</v>
      </c>
      <c r="L6" s="20" t="n">
        <f aca="false">ABS(K6)</f>
        <v>9.3</v>
      </c>
      <c r="M6" s="20" t="n">
        <f aca="false">K6^2</f>
        <v>86.49</v>
      </c>
      <c r="N6" s="21" t="n">
        <f aca="false">ABS((I6-J6)/I6)</f>
        <v>0.093</v>
      </c>
    </row>
    <row r="7" customFormat="false" ht="15" hidden="false" customHeight="true" outlineLevel="0" collapsed="false">
      <c r="A7" s="22" t="s">
        <v>207</v>
      </c>
      <c r="B7" s="78" t="s">
        <v>208</v>
      </c>
      <c r="C7" s="79" t="s">
        <v>209</v>
      </c>
      <c r="D7" s="80" t="s">
        <v>210</v>
      </c>
      <c r="F7" s="10" t="n">
        <f aca="false">'📊 RawData'!D4</f>
        <v>3</v>
      </c>
      <c r="G7" s="10" t="n">
        <f aca="false">'📊 RawData'!E4</f>
        <v>89.2</v>
      </c>
      <c r="H7" s="8" t="n">
        <f aca="false">'📊 RawData'!I4</f>
        <v>1</v>
      </c>
      <c r="I7" s="10" t="n">
        <f aca="false">'📊 RawData'!G4</f>
        <v>84.8</v>
      </c>
      <c r="J7" s="81" t="n">
        <f aca="false">ROUND($B$6+$B$7*F7+$B$8*G7+$B$9*H7,1)</f>
        <v>90.1</v>
      </c>
      <c r="K7" s="26" t="n">
        <f aca="false">I7-J7</f>
        <v>-5.3</v>
      </c>
      <c r="L7" s="26" t="n">
        <f aca="false">ABS(K7)</f>
        <v>5.3</v>
      </c>
      <c r="M7" s="26" t="n">
        <f aca="false">K7^2</f>
        <v>28.09</v>
      </c>
      <c r="N7" s="27" t="n">
        <f aca="false">ABS((I7-J7)/I7)</f>
        <v>0.0625</v>
      </c>
    </row>
    <row r="8" customFormat="false" ht="15" hidden="false" customHeight="true" outlineLevel="0" collapsed="false">
      <c r="A8" s="16" t="s">
        <v>211</v>
      </c>
      <c r="B8" s="74" t="s">
        <v>212</v>
      </c>
      <c r="C8" s="75" t="s">
        <v>213</v>
      </c>
      <c r="D8" s="76" t="s">
        <v>214</v>
      </c>
      <c r="F8" s="6" t="n">
        <f aca="false">'📊 RawData'!D5</f>
        <v>2.8</v>
      </c>
      <c r="G8" s="6" t="n">
        <f aca="false">'📊 RawData'!E5</f>
        <v>85.2</v>
      </c>
      <c r="H8" s="4" t="n">
        <f aca="false">'📊 RawData'!I5</f>
        <v>0</v>
      </c>
      <c r="I8" s="6" t="n">
        <f aca="false">'📊 RawData'!G5</f>
        <v>92.8</v>
      </c>
      <c r="J8" s="77" t="n">
        <f aca="false">ROUND($B$6+$B$7*F8+$B$8*G8+$B$9*H8,1)</f>
        <v>83.6</v>
      </c>
      <c r="K8" s="20" t="n">
        <f aca="false">I8-J8</f>
        <v>9.2</v>
      </c>
      <c r="L8" s="20" t="n">
        <f aca="false">ABS(K8)</f>
        <v>9.2</v>
      </c>
      <c r="M8" s="20" t="n">
        <f aca="false">K8^2</f>
        <v>84.6400000000001</v>
      </c>
      <c r="N8" s="21" t="n">
        <f aca="false">ABS((I8-J8)/I8)</f>
        <v>0.0991379310344828</v>
      </c>
    </row>
    <row r="9" customFormat="false" ht="15" hidden="false" customHeight="true" outlineLevel="0" collapsed="false">
      <c r="A9" s="22" t="s">
        <v>215</v>
      </c>
      <c r="B9" s="78" t="s">
        <v>216</v>
      </c>
      <c r="C9" s="79" t="s">
        <v>217</v>
      </c>
      <c r="D9" s="80" t="s">
        <v>218</v>
      </c>
      <c r="F9" s="10" t="n">
        <f aca="false">'📊 RawData'!D6</f>
        <v>2.9</v>
      </c>
      <c r="G9" s="10" t="n">
        <f aca="false">'📊 RawData'!E6</f>
        <v>88.8</v>
      </c>
      <c r="H9" s="8" t="n">
        <f aca="false">'📊 RawData'!I6</f>
        <v>0</v>
      </c>
      <c r="I9" s="10" t="n">
        <f aca="false">'📊 RawData'!G6</f>
        <v>88.9</v>
      </c>
      <c r="J9" s="81" t="n">
        <f aca="false">ROUND($B$6+$B$7*F9+$B$8*G9+$B$9*H9,1)</f>
        <v>85.1</v>
      </c>
      <c r="K9" s="26" t="n">
        <f aca="false">I9-J9</f>
        <v>3.80000000000001</v>
      </c>
      <c r="L9" s="26" t="n">
        <f aca="false">ABS(K9)</f>
        <v>3.80000000000001</v>
      </c>
      <c r="M9" s="26" t="n">
        <f aca="false">K9^2</f>
        <v>14.4400000000001</v>
      </c>
      <c r="N9" s="27" t="n">
        <f aca="false">ABS((I9-J9)/I9)</f>
        <v>0.0427446569178854</v>
      </c>
    </row>
    <row r="10" customFormat="false" ht="15" hidden="false" customHeight="true" outlineLevel="0" collapsed="false">
      <c r="A10" s="16" t="s">
        <v>219</v>
      </c>
      <c r="B10" s="74" t="s">
        <v>220</v>
      </c>
      <c r="C10" s="75" t="s">
        <v>221</v>
      </c>
      <c r="D10" s="76" t="s">
        <v>222</v>
      </c>
      <c r="F10" s="6" t="n">
        <f aca="false">'📊 RawData'!D7</f>
        <v>2.7</v>
      </c>
      <c r="G10" s="6" t="n">
        <f aca="false">'📊 RawData'!E7</f>
        <v>100</v>
      </c>
      <c r="H10" s="4" t="n">
        <f aca="false">'📊 RawData'!I7</f>
        <v>0</v>
      </c>
      <c r="I10" s="6" t="n">
        <f aca="false">'📊 RawData'!G7</f>
        <v>85.5</v>
      </c>
      <c r="J10" s="77" t="n">
        <f aca="false">ROUND($B$6+$B$7*F10+$B$8*G10+$B$9*H10,1)</f>
        <v>88.1</v>
      </c>
      <c r="K10" s="20" t="n">
        <f aca="false">I10-J10</f>
        <v>-2.59999999999999</v>
      </c>
      <c r="L10" s="20" t="n">
        <f aca="false">ABS(K10)</f>
        <v>2.59999999999999</v>
      </c>
      <c r="M10" s="20" t="n">
        <f aca="false">K10^2</f>
        <v>6.75999999999997</v>
      </c>
      <c r="N10" s="21" t="n">
        <f aca="false">ABS((I10-J10)/I10)</f>
        <v>0.0304093567251461</v>
      </c>
    </row>
    <row r="11" customFormat="false" ht="15" hidden="false" customHeight="true" outlineLevel="0" collapsed="false">
      <c r="A11" s="22" t="s">
        <v>223</v>
      </c>
      <c r="B11" s="82" t="n">
        <v>5.3547</v>
      </c>
      <c r="C11" s="79" t="s">
        <v>224</v>
      </c>
      <c r="D11" s="80" t="s">
        <v>225</v>
      </c>
      <c r="F11" s="10" t="n">
        <f aca="false">'📊 RawData'!D8</f>
        <v>3.8</v>
      </c>
      <c r="G11" s="10" t="n">
        <f aca="false">'📊 RawData'!E8</f>
        <v>83</v>
      </c>
      <c r="H11" s="8" t="n">
        <f aca="false">'📊 RawData'!I8</f>
        <v>0</v>
      </c>
      <c r="I11" s="10" t="n">
        <f aca="false">'📊 RawData'!G8</f>
        <v>83.9</v>
      </c>
      <c r="J11" s="81" t="n">
        <f aca="false">ROUND($B$6+$B$7*F11+$B$8*G11+$B$9*H11,1)</f>
        <v>85.8</v>
      </c>
      <c r="K11" s="26" t="n">
        <f aca="false">I11-J11</f>
        <v>-1.89999999999999</v>
      </c>
      <c r="L11" s="26" t="n">
        <f aca="false">ABS(K11)</f>
        <v>1.89999999999999</v>
      </c>
      <c r="M11" s="26" t="n">
        <f aca="false">K11^2</f>
        <v>3.60999999999997</v>
      </c>
      <c r="N11" s="27" t="n">
        <f aca="false">ABS((I11-J11)/I11)</f>
        <v>0.0226460071513706</v>
      </c>
    </row>
    <row r="12" customFormat="false" ht="15" hidden="false" customHeight="true" outlineLevel="0" collapsed="false">
      <c r="A12" s="16" t="s">
        <v>114</v>
      </c>
      <c r="B12" s="74" t="n">
        <f aca="false">SQRT(SUMXMY2('📊 RawData'!G3:G82,F6:F85)/76)</f>
        <v>87.0306736610417</v>
      </c>
      <c r="C12" s="75" t="s">
        <v>226</v>
      </c>
      <c r="D12" s="76" t="s">
        <v>115</v>
      </c>
      <c r="F12" s="6" t="n">
        <f aca="false">'📊 RawData'!D9</f>
        <v>3</v>
      </c>
      <c r="G12" s="6" t="n">
        <f aca="false">'📊 RawData'!E9</f>
        <v>75.4</v>
      </c>
      <c r="H12" s="4" t="n">
        <f aca="false">'📊 RawData'!I9</f>
        <v>0</v>
      </c>
      <c r="I12" s="6" t="n">
        <f aca="false">'📊 RawData'!G9</f>
        <v>74.2</v>
      </c>
      <c r="J12" s="77" t="n">
        <f aca="false">ROUND($B$6+$B$7*F12+$B$8*G12+$B$9*H12,1)</f>
        <v>81</v>
      </c>
      <c r="K12" s="20" t="n">
        <f aca="false">I12-J12</f>
        <v>-6.8</v>
      </c>
      <c r="L12" s="20" t="n">
        <f aca="false">ABS(K12)</f>
        <v>6.8</v>
      </c>
      <c r="M12" s="20" t="n">
        <f aca="false">K12^2</f>
        <v>46.24</v>
      </c>
      <c r="N12" s="21" t="n">
        <f aca="false">ABS((I12-J12)/I12)</f>
        <v>0.091644204851752</v>
      </c>
    </row>
    <row r="13" customFormat="false" ht="15" hidden="false" customHeight="true" outlineLevel="0" collapsed="false">
      <c r="F13" s="10" t="n">
        <f aca="false">'📊 RawData'!D10</f>
        <v>4.2</v>
      </c>
      <c r="G13" s="10" t="n">
        <f aca="false">'📊 RawData'!E10</f>
        <v>84</v>
      </c>
      <c r="H13" s="8" t="n">
        <f aca="false">'📊 RawData'!I10</f>
        <v>0</v>
      </c>
      <c r="I13" s="10" t="n">
        <f aca="false">'📊 RawData'!G10</f>
        <v>85</v>
      </c>
      <c r="J13" s="81" t="n">
        <f aca="false">ROUND($B$6+$B$7*F13+$B$8*G13+$B$9*H13,1)</f>
        <v>87.3</v>
      </c>
      <c r="K13" s="26" t="n">
        <f aca="false">I13-J13</f>
        <v>-2.3</v>
      </c>
      <c r="L13" s="26" t="n">
        <f aca="false">ABS(K13)</f>
        <v>2.3</v>
      </c>
      <c r="M13" s="26" t="n">
        <f aca="false">K13^2</f>
        <v>5.28999999999999</v>
      </c>
      <c r="N13" s="27" t="n">
        <f aca="false">ABS((I13-J13)/I13)</f>
        <v>0.0270588235294117</v>
      </c>
    </row>
    <row r="14" customFormat="false" ht="15" hidden="false" customHeight="true" outlineLevel="0" collapsed="false">
      <c r="A14" s="83" t="s">
        <v>227</v>
      </c>
      <c r="B14" s="83"/>
      <c r="C14" s="83"/>
      <c r="D14" s="83"/>
      <c r="F14" s="6" t="n">
        <f aca="false">'📊 RawData'!D11</f>
        <v>0.8</v>
      </c>
      <c r="G14" s="6" t="n">
        <f aca="false">'📊 RawData'!E11</f>
        <v>60.3</v>
      </c>
      <c r="H14" s="4" t="n">
        <f aca="false">'📊 RawData'!I11</f>
        <v>0</v>
      </c>
      <c r="I14" s="6" t="n">
        <f aca="false">'📊 RawData'!G11</f>
        <v>64</v>
      </c>
      <c r="J14" s="77" t="n">
        <f aca="false">ROUND($B$6+$B$7*F14+$B$8*G14+$B$9*H14,1)</f>
        <v>69.6</v>
      </c>
      <c r="K14" s="20" t="n">
        <f aca="false">I14-J14</f>
        <v>-5.59999999999999</v>
      </c>
      <c r="L14" s="20" t="n">
        <f aca="false">ABS(K14)</f>
        <v>5.59999999999999</v>
      </c>
      <c r="M14" s="20" t="n">
        <f aca="false">K14^2</f>
        <v>31.3599999999999</v>
      </c>
      <c r="N14" s="21" t="n">
        <f aca="false">ABS((I14-J14)/I14)</f>
        <v>0.0874999999999999</v>
      </c>
    </row>
    <row r="15" customFormat="false" ht="15" hidden="false" customHeight="true" outlineLevel="0" collapsed="false">
      <c r="A15" s="84" t="str">
        <f aca="false">CONCATENATE("Score = ",TEXT(B6,"0.00")," + ",TEXT(B7,"0.00")," × StudyHours + ",TEXT(B8,"0.00")," × Attendance + ",TEXT(B9,"0.00")," × Is_Eng")</f>
        <v>Score = 47.57 + 2.93 × StudyHours + 0.33 × Attendance + 4.63 × Is_Eng</v>
      </c>
      <c r="B15" s="84"/>
      <c r="C15" s="84"/>
      <c r="D15" s="84"/>
      <c r="F15" s="10" t="n">
        <f aca="false">'📊 RawData'!D12</f>
        <v>7</v>
      </c>
      <c r="G15" s="10" t="n">
        <f aca="false">'📊 RawData'!E12</f>
        <v>79.8</v>
      </c>
      <c r="H15" s="8" t="n">
        <f aca="false">'📊 RawData'!I12</f>
        <v>1</v>
      </c>
      <c r="I15" s="10" t="n">
        <f aca="false">'📊 RawData'!G12</f>
        <v>99.9</v>
      </c>
      <c r="J15" s="81" t="n">
        <f aca="false">ROUND($B$6+$B$7*F15+$B$8*G15+$B$9*H15,1)</f>
        <v>98.8</v>
      </c>
      <c r="K15" s="26" t="n">
        <f aca="false">I15-J15</f>
        <v>1.10000000000001</v>
      </c>
      <c r="L15" s="26" t="n">
        <f aca="false">ABS(K15)</f>
        <v>1.10000000000001</v>
      </c>
      <c r="M15" s="26" t="n">
        <f aca="false">K15^2</f>
        <v>1.21000000000002</v>
      </c>
      <c r="N15" s="27" t="n">
        <f aca="false">ABS((I15-J15)/I15)</f>
        <v>0.0110110110110111</v>
      </c>
    </row>
    <row r="16" customFormat="false" ht="15" hidden="false" customHeight="true" outlineLevel="0" collapsed="false">
      <c r="F16" s="6" t="n">
        <f aca="false">'📊 RawData'!D13</f>
        <v>6.3</v>
      </c>
      <c r="G16" s="6" t="n">
        <f aca="false">'📊 RawData'!E13</f>
        <v>82.9</v>
      </c>
      <c r="H16" s="4" t="n">
        <f aca="false">'📊 RawData'!I13</f>
        <v>0</v>
      </c>
      <c r="I16" s="6" t="n">
        <f aca="false">'📊 RawData'!G13</f>
        <v>94.4</v>
      </c>
      <c r="J16" s="77" t="n">
        <f aca="false">ROUND($B$6+$B$7*F16+$B$8*G16+$B$9*H16,1)</f>
        <v>93.1</v>
      </c>
      <c r="K16" s="20" t="n">
        <f aca="false">I16-J16</f>
        <v>1.30000000000001</v>
      </c>
      <c r="L16" s="20" t="n">
        <f aca="false">ABS(K16)</f>
        <v>1.30000000000001</v>
      </c>
      <c r="M16" s="20" t="n">
        <f aca="false">K16^2</f>
        <v>1.69000000000003</v>
      </c>
      <c r="N16" s="21" t="n">
        <f aca="false">ABS((I16-J16)/I16)</f>
        <v>0.0137711864406781</v>
      </c>
    </row>
    <row r="17" customFormat="false" ht="15" hidden="false" customHeight="true" outlineLevel="0" collapsed="false">
      <c r="F17" s="10" t="n">
        <f aca="false">'📊 RawData'!D14</f>
        <v>6</v>
      </c>
      <c r="G17" s="10" t="n">
        <f aca="false">'📊 RawData'!E14</f>
        <v>96.4</v>
      </c>
      <c r="H17" s="8" t="n">
        <f aca="false">'📊 RawData'!I14</f>
        <v>0</v>
      </c>
      <c r="I17" s="10" t="n">
        <f aca="false">'📊 RawData'!G14</f>
        <v>98.5</v>
      </c>
      <c r="J17" s="81" t="n">
        <f aca="false">ROUND($B$6+$B$7*F17+$B$8*G17+$B$9*H17,1)</f>
        <v>96.6</v>
      </c>
      <c r="K17" s="26" t="n">
        <f aca="false">I17-J17</f>
        <v>1.90000000000001</v>
      </c>
      <c r="L17" s="26" t="n">
        <f aca="false">ABS(K17)</f>
        <v>1.90000000000001</v>
      </c>
      <c r="M17" s="26" t="n">
        <f aca="false">K17^2</f>
        <v>3.61000000000002</v>
      </c>
      <c r="N17" s="27" t="n">
        <f aca="false">ABS((I17-J17)/I17)</f>
        <v>0.0192893401015229</v>
      </c>
    </row>
    <row r="18" customFormat="false" ht="21.75" hidden="false" customHeight="true" outlineLevel="0" collapsed="false">
      <c r="A18" s="85" t="s">
        <v>228</v>
      </c>
      <c r="B18" s="85"/>
      <c r="C18" s="85"/>
      <c r="D18" s="85"/>
      <c r="F18" s="6" t="n">
        <f aca="false">'📊 RawData'!D15</f>
        <v>2.5</v>
      </c>
      <c r="G18" s="6" t="n">
        <f aca="false">'📊 RawData'!E15</f>
        <v>88.6</v>
      </c>
      <c r="H18" s="4" t="n">
        <f aca="false">'📊 RawData'!I15</f>
        <v>1</v>
      </c>
      <c r="I18" s="6" t="n">
        <f aca="false">'📊 RawData'!G15</f>
        <v>93.3</v>
      </c>
      <c r="J18" s="77" t="n">
        <f aca="false">ROUND($B$6+$B$7*F18+$B$8*G18+$B$9*H18,1)</f>
        <v>88.5</v>
      </c>
      <c r="K18" s="20" t="n">
        <f aca="false">I18-J18</f>
        <v>4.8</v>
      </c>
      <c r="L18" s="20" t="n">
        <f aca="false">ABS(K18)</f>
        <v>4.8</v>
      </c>
      <c r="M18" s="20" t="n">
        <f aca="false">K18^2</f>
        <v>23.04</v>
      </c>
      <c r="N18" s="21" t="n">
        <f aca="false">ABS((I18-J18)/I18)</f>
        <v>0.0514469453376206</v>
      </c>
    </row>
    <row r="19" customFormat="false" ht="15" hidden="false" customHeight="true" outlineLevel="0" collapsed="false">
      <c r="A19" s="86" t="s">
        <v>229</v>
      </c>
      <c r="B19" s="86" t="s">
        <v>230</v>
      </c>
      <c r="C19" s="86" t="s">
        <v>231</v>
      </c>
      <c r="D19" s="86" t="s">
        <v>223</v>
      </c>
      <c r="F19" s="10" t="n">
        <f aca="false">'📊 RawData'!D16</f>
        <v>7.4</v>
      </c>
      <c r="G19" s="10" t="n">
        <f aca="false">'📊 RawData'!E16</f>
        <v>94.1</v>
      </c>
      <c r="H19" s="8" t="n">
        <f aca="false">'📊 RawData'!I16</f>
        <v>0</v>
      </c>
      <c r="I19" s="10" t="n">
        <f aca="false">'📊 RawData'!G16</f>
        <v>97.4</v>
      </c>
      <c r="J19" s="81" t="n">
        <f aca="false">ROUND($B$6+$B$7*F19+$B$8*G19+$B$9*H19,1)</f>
        <v>100</v>
      </c>
      <c r="K19" s="26" t="n">
        <f aca="false">I19-J19</f>
        <v>-2.59999999999999</v>
      </c>
      <c r="L19" s="26" t="n">
        <f aca="false">ABS(K19)</f>
        <v>2.59999999999999</v>
      </c>
      <c r="M19" s="26" t="n">
        <f aca="false">K19^2</f>
        <v>6.75999999999997</v>
      </c>
      <c r="N19" s="27" t="n">
        <f aca="false">ABS((I19-J19)/I19)</f>
        <v>0.0266940451745379</v>
      </c>
    </row>
    <row r="20" customFormat="false" ht="21.75" hidden="false" customHeight="true" outlineLevel="0" collapsed="false">
      <c r="A20" s="16" t="s">
        <v>232</v>
      </c>
      <c r="B20" s="5" t="s">
        <v>233</v>
      </c>
      <c r="C20" s="87" t="n">
        <v>0.3493</v>
      </c>
      <c r="D20" s="87" t="n">
        <v>0.341</v>
      </c>
      <c r="F20" s="6" t="n">
        <f aca="false">'📊 RawData'!D17</f>
        <v>4.3</v>
      </c>
      <c r="G20" s="6" t="n">
        <f aca="false">'📊 RawData'!E17</f>
        <v>80.7</v>
      </c>
      <c r="H20" s="4" t="n">
        <f aca="false">'📊 RawData'!I17</f>
        <v>0</v>
      </c>
      <c r="I20" s="6" t="n">
        <f aca="false">'📊 RawData'!G17</f>
        <v>91</v>
      </c>
      <c r="J20" s="77" t="n">
        <f aca="false">ROUND($B$6+$B$7*F20+$B$8*G20+$B$9*H20,1)</f>
        <v>86.5</v>
      </c>
      <c r="K20" s="20" t="n">
        <f aca="false">I20-J20</f>
        <v>4.5</v>
      </c>
      <c r="L20" s="20" t="n">
        <f aca="false">ABS(K20)</f>
        <v>4.5</v>
      </c>
      <c r="M20" s="20" t="n">
        <f aca="false">K20^2</f>
        <v>20.25</v>
      </c>
      <c r="N20" s="21" t="n">
        <f aca="false">ABS((I20-J20)/I20)</f>
        <v>0.0494505494505495</v>
      </c>
    </row>
    <row r="21" customFormat="false" ht="21.75" hidden="false" customHeight="true" outlineLevel="0" collapsed="false">
      <c r="A21" s="22" t="s">
        <v>234</v>
      </c>
      <c r="B21" s="9" t="s">
        <v>235</v>
      </c>
      <c r="C21" s="88" t="n">
        <v>0.5513</v>
      </c>
      <c r="D21" s="88" t="n">
        <v>0.5396</v>
      </c>
      <c r="F21" s="10" t="n">
        <f aca="false">'📊 RawData'!D18</f>
        <v>5.7</v>
      </c>
      <c r="G21" s="10" t="n">
        <f aca="false">'📊 RawData'!E18</f>
        <v>83.9</v>
      </c>
      <c r="H21" s="8" t="n">
        <f aca="false">'📊 RawData'!I18</f>
        <v>1</v>
      </c>
      <c r="I21" s="10" t="n">
        <f aca="false">'📊 RawData'!G18</f>
        <v>94.1</v>
      </c>
      <c r="J21" s="81" t="n">
        <f aca="false">ROUND($B$6+$B$7*F21+$B$8*G21+$B$9*H21,1)</f>
        <v>96.3</v>
      </c>
      <c r="K21" s="26" t="n">
        <f aca="false">I21-J21</f>
        <v>-2.2</v>
      </c>
      <c r="L21" s="26" t="n">
        <f aca="false">ABS(K21)</f>
        <v>2.2</v>
      </c>
      <c r="M21" s="26" t="n">
        <f aca="false">K21^2</f>
        <v>4.84000000000001</v>
      </c>
      <c r="N21" s="27" t="n">
        <f aca="false">ABS((I21-J21)/I21)</f>
        <v>0.0233793836344315</v>
      </c>
    </row>
    <row r="22" customFormat="false" ht="21.75" hidden="false" customHeight="true" outlineLevel="0" collapsed="false">
      <c r="A22" s="16" t="s">
        <v>236</v>
      </c>
      <c r="B22" s="5" t="s">
        <v>237</v>
      </c>
      <c r="C22" s="87" t="n">
        <v>0.5863</v>
      </c>
      <c r="D22" s="87" t="n">
        <v>0.57</v>
      </c>
      <c r="F22" s="6" t="n">
        <f aca="false">'📊 RawData'!D19</f>
        <v>5.5</v>
      </c>
      <c r="G22" s="6" t="n">
        <f aca="false">'📊 RawData'!E19</f>
        <v>73.5</v>
      </c>
      <c r="H22" s="4" t="n">
        <f aca="false">'📊 RawData'!I19</f>
        <v>0</v>
      </c>
      <c r="I22" s="6" t="n">
        <f aca="false">'📊 RawData'!G19</f>
        <v>87.4</v>
      </c>
      <c r="J22" s="77" t="n">
        <f aca="false">ROUND($B$6+$B$7*F22+$B$8*G22+$B$9*H22,1)</f>
        <v>87.7</v>
      </c>
      <c r="K22" s="20" t="n">
        <f aca="false">I22-J22</f>
        <v>-0.299999999999997</v>
      </c>
      <c r="L22" s="20" t="n">
        <f aca="false">ABS(K22)</f>
        <v>0.299999999999997</v>
      </c>
      <c r="M22" s="20" t="n">
        <f aca="false">K22^2</f>
        <v>0.0899999999999983</v>
      </c>
      <c r="N22" s="21" t="n">
        <f aca="false">ABS((I22-J22)/I22)</f>
        <v>0.00343249427917617</v>
      </c>
    </row>
    <row r="23" customFormat="false" ht="27.75" hidden="false" customHeight="true" outlineLevel="0" collapsed="false">
      <c r="A23" s="89" t="s">
        <v>238</v>
      </c>
      <c r="B23" s="89"/>
      <c r="C23" s="89"/>
      <c r="D23" s="89"/>
      <c r="F23" s="10" t="n">
        <f aca="false">'📊 RawData'!D20</f>
        <v>4.4</v>
      </c>
      <c r="G23" s="10" t="n">
        <f aca="false">'📊 RawData'!E20</f>
        <v>92.2</v>
      </c>
      <c r="H23" s="8" t="n">
        <f aca="false">'📊 RawData'!I20</f>
        <v>1</v>
      </c>
      <c r="I23" s="10" t="n">
        <f aca="false">'📊 RawData'!G20</f>
        <v>96.3</v>
      </c>
      <c r="J23" s="81" t="n">
        <f aca="false">ROUND($B$6+$B$7*F23+$B$8*G23+$B$9*H23,1)</f>
        <v>95.2</v>
      </c>
      <c r="K23" s="26" t="n">
        <f aca="false">I23-J23</f>
        <v>1.09999999999999</v>
      </c>
      <c r="L23" s="26" t="n">
        <f aca="false">ABS(K23)</f>
        <v>1.09999999999999</v>
      </c>
      <c r="M23" s="26" t="n">
        <f aca="false">K23^2</f>
        <v>1.20999999999999</v>
      </c>
      <c r="N23" s="27" t="n">
        <f aca="false">ABS((I23-J23)/I23)</f>
        <v>0.0114226375908618</v>
      </c>
    </row>
    <row r="24" customFormat="false" ht="15" hidden="false" customHeight="true" outlineLevel="0" collapsed="false">
      <c r="F24" s="6" t="n">
        <f aca="false">'📊 RawData'!D21</f>
        <v>5.8</v>
      </c>
      <c r="G24" s="6" t="n">
        <f aca="false">'📊 RawData'!E21</f>
        <v>68</v>
      </c>
      <c r="H24" s="4" t="n">
        <f aca="false">'📊 RawData'!I21</f>
        <v>0</v>
      </c>
      <c r="I24" s="6" t="n">
        <f aca="false">'📊 RawData'!G21</f>
        <v>90.4</v>
      </c>
      <c r="J24" s="77" t="n">
        <f aca="false">ROUND($B$6+$B$7*F24+$B$8*G24+$B$9*H24,1)</f>
        <v>86.8</v>
      </c>
      <c r="K24" s="20" t="n">
        <f aca="false">I24-J24</f>
        <v>3.60000000000001</v>
      </c>
      <c r="L24" s="20" t="n">
        <f aca="false">ABS(K24)</f>
        <v>3.60000000000001</v>
      </c>
      <c r="M24" s="20" t="n">
        <f aca="false">K24^2</f>
        <v>12.9600000000001</v>
      </c>
      <c r="N24" s="21" t="n">
        <f aca="false">ABS((I24-J24)/I24)</f>
        <v>0.0398230088495576</v>
      </c>
    </row>
    <row r="25" customFormat="false" ht="15" hidden="false" customHeight="true" outlineLevel="0" collapsed="false">
      <c r="F25" s="10" t="n">
        <f aca="false">'📊 RawData'!D22</f>
        <v>8</v>
      </c>
      <c r="G25" s="10" t="n">
        <f aca="false">'📊 RawData'!E22</f>
        <v>60.9</v>
      </c>
      <c r="H25" s="8" t="n">
        <f aca="false">'📊 RawData'!I22</f>
        <v>1</v>
      </c>
      <c r="I25" s="10" t="n">
        <f aca="false">'📊 RawData'!G22</f>
        <v>94.5</v>
      </c>
      <c r="J25" s="81" t="n">
        <f aca="false">ROUND($B$6+$B$7*F25+$B$8*G25+$B$9*H25,1)</f>
        <v>95.5</v>
      </c>
      <c r="K25" s="26" t="n">
        <f aca="false">I25-J25</f>
        <v>-1</v>
      </c>
      <c r="L25" s="26" t="n">
        <f aca="false">ABS(K25)</f>
        <v>1</v>
      </c>
      <c r="M25" s="26" t="n">
        <f aca="false">K25^2</f>
        <v>1</v>
      </c>
      <c r="N25" s="27" t="n">
        <f aca="false">ABS((I25-J25)/I25)</f>
        <v>0.0105820105820106</v>
      </c>
    </row>
    <row r="26" customFormat="false" ht="15" hidden="false" customHeight="true" outlineLevel="0" collapsed="false">
      <c r="F26" s="6" t="n">
        <f aca="false">'📊 RawData'!D23</f>
        <v>4</v>
      </c>
      <c r="G26" s="6" t="n">
        <f aca="false">'📊 RawData'!E23</f>
        <v>92.9</v>
      </c>
      <c r="H26" s="4" t="n">
        <f aca="false">'📊 RawData'!I23</f>
        <v>0</v>
      </c>
      <c r="I26" s="6" t="n">
        <f aca="false">'📊 RawData'!G23</f>
        <v>83.3</v>
      </c>
      <c r="J26" s="77" t="n">
        <f aca="false">ROUND($B$6+$B$7*F26+$B$8*G26+$B$9*H26,1)</f>
        <v>89.6</v>
      </c>
      <c r="K26" s="20" t="n">
        <f aca="false">I26-J26</f>
        <v>-6.3</v>
      </c>
      <c r="L26" s="20" t="n">
        <f aca="false">ABS(K26)</f>
        <v>6.3</v>
      </c>
      <c r="M26" s="20" t="n">
        <f aca="false">K26^2</f>
        <v>39.69</v>
      </c>
      <c r="N26" s="21" t="n">
        <f aca="false">ABS((I26-J26)/I26)</f>
        <v>0.0756302521008403</v>
      </c>
    </row>
    <row r="27" customFormat="false" ht="15" hidden="false" customHeight="true" outlineLevel="0" collapsed="false">
      <c r="F27" s="10" t="n">
        <f aca="false">'📊 RawData'!D24</f>
        <v>4.8</v>
      </c>
      <c r="G27" s="10" t="n">
        <f aca="false">'📊 RawData'!E24</f>
        <v>70.4</v>
      </c>
      <c r="H27" s="8" t="n">
        <f aca="false">'📊 RawData'!I24</f>
        <v>0</v>
      </c>
      <c r="I27" s="10" t="n">
        <f aca="false">'📊 RawData'!G24</f>
        <v>76.6</v>
      </c>
      <c r="J27" s="81" t="n">
        <f aca="false">ROUND($B$6+$B$7*F27+$B$8*G27+$B$9*H27,1)</f>
        <v>84.6</v>
      </c>
      <c r="K27" s="26" t="n">
        <f aca="false">I27-J27</f>
        <v>-8</v>
      </c>
      <c r="L27" s="26" t="n">
        <f aca="false">ABS(K27)</f>
        <v>8</v>
      </c>
      <c r="M27" s="26" t="n">
        <f aca="false">K27^2</f>
        <v>64</v>
      </c>
      <c r="N27" s="27" t="n">
        <f aca="false">ABS((I27-J27)/I27)</f>
        <v>0.10443864229765</v>
      </c>
    </row>
    <row r="28" customFormat="false" ht="15" hidden="false" customHeight="true" outlineLevel="0" collapsed="false">
      <c r="F28" s="6" t="n">
        <f aca="false">'📊 RawData'!D25</f>
        <v>4.1</v>
      </c>
      <c r="G28" s="6" t="n">
        <f aca="false">'📊 RawData'!E25</f>
        <v>95.6</v>
      </c>
      <c r="H28" s="4" t="n">
        <f aca="false">'📊 RawData'!I25</f>
        <v>1</v>
      </c>
      <c r="I28" s="6" t="n">
        <f aca="false">'📊 RawData'!G25</f>
        <v>98</v>
      </c>
      <c r="J28" s="77" t="n">
        <f aca="false">ROUND($B$6+$B$7*F28+$B$8*G28+$B$9*H28,1)</f>
        <v>95.4</v>
      </c>
      <c r="K28" s="20" t="n">
        <f aca="false">I28-J28</f>
        <v>2.59999999999999</v>
      </c>
      <c r="L28" s="20" t="n">
        <f aca="false">ABS(K28)</f>
        <v>2.59999999999999</v>
      </c>
      <c r="M28" s="20" t="n">
        <f aca="false">K28^2</f>
        <v>6.75999999999997</v>
      </c>
      <c r="N28" s="21" t="n">
        <f aca="false">ABS((I28-J28)/I28)</f>
        <v>0.0265306122448979</v>
      </c>
    </row>
    <row r="29" customFormat="false" ht="15" hidden="false" customHeight="true" outlineLevel="0" collapsed="false">
      <c r="F29" s="10" t="n">
        <f aca="false">'📊 RawData'!D26</f>
        <v>4.9</v>
      </c>
      <c r="G29" s="10" t="n">
        <f aca="false">'📊 RawData'!E26</f>
        <v>91</v>
      </c>
      <c r="H29" s="8" t="n">
        <f aca="false">'📊 RawData'!I26</f>
        <v>0</v>
      </c>
      <c r="I29" s="10" t="n">
        <f aca="false">'📊 RawData'!G26</f>
        <v>85.1</v>
      </c>
      <c r="J29" s="81" t="n">
        <f aca="false">ROUND($B$6+$B$7*F29+$B$8*G29+$B$9*H29,1)</f>
        <v>91.6</v>
      </c>
      <c r="K29" s="26" t="n">
        <f aca="false">I29-J29</f>
        <v>-6.5</v>
      </c>
      <c r="L29" s="26" t="n">
        <f aca="false">ABS(K29)</f>
        <v>6.5</v>
      </c>
      <c r="M29" s="26" t="n">
        <f aca="false">K29^2</f>
        <v>42.25</v>
      </c>
      <c r="N29" s="27" t="n">
        <f aca="false">ABS((I29-J29)/I29)</f>
        <v>0.0763807285546416</v>
      </c>
    </row>
    <row r="30" customFormat="false" ht="15" hidden="false" customHeight="true" outlineLevel="0" collapsed="false">
      <c r="F30" s="6" t="n">
        <f aca="false">'📊 RawData'!D27</f>
        <v>0.9</v>
      </c>
      <c r="G30" s="6" t="n">
        <f aca="false">'📊 RawData'!E27</f>
        <v>72.7</v>
      </c>
      <c r="H30" s="4" t="n">
        <f aca="false">'📊 RawData'!I27</f>
        <v>0</v>
      </c>
      <c r="I30" s="6" t="n">
        <f aca="false">'📊 RawData'!G27</f>
        <v>83.7</v>
      </c>
      <c r="J30" s="77" t="n">
        <f aca="false">ROUND($B$6+$B$7*F30+$B$8*G30+$B$9*H30,1)</f>
        <v>74</v>
      </c>
      <c r="K30" s="20" t="n">
        <f aca="false">I30-J30</f>
        <v>9.7</v>
      </c>
      <c r="L30" s="20" t="n">
        <f aca="false">ABS(K30)</f>
        <v>9.7</v>
      </c>
      <c r="M30" s="20" t="n">
        <f aca="false">K30^2</f>
        <v>94.0900000000001</v>
      </c>
      <c r="N30" s="21" t="n">
        <f aca="false">ABS((I30-J30)/I30)</f>
        <v>0.115890083632019</v>
      </c>
    </row>
    <row r="31" customFormat="false" ht="15" hidden="false" customHeight="true" outlineLevel="0" collapsed="false">
      <c r="F31" s="10" t="n">
        <f aca="false">'📊 RawData'!D28</f>
        <v>3.7</v>
      </c>
      <c r="G31" s="10" t="n">
        <f aca="false">'📊 RawData'!E28</f>
        <v>65.3</v>
      </c>
      <c r="H31" s="8" t="n">
        <f aca="false">'📊 RawData'!I28</f>
        <v>0</v>
      </c>
      <c r="I31" s="10" t="n">
        <f aca="false">'📊 RawData'!G28</f>
        <v>86.6</v>
      </c>
      <c r="J31" s="81" t="n">
        <f aca="false">ROUND($B$6+$B$7*F31+$B$8*G31+$B$9*H31,1)</f>
        <v>79.7</v>
      </c>
      <c r="K31" s="26" t="n">
        <f aca="false">I31-J31</f>
        <v>6.89999999999999</v>
      </c>
      <c r="L31" s="26" t="n">
        <f aca="false">ABS(K31)</f>
        <v>6.89999999999999</v>
      </c>
      <c r="M31" s="26" t="n">
        <f aca="false">K31^2</f>
        <v>47.6099999999999</v>
      </c>
      <c r="N31" s="27" t="n">
        <f aca="false">ABS((I31-J31)/I31)</f>
        <v>0.079676674364896</v>
      </c>
    </row>
    <row r="32" customFormat="false" ht="15" hidden="false" customHeight="true" outlineLevel="0" collapsed="false">
      <c r="F32" s="6" t="n">
        <f aca="false">'📊 RawData'!D29</f>
        <v>7.7</v>
      </c>
      <c r="G32" s="6" t="n">
        <f aca="false">'📊 RawData'!E29</f>
        <v>76.7</v>
      </c>
      <c r="H32" s="4" t="n">
        <f aca="false">'📊 RawData'!I29</f>
        <v>0</v>
      </c>
      <c r="I32" s="6" t="n">
        <f aca="false">'📊 RawData'!G29</f>
        <v>100</v>
      </c>
      <c r="J32" s="77" t="n">
        <f aca="false">ROUND($B$6+$B$7*F32+$B$8*G32+$B$9*H32,1)</f>
        <v>95.2</v>
      </c>
      <c r="K32" s="20" t="n">
        <f aca="false">I32-J32</f>
        <v>4.8</v>
      </c>
      <c r="L32" s="20" t="n">
        <f aca="false">ABS(K32)</f>
        <v>4.8</v>
      </c>
      <c r="M32" s="20" t="n">
        <f aca="false">K32^2</f>
        <v>23.04</v>
      </c>
      <c r="N32" s="21" t="n">
        <f aca="false">ABS((I32-J32)/I32)</f>
        <v>0.048</v>
      </c>
    </row>
    <row r="33" customFormat="false" ht="15" hidden="false" customHeight="true" outlineLevel="0" collapsed="false">
      <c r="F33" s="10" t="n">
        <f aca="false">'📊 RawData'!D30</f>
        <v>3.5</v>
      </c>
      <c r="G33" s="10" t="n">
        <f aca="false">'📊 RawData'!E30</f>
        <v>91.5</v>
      </c>
      <c r="H33" s="8" t="n">
        <f aca="false">'📊 RawData'!I30</f>
        <v>0</v>
      </c>
      <c r="I33" s="10" t="n">
        <f aca="false">'📊 RawData'!G30</f>
        <v>71.5</v>
      </c>
      <c r="J33" s="81" t="n">
        <f aca="false">ROUND($B$6+$B$7*F33+$B$8*G33+$B$9*H33,1)</f>
        <v>87.7</v>
      </c>
      <c r="K33" s="26" t="n">
        <f aca="false">I33-J33</f>
        <v>-16.2</v>
      </c>
      <c r="L33" s="26" t="n">
        <f aca="false">ABS(K33)</f>
        <v>16.2</v>
      </c>
      <c r="M33" s="26" t="n">
        <f aca="false">K33^2</f>
        <v>262.44</v>
      </c>
      <c r="N33" s="27" t="n">
        <f aca="false">ABS((I33-J33)/I33)</f>
        <v>0.226573426573427</v>
      </c>
    </row>
    <row r="34" customFormat="false" ht="15" hidden="false" customHeight="true" outlineLevel="0" collapsed="false">
      <c r="F34" s="6" t="n">
        <f aca="false">'📊 RawData'!D31</f>
        <v>4.4</v>
      </c>
      <c r="G34" s="6" t="n">
        <f aca="false">'📊 RawData'!E31</f>
        <v>72.2</v>
      </c>
      <c r="H34" s="4" t="n">
        <f aca="false">'📊 RawData'!I31</f>
        <v>1</v>
      </c>
      <c r="I34" s="6" t="n">
        <f aca="false">'📊 RawData'!G31</f>
        <v>82.1</v>
      </c>
      <c r="J34" s="77" t="n">
        <f aca="false">ROUND($B$6+$B$7*F34+$B$8*G34+$B$9*H34,1)</f>
        <v>88.7</v>
      </c>
      <c r="K34" s="20" t="n">
        <f aca="false">I34-J34</f>
        <v>-6.60000000000001</v>
      </c>
      <c r="L34" s="20" t="n">
        <f aca="false">ABS(K34)</f>
        <v>6.60000000000001</v>
      </c>
      <c r="M34" s="20" t="n">
        <f aca="false">K34^2</f>
        <v>43.5600000000001</v>
      </c>
      <c r="N34" s="21" t="n">
        <f aca="false">ABS((I34-J34)/I34)</f>
        <v>0.0803897685749088</v>
      </c>
    </row>
    <row r="35" customFormat="false" ht="15" hidden="false" customHeight="true" outlineLevel="0" collapsed="false">
      <c r="F35" s="10" t="n">
        <f aca="false">'📊 RawData'!D32</f>
        <v>5.9</v>
      </c>
      <c r="G35" s="10" t="n">
        <f aca="false">'📊 RawData'!E32</f>
        <v>72.1</v>
      </c>
      <c r="H35" s="8" t="n">
        <f aca="false">'📊 RawData'!I32</f>
        <v>0</v>
      </c>
      <c r="I35" s="10" t="n">
        <f aca="false">'📊 RawData'!G32</f>
        <v>87.9</v>
      </c>
      <c r="J35" s="81" t="n">
        <f aca="false">ROUND($B$6+$B$7*F35+$B$8*G35+$B$9*H35,1)</f>
        <v>88.4</v>
      </c>
      <c r="K35" s="26" t="n">
        <f aca="false">I35-J35</f>
        <v>-0.5</v>
      </c>
      <c r="L35" s="26" t="n">
        <f aca="false">ABS(K35)</f>
        <v>0.5</v>
      </c>
      <c r="M35" s="26" t="n">
        <f aca="false">K35^2</f>
        <v>0.25</v>
      </c>
      <c r="N35" s="27" t="n">
        <f aca="false">ABS((I35-J35)/I35)</f>
        <v>0.00568828213879408</v>
      </c>
    </row>
    <row r="36" customFormat="false" ht="15" hidden="false" customHeight="true" outlineLevel="0" collapsed="false">
      <c r="F36" s="6" t="n">
        <f aca="false">'📊 RawData'!D33</f>
        <v>6.7</v>
      </c>
      <c r="G36" s="6" t="n">
        <f aca="false">'📊 RawData'!E33</f>
        <v>86.8</v>
      </c>
      <c r="H36" s="4" t="n">
        <f aca="false">'📊 RawData'!I33</f>
        <v>0</v>
      </c>
      <c r="I36" s="6" t="n">
        <f aca="false">'📊 RawData'!G33</f>
        <v>97.1</v>
      </c>
      <c r="J36" s="77" t="n">
        <f aca="false">ROUND($B$6+$B$7*F36+$B$8*G36+$B$9*H36,1)</f>
        <v>95.5</v>
      </c>
      <c r="K36" s="20" t="n">
        <f aca="false">I36-J36</f>
        <v>1.59999999999999</v>
      </c>
      <c r="L36" s="20" t="n">
        <f aca="false">ABS(K36)</f>
        <v>1.59999999999999</v>
      </c>
      <c r="M36" s="20" t="n">
        <f aca="false">K36^2</f>
        <v>2.55999999999998</v>
      </c>
      <c r="N36" s="21" t="n">
        <f aca="false">ABS((I36-J36)/I36)</f>
        <v>0.0164778578784757</v>
      </c>
    </row>
    <row r="37" customFormat="false" ht="15" hidden="false" customHeight="true" outlineLevel="0" collapsed="false">
      <c r="F37" s="10" t="n">
        <f aca="false">'📊 RawData'!D34</f>
        <v>5</v>
      </c>
      <c r="G37" s="10" t="n">
        <f aca="false">'📊 RawData'!E34</f>
        <v>71.3</v>
      </c>
      <c r="H37" s="8" t="n">
        <f aca="false">'📊 RawData'!I34</f>
        <v>0</v>
      </c>
      <c r="I37" s="10" t="n">
        <f aca="false">'📊 RawData'!G34</f>
        <v>81.8</v>
      </c>
      <c r="J37" s="81" t="n">
        <f aca="false">ROUND($B$6+$B$7*F37+$B$8*G37+$B$9*H37,1)</f>
        <v>85.5</v>
      </c>
      <c r="K37" s="26" t="n">
        <f aca="false">I37-J37</f>
        <v>-3.7</v>
      </c>
      <c r="L37" s="26" t="n">
        <f aca="false">ABS(K37)</f>
        <v>3.7</v>
      </c>
      <c r="M37" s="26" t="n">
        <f aca="false">K37^2</f>
        <v>13.69</v>
      </c>
      <c r="N37" s="27" t="n">
        <f aca="false">ABS((I37-J37)/I37)</f>
        <v>0.0452322738386308</v>
      </c>
    </row>
    <row r="38" customFormat="false" ht="15" hidden="false" customHeight="true" outlineLevel="0" collapsed="false">
      <c r="F38" s="6" t="n">
        <f aca="false">'📊 RawData'!D35</f>
        <v>5</v>
      </c>
      <c r="G38" s="6" t="n">
        <f aca="false">'📊 RawData'!E35</f>
        <v>60</v>
      </c>
      <c r="H38" s="4" t="n">
        <f aca="false">'📊 RawData'!I35</f>
        <v>1</v>
      </c>
      <c r="I38" s="6" t="n">
        <f aca="false">'📊 RawData'!G35</f>
        <v>89.1</v>
      </c>
      <c r="J38" s="77" t="n">
        <f aca="false">ROUND($B$6+$B$7*F38+$B$8*G38+$B$9*H38,1)</f>
        <v>86.4</v>
      </c>
      <c r="K38" s="20" t="n">
        <f aca="false">I38-J38</f>
        <v>2.69999999999999</v>
      </c>
      <c r="L38" s="20" t="n">
        <f aca="false">ABS(K38)</f>
        <v>2.69999999999999</v>
      </c>
      <c r="M38" s="20" t="n">
        <f aca="false">K38^2</f>
        <v>7.28999999999994</v>
      </c>
      <c r="N38" s="21" t="n">
        <f aca="false">ABS((I38-J38)/I38)</f>
        <v>0.0303030303030302</v>
      </c>
    </row>
    <row r="39" customFormat="false" ht="15" hidden="false" customHeight="true" outlineLevel="0" collapsed="false">
      <c r="F39" s="10" t="n">
        <f aca="false">'📊 RawData'!D36</f>
        <v>2.9</v>
      </c>
      <c r="G39" s="10" t="n">
        <f aca="false">'📊 RawData'!E36</f>
        <v>64.2</v>
      </c>
      <c r="H39" s="8" t="n">
        <f aca="false">'📊 RawData'!I36</f>
        <v>0</v>
      </c>
      <c r="I39" s="10" t="n">
        <f aca="false">'📊 RawData'!G36</f>
        <v>73.1</v>
      </c>
      <c r="J39" s="81" t="n">
        <f aca="false">ROUND($B$6+$B$7*F39+$B$8*G39+$B$9*H39,1)</f>
        <v>77</v>
      </c>
      <c r="K39" s="26" t="n">
        <f aca="false">I39-J39</f>
        <v>-3.90000000000001</v>
      </c>
      <c r="L39" s="26" t="n">
        <f aca="false">ABS(K39)</f>
        <v>3.90000000000001</v>
      </c>
      <c r="M39" s="26" t="n">
        <f aca="false">K39^2</f>
        <v>15.21</v>
      </c>
      <c r="N39" s="27" t="n">
        <f aca="false">ABS((I39-J39)/I39)</f>
        <v>0.0533515731874146</v>
      </c>
    </row>
    <row r="40" customFormat="false" ht="15" hidden="false" customHeight="true" outlineLevel="0" collapsed="false">
      <c r="F40" s="6" t="n">
        <f aca="false">'📊 RawData'!D37</f>
        <v>6.2</v>
      </c>
      <c r="G40" s="6" t="n">
        <f aca="false">'📊 RawData'!E37</f>
        <v>83.8</v>
      </c>
      <c r="H40" s="4" t="n">
        <f aca="false">'📊 RawData'!I37</f>
        <v>1</v>
      </c>
      <c r="I40" s="6" t="n">
        <f aca="false">'📊 RawData'!G37</f>
        <v>92.6</v>
      </c>
      <c r="J40" s="77" t="n">
        <f aca="false">ROUND($B$6+$B$7*F40+$B$8*G40+$B$9*H40,1)</f>
        <v>97.7</v>
      </c>
      <c r="K40" s="20" t="n">
        <f aca="false">I40-J40</f>
        <v>-5.10000000000001</v>
      </c>
      <c r="L40" s="20" t="n">
        <f aca="false">ABS(K40)</f>
        <v>5.10000000000001</v>
      </c>
      <c r="M40" s="20" t="n">
        <f aca="false">K40^2</f>
        <v>26.0100000000001</v>
      </c>
      <c r="N40" s="21" t="n">
        <f aca="false">ABS((I40-J40)/I40)</f>
        <v>0.0550755939524839</v>
      </c>
    </row>
    <row r="41" customFormat="false" ht="15" hidden="false" customHeight="true" outlineLevel="0" collapsed="false">
      <c r="F41" s="10" t="n">
        <f aca="false">'📊 RawData'!D38</f>
        <v>3.4</v>
      </c>
      <c r="G41" s="10" t="n">
        <f aca="false">'📊 RawData'!E38</f>
        <v>88.3</v>
      </c>
      <c r="H41" s="8" t="n">
        <f aca="false">'📊 RawData'!I38</f>
        <v>0</v>
      </c>
      <c r="I41" s="10" t="n">
        <f aca="false">'📊 RawData'!G38</f>
        <v>81.1</v>
      </c>
      <c r="J41" s="81" t="n">
        <f aca="false">ROUND($B$6+$B$7*F41+$B$8*G41+$B$9*H41,1)</f>
        <v>86.4</v>
      </c>
      <c r="K41" s="26" t="n">
        <f aca="false">I41-J41</f>
        <v>-5.30000000000001</v>
      </c>
      <c r="L41" s="26" t="n">
        <f aca="false">ABS(K41)</f>
        <v>5.30000000000001</v>
      </c>
      <c r="M41" s="26" t="n">
        <f aca="false">K41^2</f>
        <v>28.0900000000001</v>
      </c>
      <c r="N41" s="27" t="n">
        <f aca="false">ABS((I41-J41)/I41)</f>
        <v>0.0653514180024662</v>
      </c>
    </row>
    <row r="42" customFormat="false" ht="15" hidden="false" customHeight="true" outlineLevel="0" collapsed="false">
      <c r="F42" s="6" t="n">
        <f aca="false">'📊 RawData'!D39</f>
        <v>5.2</v>
      </c>
      <c r="G42" s="6" t="n">
        <f aca="false">'📊 RawData'!E39</f>
        <v>43.9</v>
      </c>
      <c r="H42" s="4" t="n">
        <f aca="false">'📊 RawData'!I39</f>
        <v>1</v>
      </c>
      <c r="I42" s="6" t="n">
        <f aca="false">'📊 RawData'!G39</f>
        <v>77.6</v>
      </c>
      <c r="J42" s="77" t="n">
        <f aca="false">ROUND($B$6+$B$7*F42+$B$8*G42+$B$9*H42,1)</f>
        <v>81.8</v>
      </c>
      <c r="K42" s="20" t="n">
        <f aca="false">I42-J42</f>
        <v>-4.2</v>
      </c>
      <c r="L42" s="20" t="n">
        <f aca="false">ABS(K42)</f>
        <v>4.2</v>
      </c>
      <c r="M42" s="20" t="n">
        <f aca="false">K42^2</f>
        <v>17.64</v>
      </c>
      <c r="N42" s="21" t="n">
        <f aca="false">ABS((I42-J42)/I42)</f>
        <v>0.0541237113402062</v>
      </c>
    </row>
    <row r="43" customFormat="false" ht="15" hidden="false" customHeight="true" outlineLevel="0" collapsed="false">
      <c r="F43" s="10" t="n">
        <f aca="false">'📊 RawData'!D40</f>
        <v>4.1</v>
      </c>
      <c r="G43" s="10" t="n">
        <f aca="false">'📊 RawData'!E40</f>
        <v>79.4</v>
      </c>
      <c r="H43" s="8" t="n">
        <f aca="false">'📊 RawData'!I40</f>
        <v>1</v>
      </c>
      <c r="I43" s="10" t="n">
        <f aca="false">'📊 RawData'!G40</f>
        <v>94.6</v>
      </c>
      <c r="J43" s="81" t="n">
        <f aca="false">ROUND($B$6+$B$7*F43+$B$8*G43+$B$9*H43,1)</f>
        <v>90.1</v>
      </c>
      <c r="K43" s="26" t="n">
        <f aca="false">I43-J43</f>
        <v>4.5</v>
      </c>
      <c r="L43" s="26" t="n">
        <f aca="false">ABS(K43)</f>
        <v>4.5</v>
      </c>
      <c r="M43" s="26" t="n">
        <f aca="false">K43^2</f>
        <v>20.25</v>
      </c>
      <c r="N43" s="27" t="n">
        <f aca="false">ABS((I43-J43)/I43)</f>
        <v>0.047568710359408</v>
      </c>
    </row>
    <row r="44" customFormat="false" ht="15" hidden="false" customHeight="true" outlineLevel="0" collapsed="false">
      <c r="F44" s="6" t="n">
        <f aca="false">'📊 RawData'!D41</f>
        <v>4.4</v>
      </c>
      <c r="G44" s="6" t="n">
        <f aca="false">'📊 RawData'!E41</f>
        <v>67.1</v>
      </c>
      <c r="H44" s="4" t="n">
        <f aca="false">'📊 RawData'!I41</f>
        <v>0</v>
      </c>
      <c r="I44" s="6" t="n">
        <f aca="false">'📊 RawData'!G41</f>
        <v>81.2</v>
      </c>
      <c r="J44" s="77" t="n">
        <f aca="false">ROUND($B$6+$B$7*F44+$B$8*G44+$B$9*H44,1)</f>
        <v>82.4</v>
      </c>
      <c r="K44" s="20" t="n">
        <f aca="false">I44-J44</f>
        <v>-1.2</v>
      </c>
      <c r="L44" s="20" t="n">
        <f aca="false">ABS(K44)</f>
        <v>1.2</v>
      </c>
      <c r="M44" s="20" t="n">
        <f aca="false">K44^2</f>
        <v>1.44000000000001</v>
      </c>
      <c r="N44" s="21" t="n">
        <f aca="false">ABS((I44-J44)/I44)</f>
        <v>0.0147783251231527</v>
      </c>
    </row>
    <row r="45" customFormat="false" ht="15" hidden="false" customHeight="true" outlineLevel="0" collapsed="false">
      <c r="F45" s="10" t="n">
        <f aca="false">'📊 RawData'!D42</f>
        <v>4.7</v>
      </c>
      <c r="G45" s="10" t="n">
        <f aca="false">'📊 RawData'!E42</f>
        <v>92.2</v>
      </c>
      <c r="H45" s="8" t="n">
        <f aca="false">'📊 RawData'!I42</f>
        <v>1</v>
      </c>
      <c r="I45" s="10" t="n">
        <f aca="false">'📊 RawData'!G42</f>
        <v>92.6</v>
      </c>
      <c r="J45" s="81" t="n">
        <f aca="false">ROUND($B$6+$B$7*F45+$B$8*G45+$B$9*H45,1)</f>
        <v>96.1</v>
      </c>
      <c r="K45" s="26" t="n">
        <f aca="false">I45-J45</f>
        <v>-3.5</v>
      </c>
      <c r="L45" s="26" t="n">
        <f aca="false">ABS(K45)</f>
        <v>3.5</v>
      </c>
      <c r="M45" s="26" t="n">
        <f aca="false">K45^2</f>
        <v>12.25</v>
      </c>
      <c r="N45" s="27" t="n">
        <f aca="false">ABS((I45-J45)/I45)</f>
        <v>0.0377969762419007</v>
      </c>
    </row>
    <row r="46" customFormat="false" ht="15" hidden="false" customHeight="true" outlineLevel="0" collapsed="false">
      <c r="F46" s="6" t="n">
        <f aca="false">'📊 RawData'!D43</f>
        <v>6.9</v>
      </c>
      <c r="G46" s="6" t="n">
        <f aca="false">'📊 RawData'!E43</f>
        <v>73.2</v>
      </c>
      <c r="H46" s="4" t="n">
        <f aca="false">'📊 RawData'!I43</f>
        <v>0</v>
      </c>
      <c r="I46" s="6" t="n">
        <f aca="false">'📊 RawData'!G43</f>
        <v>88.8</v>
      </c>
      <c r="J46" s="77" t="n">
        <f aca="false">ROUND($B$6+$B$7*F46+$B$8*G46+$B$9*H46,1)</f>
        <v>91.7</v>
      </c>
      <c r="K46" s="20" t="n">
        <f aca="false">I46-J46</f>
        <v>-2.90000000000001</v>
      </c>
      <c r="L46" s="20" t="n">
        <f aca="false">ABS(K46)</f>
        <v>2.90000000000001</v>
      </c>
      <c r="M46" s="20" t="n">
        <f aca="false">K46^2</f>
        <v>8.41000000000003</v>
      </c>
      <c r="N46" s="21" t="n">
        <f aca="false">ABS((I46-J46)/I46)</f>
        <v>0.0326576576576577</v>
      </c>
    </row>
    <row r="47" customFormat="false" ht="15" hidden="false" customHeight="true" outlineLevel="0" collapsed="false">
      <c r="F47" s="10" t="n">
        <f aca="false">'📊 RawData'!D44</f>
        <v>5.3</v>
      </c>
      <c r="G47" s="10" t="n">
        <f aca="false">'📊 RawData'!E44</f>
        <v>81.8</v>
      </c>
      <c r="H47" s="8" t="n">
        <f aca="false">'📊 RawData'!I44</f>
        <v>0</v>
      </c>
      <c r="I47" s="10" t="n">
        <f aca="false">'📊 RawData'!G44</f>
        <v>96.3</v>
      </c>
      <c r="J47" s="81" t="n">
        <f aca="false">ROUND($B$6+$B$7*F47+$B$8*G47+$B$9*H47,1)</f>
        <v>89.8</v>
      </c>
      <c r="K47" s="26" t="n">
        <f aca="false">I47-J47</f>
        <v>6.5</v>
      </c>
      <c r="L47" s="26" t="n">
        <f aca="false">ABS(K47)</f>
        <v>6.5</v>
      </c>
      <c r="M47" s="26" t="n">
        <f aca="false">K47^2</f>
        <v>42.25</v>
      </c>
      <c r="N47" s="27" t="n">
        <f aca="false">ABS((I47-J47)/I47)</f>
        <v>0.0674974039460021</v>
      </c>
    </row>
    <row r="48" customFormat="false" ht="15" hidden="false" customHeight="true" outlineLevel="0" collapsed="false">
      <c r="F48" s="6" t="n">
        <f aca="false">'📊 RawData'!D45</f>
        <v>4</v>
      </c>
      <c r="G48" s="6" t="n">
        <f aca="false">'📊 RawData'!E45</f>
        <v>89.3</v>
      </c>
      <c r="H48" s="4" t="n">
        <f aca="false">'📊 RawData'!I45</f>
        <v>1</v>
      </c>
      <c r="I48" s="6" t="n">
        <f aca="false">'📊 RawData'!G45</f>
        <v>100</v>
      </c>
      <c r="J48" s="77" t="n">
        <f aca="false">ROUND($B$6+$B$7*F48+$B$8*G48+$B$9*H48,1)</f>
        <v>93.1</v>
      </c>
      <c r="K48" s="20" t="n">
        <f aca="false">I48-J48</f>
        <v>6.90000000000001</v>
      </c>
      <c r="L48" s="20" t="n">
        <f aca="false">ABS(K48)</f>
        <v>6.90000000000001</v>
      </c>
      <c r="M48" s="20" t="n">
        <f aca="false">K48^2</f>
        <v>47.6100000000001</v>
      </c>
      <c r="N48" s="21" t="n">
        <f aca="false">ABS((I48-J48)/I48)</f>
        <v>0.0690000000000001</v>
      </c>
    </row>
    <row r="49" customFormat="false" ht="15" hidden="false" customHeight="true" outlineLevel="0" collapsed="false">
      <c r="F49" s="10" t="n">
        <f aca="false">'📊 RawData'!D46</f>
        <v>2.5</v>
      </c>
      <c r="G49" s="10" t="n">
        <f aca="false">'📊 RawData'!E46</f>
        <v>74.8</v>
      </c>
      <c r="H49" s="8" t="n">
        <f aca="false">'📊 RawData'!I46</f>
        <v>0</v>
      </c>
      <c r="I49" s="10" t="n">
        <f aca="false">'📊 RawData'!G46</f>
        <v>72.6</v>
      </c>
      <c r="J49" s="81" t="n">
        <f aca="false">ROUND($B$6+$B$7*F49+$B$8*G49+$B$9*H49,1)</f>
        <v>79.3</v>
      </c>
      <c r="K49" s="26" t="n">
        <f aca="false">I49-J49</f>
        <v>-6.7</v>
      </c>
      <c r="L49" s="26" t="n">
        <f aca="false">ABS(K49)</f>
        <v>6.7</v>
      </c>
      <c r="M49" s="26" t="n">
        <f aca="false">K49^2</f>
        <v>44.89</v>
      </c>
      <c r="N49" s="27" t="n">
        <f aca="false">ABS((I49-J49)/I49)</f>
        <v>0.0922865013774105</v>
      </c>
    </row>
    <row r="50" customFormat="false" ht="15" hidden="false" customHeight="true" outlineLevel="0" collapsed="false">
      <c r="F50" s="6" t="n">
        <f aca="false">'📊 RawData'!D47</f>
        <v>4.5</v>
      </c>
      <c r="G50" s="6" t="n">
        <f aca="false">'📊 RawData'!E47</f>
        <v>76.2</v>
      </c>
      <c r="H50" s="4" t="n">
        <f aca="false">'📊 RawData'!I47</f>
        <v>1</v>
      </c>
      <c r="I50" s="6" t="n">
        <f aca="false">'📊 RawData'!G47</f>
        <v>91.8</v>
      </c>
      <c r="J50" s="77" t="n">
        <f aca="false">ROUND($B$6+$B$7*F50+$B$8*G50+$B$9*H50,1)</f>
        <v>90.3</v>
      </c>
      <c r="K50" s="20" t="n">
        <f aca="false">I50-J50</f>
        <v>1.5</v>
      </c>
      <c r="L50" s="20" t="n">
        <f aca="false">ABS(K50)</f>
        <v>1.5</v>
      </c>
      <c r="M50" s="20" t="n">
        <f aca="false">K50^2</f>
        <v>2.25</v>
      </c>
      <c r="N50" s="21" t="n">
        <f aca="false">ABS((I50-J50)/I50)</f>
        <v>0.0163398692810458</v>
      </c>
    </row>
    <row r="51" customFormat="false" ht="15" hidden="false" customHeight="true" outlineLevel="0" collapsed="false">
      <c r="F51" s="10" t="n">
        <f aca="false">'📊 RawData'!D48</f>
        <v>5</v>
      </c>
      <c r="G51" s="10" t="n">
        <f aca="false">'📊 RawData'!E48</f>
        <v>71.5</v>
      </c>
      <c r="H51" s="8" t="n">
        <f aca="false">'📊 RawData'!I48</f>
        <v>1</v>
      </c>
      <c r="I51" s="10" t="n">
        <f aca="false">'📊 RawData'!G48</f>
        <v>94.6</v>
      </c>
      <c r="J51" s="81" t="n">
        <f aca="false">ROUND($B$6+$B$7*F51+$B$8*G51+$B$9*H51,1)</f>
        <v>90.2</v>
      </c>
      <c r="K51" s="26" t="n">
        <f aca="false">I51-J51</f>
        <v>4.39999999999999</v>
      </c>
      <c r="L51" s="26" t="n">
        <f aca="false">ABS(K51)</f>
        <v>4.39999999999999</v>
      </c>
      <c r="M51" s="26" t="n">
        <f aca="false">K51^2</f>
        <v>19.3599999999999</v>
      </c>
      <c r="N51" s="27" t="n">
        <f aca="false">ABS((I51-J51)/I51)</f>
        <v>0.0465116279069767</v>
      </c>
    </row>
    <row r="52" customFormat="false" ht="15" hidden="false" customHeight="true" outlineLevel="0" collapsed="false">
      <c r="F52" s="6" t="n">
        <f aca="false">'📊 RawData'!D49</f>
        <v>5.3</v>
      </c>
      <c r="G52" s="6" t="n">
        <f aca="false">'📊 RawData'!E49</f>
        <v>72.8</v>
      </c>
      <c r="H52" s="4" t="n">
        <f aca="false">'📊 RawData'!I49</f>
        <v>0</v>
      </c>
      <c r="I52" s="6" t="n">
        <f aca="false">'📊 RawData'!G49</f>
        <v>91.1</v>
      </c>
      <c r="J52" s="77" t="n">
        <f aca="false">ROUND($B$6+$B$7*F52+$B$8*G52+$B$9*H52,1)</f>
        <v>86.9</v>
      </c>
      <c r="K52" s="20" t="n">
        <f aca="false">I52-J52</f>
        <v>4.19999999999999</v>
      </c>
      <c r="L52" s="20" t="n">
        <f aca="false">ABS(K52)</f>
        <v>4.19999999999999</v>
      </c>
      <c r="M52" s="20" t="n">
        <f aca="false">K52^2</f>
        <v>17.6399999999999</v>
      </c>
      <c r="N52" s="21" t="n">
        <f aca="false">ABS((I52-J52)/I52)</f>
        <v>0.0461031833150383</v>
      </c>
    </row>
    <row r="53" customFormat="false" ht="15" hidden="false" customHeight="true" outlineLevel="0" collapsed="false">
      <c r="F53" s="10" t="n">
        <f aca="false">'📊 RawData'!D50</f>
        <v>3.9</v>
      </c>
      <c r="G53" s="10" t="n">
        <f aca="false">'📊 RawData'!E50</f>
        <v>75.3</v>
      </c>
      <c r="H53" s="8" t="n">
        <f aca="false">'📊 RawData'!I50</f>
        <v>0</v>
      </c>
      <c r="I53" s="10" t="n">
        <f aca="false">'📊 RawData'!G50</f>
        <v>78.3</v>
      </c>
      <c r="J53" s="81" t="n">
        <f aca="false">ROUND($B$6+$B$7*F53+$B$8*G53+$B$9*H53,1)</f>
        <v>83.6</v>
      </c>
      <c r="K53" s="26" t="n">
        <f aca="false">I53-J53</f>
        <v>-5.3</v>
      </c>
      <c r="L53" s="26" t="n">
        <f aca="false">ABS(K53)</f>
        <v>5.3</v>
      </c>
      <c r="M53" s="26" t="n">
        <f aca="false">K53^2</f>
        <v>28.09</v>
      </c>
      <c r="N53" s="27" t="n">
        <f aca="false">ABS((I53-J53)/I53)</f>
        <v>0.0676883780332056</v>
      </c>
    </row>
    <row r="54" customFormat="false" ht="15" hidden="false" customHeight="true" outlineLevel="0" collapsed="false">
      <c r="F54" s="6" t="n">
        <f aca="false">'📊 RawData'!D51</f>
        <v>5.3</v>
      </c>
      <c r="G54" s="6" t="n">
        <f aca="false">'📊 RawData'!E51</f>
        <v>73.8</v>
      </c>
      <c r="H54" s="4" t="n">
        <f aca="false">'📊 RawData'!I51</f>
        <v>0</v>
      </c>
      <c r="I54" s="6" t="n">
        <f aca="false">'📊 RawData'!G51</f>
        <v>81.5</v>
      </c>
      <c r="J54" s="77" t="n">
        <f aca="false">ROUND($B$6+$B$7*F54+$B$8*G54+$B$9*H54,1)</f>
        <v>87.2</v>
      </c>
      <c r="K54" s="20" t="n">
        <f aca="false">I54-J54</f>
        <v>-5.7</v>
      </c>
      <c r="L54" s="20" t="n">
        <f aca="false">ABS(K54)</f>
        <v>5.7</v>
      </c>
      <c r="M54" s="20" t="n">
        <f aca="false">K54^2</f>
        <v>32.49</v>
      </c>
      <c r="N54" s="21" t="n">
        <f aca="false">ABS((I54-J54)/I54)</f>
        <v>0.0699386503067485</v>
      </c>
    </row>
    <row r="55" customFormat="false" ht="15" hidden="false" customHeight="true" outlineLevel="0" collapsed="false">
      <c r="F55" s="10" t="n">
        <f aca="false">'📊 RawData'!D52</f>
        <v>5.4</v>
      </c>
      <c r="G55" s="10" t="n">
        <f aca="false">'📊 RawData'!E52</f>
        <v>81.8</v>
      </c>
      <c r="H55" s="8" t="n">
        <f aca="false">'📊 RawData'!I52</f>
        <v>0</v>
      </c>
      <c r="I55" s="10" t="n">
        <f aca="false">'📊 RawData'!G52</f>
        <v>84.4</v>
      </c>
      <c r="J55" s="81" t="n">
        <f aca="false">ROUND($B$6+$B$7*F55+$B$8*G55+$B$9*H55,1)</f>
        <v>90.1</v>
      </c>
      <c r="K55" s="26" t="n">
        <f aca="false">I55-J55</f>
        <v>-5.69999999999999</v>
      </c>
      <c r="L55" s="26" t="n">
        <f aca="false">ABS(K55)</f>
        <v>5.69999999999999</v>
      </c>
      <c r="M55" s="26" t="n">
        <f aca="false">K55^2</f>
        <v>32.4899999999999</v>
      </c>
      <c r="N55" s="27" t="n">
        <f aca="false">ABS((I55-J55)/I55)</f>
        <v>0.0675355450236966</v>
      </c>
    </row>
    <row r="56" customFormat="false" ht="15" hidden="false" customHeight="true" outlineLevel="0" collapsed="false">
      <c r="F56" s="6" t="n">
        <f aca="false">'📊 RawData'!D53</f>
        <v>7</v>
      </c>
      <c r="G56" s="6" t="n">
        <f aca="false">'📊 RawData'!E53</f>
        <v>65.3</v>
      </c>
      <c r="H56" s="4" t="n">
        <f aca="false">'📊 RawData'!I53</f>
        <v>1</v>
      </c>
      <c r="I56" s="6" t="n">
        <f aca="false">'📊 RawData'!G53</f>
        <v>90.9</v>
      </c>
      <c r="J56" s="77" t="n">
        <f aca="false">ROUND($B$6+$B$7*F56+$B$8*G56+$B$9*H56,1)</f>
        <v>94</v>
      </c>
      <c r="K56" s="20" t="n">
        <f aca="false">I56-J56</f>
        <v>-3.09999999999999</v>
      </c>
      <c r="L56" s="20" t="n">
        <f aca="false">ABS(K56)</f>
        <v>3.09999999999999</v>
      </c>
      <c r="M56" s="20" t="n">
        <f aca="false">K56^2</f>
        <v>9.60999999999996</v>
      </c>
      <c r="N56" s="21" t="n">
        <f aca="false">ABS((I56-J56)/I56)</f>
        <v>0.034103410341034</v>
      </c>
    </row>
    <row r="57" customFormat="false" ht="15" hidden="false" customHeight="true" outlineLevel="0" collapsed="false">
      <c r="F57" s="10" t="n">
        <f aca="false">'📊 RawData'!D54</f>
        <v>4.7</v>
      </c>
      <c r="G57" s="10" t="n">
        <f aca="false">'📊 RawData'!E54</f>
        <v>81.1</v>
      </c>
      <c r="H57" s="8" t="n">
        <f aca="false">'📊 RawData'!I54</f>
        <v>0</v>
      </c>
      <c r="I57" s="10" t="n">
        <f aca="false">'📊 RawData'!G54</f>
        <v>96.9</v>
      </c>
      <c r="J57" s="81" t="n">
        <f aca="false">ROUND($B$6+$B$7*F57+$B$8*G57+$B$9*H57,1)</f>
        <v>87.8</v>
      </c>
      <c r="K57" s="26" t="n">
        <f aca="false">I57-J57</f>
        <v>9.10000000000001</v>
      </c>
      <c r="L57" s="26" t="n">
        <f aca="false">ABS(K57)</f>
        <v>9.10000000000001</v>
      </c>
      <c r="M57" s="26" t="n">
        <f aca="false">K57^2</f>
        <v>82.8100000000002</v>
      </c>
      <c r="N57" s="27" t="n">
        <f aca="false">ABS((I57-J57)/I57)</f>
        <v>0.0939112487100104</v>
      </c>
    </row>
    <row r="58" customFormat="false" ht="15" hidden="false" customHeight="true" outlineLevel="0" collapsed="false">
      <c r="F58" s="6" t="n">
        <f aca="false">'📊 RawData'!D55</f>
        <v>5.4</v>
      </c>
      <c r="G58" s="6" t="n">
        <f aca="false">'📊 RawData'!E55</f>
        <v>82.8</v>
      </c>
      <c r="H58" s="4" t="n">
        <f aca="false">'📊 RawData'!I55</f>
        <v>1</v>
      </c>
      <c r="I58" s="6" t="n">
        <f aca="false">'📊 RawData'!G55</f>
        <v>96.7</v>
      </c>
      <c r="J58" s="77" t="n">
        <f aca="false">ROUND($B$6+$B$7*F58+$B$8*G58+$B$9*H58,1)</f>
        <v>95.1</v>
      </c>
      <c r="K58" s="20" t="n">
        <f aca="false">I58-J58</f>
        <v>1.60000000000001</v>
      </c>
      <c r="L58" s="20" t="n">
        <f aca="false">ABS(K58)</f>
        <v>1.60000000000001</v>
      </c>
      <c r="M58" s="20" t="n">
        <f aca="false">K58^2</f>
        <v>2.56000000000003</v>
      </c>
      <c r="N58" s="21" t="n">
        <f aca="false">ABS((I58-J58)/I58)</f>
        <v>0.016546018614271</v>
      </c>
    </row>
    <row r="59" customFormat="false" ht="15" hidden="false" customHeight="true" outlineLevel="0" collapsed="false">
      <c r="F59" s="10" t="n">
        <f aca="false">'📊 RawData'!D56</f>
        <v>6.7</v>
      </c>
      <c r="G59" s="10" t="n">
        <f aca="false">'📊 RawData'!E56</f>
        <v>78.8</v>
      </c>
      <c r="H59" s="8" t="n">
        <f aca="false">'📊 RawData'!I56</f>
        <v>0</v>
      </c>
      <c r="I59" s="10" t="n">
        <f aca="false">'📊 RawData'!G56</f>
        <v>95.1</v>
      </c>
      <c r="J59" s="81" t="n">
        <f aca="false">ROUND($B$6+$B$7*F59+$B$8*G59+$B$9*H59,1)</f>
        <v>92.9</v>
      </c>
      <c r="K59" s="26" t="n">
        <f aca="false">I59-J59</f>
        <v>2.19999999999999</v>
      </c>
      <c r="L59" s="26" t="n">
        <f aca="false">ABS(K59)</f>
        <v>2.19999999999999</v>
      </c>
      <c r="M59" s="26" t="n">
        <f aca="false">K59^2</f>
        <v>4.83999999999995</v>
      </c>
      <c r="N59" s="27" t="n">
        <f aca="false">ABS((I59-J59)/I59)</f>
        <v>0.0231335436382754</v>
      </c>
    </row>
    <row r="60" customFormat="false" ht="15" hidden="false" customHeight="true" outlineLevel="0" collapsed="false">
      <c r="F60" s="6" t="n">
        <f aca="false">'📊 RawData'!D57</f>
        <v>5.2</v>
      </c>
      <c r="G60" s="6" t="n">
        <f aca="false">'📊 RawData'!E57</f>
        <v>89.9</v>
      </c>
      <c r="H60" s="4" t="n">
        <f aca="false">'📊 RawData'!I57</f>
        <v>0</v>
      </c>
      <c r="I60" s="6" t="n">
        <f aca="false">'📊 RawData'!G57</f>
        <v>82.9</v>
      </c>
      <c r="J60" s="77" t="n">
        <f aca="false">ROUND($B$6+$B$7*F60+$B$8*G60+$B$9*H60,1)</f>
        <v>92.2</v>
      </c>
      <c r="K60" s="20" t="n">
        <f aca="false">I60-J60</f>
        <v>-9.3</v>
      </c>
      <c r="L60" s="20" t="n">
        <f aca="false">ABS(K60)</f>
        <v>9.3</v>
      </c>
      <c r="M60" s="20" t="n">
        <f aca="false">K60^2</f>
        <v>86.49</v>
      </c>
      <c r="N60" s="21" t="n">
        <f aca="false">ABS((I60-J60)/I60)</f>
        <v>0.112183353437877</v>
      </c>
    </row>
    <row r="61" customFormat="false" ht="15" hidden="false" customHeight="true" outlineLevel="0" collapsed="false">
      <c r="F61" s="10" t="n">
        <f aca="false">'📊 RawData'!D58</f>
        <v>6.5</v>
      </c>
      <c r="G61" s="10" t="n">
        <f aca="false">'📊 RawData'!E58</f>
        <v>57.5</v>
      </c>
      <c r="H61" s="8" t="n">
        <f aca="false">'📊 RawData'!I58</f>
        <v>1</v>
      </c>
      <c r="I61" s="10" t="n">
        <f aca="false">'📊 RawData'!G58</f>
        <v>84.3</v>
      </c>
      <c r="J61" s="81" t="n">
        <f aca="false">ROUND($B$6+$B$7*F61+$B$8*G61+$B$9*H61,1)</f>
        <v>90</v>
      </c>
      <c r="K61" s="26" t="n">
        <f aca="false">I61-J61</f>
        <v>-5.7</v>
      </c>
      <c r="L61" s="26" t="n">
        <f aca="false">ABS(K61)</f>
        <v>5.7</v>
      </c>
      <c r="M61" s="26" t="n">
        <f aca="false">K61^2</f>
        <v>32.49</v>
      </c>
      <c r="N61" s="27" t="n">
        <f aca="false">ABS((I61-J61)/I61)</f>
        <v>0.0676156583629894</v>
      </c>
    </row>
    <row r="62" customFormat="false" ht="15" hidden="false" customHeight="true" outlineLevel="0" collapsed="false">
      <c r="F62" s="6" t="n">
        <f aca="false">'📊 RawData'!D59</f>
        <v>4.8</v>
      </c>
      <c r="G62" s="6" t="n">
        <f aca="false">'📊 RawData'!E59</f>
        <v>81.1</v>
      </c>
      <c r="H62" s="4" t="n">
        <f aca="false">'📊 RawData'!I59</f>
        <v>0</v>
      </c>
      <c r="I62" s="6" t="n">
        <f aca="false">'📊 RawData'!G59</f>
        <v>90.4</v>
      </c>
      <c r="J62" s="77" t="n">
        <f aca="false">ROUND($B$6+$B$7*F62+$B$8*G62+$B$9*H62,1)</f>
        <v>88.1</v>
      </c>
      <c r="K62" s="20" t="n">
        <f aca="false">I62-J62</f>
        <v>2.30000000000001</v>
      </c>
      <c r="L62" s="20" t="n">
        <f aca="false">ABS(K62)</f>
        <v>2.30000000000001</v>
      </c>
      <c r="M62" s="20" t="n">
        <f aca="false">K62^2</f>
        <v>5.29000000000005</v>
      </c>
      <c r="N62" s="21" t="n">
        <f aca="false">ABS((I62-J62)/I62)</f>
        <v>0.0254424778761063</v>
      </c>
    </row>
    <row r="63" customFormat="false" ht="15" hidden="false" customHeight="true" outlineLevel="0" collapsed="false">
      <c r="F63" s="10" t="n">
        <f aca="false">'📊 RawData'!D60</f>
        <v>8.5</v>
      </c>
      <c r="G63" s="10" t="n">
        <f aca="false">'📊 RawData'!E60</f>
        <v>70.1</v>
      </c>
      <c r="H63" s="8" t="n">
        <f aca="false">'📊 RawData'!I60</f>
        <v>1</v>
      </c>
      <c r="I63" s="10" t="n">
        <f aca="false">'📊 RawData'!G60</f>
        <v>100</v>
      </c>
      <c r="J63" s="81" t="n">
        <f aca="false">ROUND($B$6+$B$7*F63+$B$8*G63+$B$9*H63,1)</f>
        <v>100</v>
      </c>
      <c r="K63" s="26" t="n">
        <f aca="false">I63-J63</f>
        <v>0</v>
      </c>
      <c r="L63" s="26" t="n">
        <f aca="false">ABS(K63)</f>
        <v>0</v>
      </c>
      <c r="M63" s="26" t="n">
        <f aca="false">K63^2</f>
        <v>0</v>
      </c>
      <c r="N63" s="27" t="n">
        <f aca="false">ABS((I63-J63)/I63)</f>
        <v>0</v>
      </c>
    </row>
    <row r="64" customFormat="false" ht="15" hidden="false" customHeight="true" outlineLevel="0" collapsed="false">
      <c r="F64" s="6" t="n">
        <f aca="false">'📊 RawData'!D61</f>
        <v>4.4</v>
      </c>
      <c r="G64" s="6" t="n">
        <f aca="false">'📊 RawData'!E61</f>
        <v>79.9</v>
      </c>
      <c r="H64" s="4" t="n">
        <f aca="false">'📊 RawData'!I61</f>
        <v>1</v>
      </c>
      <c r="I64" s="6" t="n">
        <f aca="false">'📊 RawData'!G61</f>
        <v>97.8</v>
      </c>
      <c r="J64" s="77" t="n">
        <f aca="false">ROUND($B$6+$B$7*F64+$B$8*G64+$B$9*H64,1)</f>
        <v>91.2</v>
      </c>
      <c r="K64" s="20" t="n">
        <f aca="false">I64-J64</f>
        <v>6.59999999999999</v>
      </c>
      <c r="L64" s="20" t="n">
        <f aca="false">ABS(K64)</f>
        <v>6.59999999999999</v>
      </c>
      <c r="M64" s="20" t="n">
        <f aca="false">K64^2</f>
        <v>43.5599999999999</v>
      </c>
      <c r="N64" s="21" t="n">
        <f aca="false">ABS((I64-J64)/I64)</f>
        <v>0.0674846625766871</v>
      </c>
    </row>
    <row r="65" customFormat="false" ht="15" hidden="false" customHeight="true" outlineLevel="0" collapsed="false">
      <c r="F65" s="10" t="n">
        <f aca="false">'📊 RawData'!D62</f>
        <v>4.2</v>
      </c>
      <c r="G65" s="10" t="n">
        <f aca="false">'📊 RawData'!E62</f>
        <v>86.4</v>
      </c>
      <c r="H65" s="8" t="n">
        <f aca="false">'📊 RawData'!I62</f>
        <v>1</v>
      </c>
      <c r="I65" s="10" t="n">
        <f aca="false">'📊 RawData'!G62</f>
        <v>91</v>
      </c>
      <c r="J65" s="81" t="n">
        <f aca="false">ROUND($B$6+$B$7*F65+$B$8*G65+$B$9*H65,1)</f>
        <v>92.7</v>
      </c>
      <c r="K65" s="26" t="n">
        <f aca="false">I65-J65</f>
        <v>-1.7</v>
      </c>
      <c r="L65" s="26" t="n">
        <f aca="false">ABS(K65)</f>
        <v>1.7</v>
      </c>
      <c r="M65" s="26" t="n">
        <f aca="false">K65^2</f>
        <v>2.89000000000001</v>
      </c>
      <c r="N65" s="27" t="n">
        <f aca="false">ABS((I65-J65)/I65)</f>
        <v>0.0186813186813187</v>
      </c>
    </row>
    <row r="66" customFormat="false" ht="15" hidden="false" customHeight="true" outlineLevel="0" collapsed="false">
      <c r="F66" s="6" t="n">
        <f aca="false">'📊 RawData'!D63</f>
        <v>3.3</v>
      </c>
      <c r="G66" s="6" t="n">
        <f aca="false">'📊 RawData'!E63</f>
        <v>69.1</v>
      </c>
      <c r="H66" s="4" t="n">
        <f aca="false">'📊 RawData'!I63</f>
        <v>0</v>
      </c>
      <c r="I66" s="6" t="n">
        <f aca="false">'📊 RawData'!G63</f>
        <v>79.2</v>
      </c>
      <c r="J66" s="77" t="n">
        <f aca="false">ROUND($B$6+$B$7*F66+$B$8*G66+$B$9*H66,1)</f>
        <v>79.8</v>
      </c>
      <c r="K66" s="20" t="n">
        <f aca="false">I66-J66</f>
        <v>-0.599999999999994</v>
      </c>
      <c r="L66" s="20" t="n">
        <f aca="false">ABS(K66)</f>
        <v>0.599999999999994</v>
      </c>
      <c r="M66" s="20" t="n">
        <f aca="false">K66^2</f>
        <v>0.359999999999993</v>
      </c>
      <c r="N66" s="21" t="n">
        <f aca="false">ABS((I66-J66)/I66)</f>
        <v>0.0075757575757575</v>
      </c>
    </row>
    <row r="67" customFormat="false" ht="15" hidden="false" customHeight="true" outlineLevel="0" collapsed="false">
      <c r="F67" s="10" t="n">
        <f aca="false">'📊 RawData'!D64</f>
        <v>4.6</v>
      </c>
      <c r="G67" s="10" t="n">
        <f aca="false">'📊 RawData'!E64</f>
        <v>88.8</v>
      </c>
      <c r="H67" s="8" t="n">
        <f aca="false">'📊 RawData'!I64</f>
        <v>0</v>
      </c>
      <c r="I67" s="10" t="n">
        <f aca="false">'📊 RawData'!G64</f>
        <v>88.9</v>
      </c>
      <c r="J67" s="81" t="n">
        <f aca="false">ROUND($B$6+$B$7*F67+$B$8*G67+$B$9*H67,1)</f>
        <v>90</v>
      </c>
      <c r="K67" s="26" t="n">
        <f aca="false">I67-J67</f>
        <v>-1.09999999999999</v>
      </c>
      <c r="L67" s="26" t="n">
        <f aca="false">ABS(K67)</f>
        <v>1.09999999999999</v>
      </c>
      <c r="M67" s="26" t="n">
        <f aca="false">K67^2</f>
        <v>1.20999999999999</v>
      </c>
      <c r="N67" s="27" t="n">
        <f aca="false">ABS((I67-J67)/I67)</f>
        <v>0.0123734533183351</v>
      </c>
    </row>
    <row r="68" customFormat="false" ht="15" hidden="false" customHeight="true" outlineLevel="0" collapsed="false">
      <c r="F68" s="6" t="n">
        <f aca="false">'📊 RawData'!D65</f>
        <v>0.5</v>
      </c>
      <c r="G68" s="6" t="n">
        <f aca="false">'📊 RawData'!E65</f>
        <v>72.9</v>
      </c>
      <c r="H68" s="4" t="n">
        <f aca="false">'📊 RawData'!I65</f>
        <v>1</v>
      </c>
      <c r="I68" s="6" t="n">
        <f aca="false">'📊 RawData'!G65</f>
        <v>81.1</v>
      </c>
      <c r="J68" s="77" t="n">
        <f aca="false">ROUND($B$6+$B$7*F68+$B$8*G68+$B$9*H68,1)</f>
        <v>77.5</v>
      </c>
      <c r="K68" s="20" t="n">
        <f aca="false">I68-J68</f>
        <v>3.59999999999999</v>
      </c>
      <c r="L68" s="20" t="n">
        <f aca="false">ABS(K68)</f>
        <v>3.59999999999999</v>
      </c>
      <c r="M68" s="20" t="n">
        <f aca="false">K68^2</f>
        <v>12.96</v>
      </c>
      <c r="N68" s="21" t="n">
        <f aca="false">ABS((I68-J68)/I68)</f>
        <v>0.0443896424167694</v>
      </c>
    </row>
    <row r="69" customFormat="false" ht="15" hidden="false" customHeight="true" outlineLevel="0" collapsed="false">
      <c r="F69" s="10" t="n">
        <f aca="false">'📊 RawData'!D66</f>
        <v>3.2</v>
      </c>
      <c r="G69" s="10" t="n">
        <f aca="false">'📊 RawData'!E66</f>
        <v>73.2</v>
      </c>
      <c r="H69" s="8" t="n">
        <f aca="false">'📊 RawData'!I66</f>
        <v>1</v>
      </c>
      <c r="I69" s="10" t="n">
        <f aca="false">'📊 RawData'!G66</f>
        <v>83.6</v>
      </c>
      <c r="J69" s="81" t="n">
        <f aca="false">ROUND($B$6+$B$7*F69+$B$8*G69+$B$9*H69,1)</f>
        <v>85.5</v>
      </c>
      <c r="K69" s="26" t="n">
        <f aca="false">I69-J69</f>
        <v>-1.90000000000001</v>
      </c>
      <c r="L69" s="26" t="n">
        <f aca="false">ABS(K69)</f>
        <v>1.90000000000001</v>
      </c>
      <c r="M69" s="26" t="n">
        <f aca="false">K69^2</f>
        <v>3.61000000000002</v>
      </c>
      <c r="N69" s="27" t="n">
        <f aca="false">ABS((I69-J69)/I69)</f>
        <v>0.0227272727272728</v>
      </c>
    </row>
    <row r="70" customFormat="false" ht="15" hidden="false" customHeight="true" outlineLevel="0" collapsed="false">
      <c r="F70" s="6" t="n">
        <f aca="false">'📊 RawData'!D67</f>
        <v>5.9</v>
      </c>
      <c r="G70" s="6" t="n">
        <f aca="false">'📊 RawData'!E67</f>
        <v>73.9</v>
      </c>
      <c r="H70" s="4" t="n">
        <f aca="false">'📊 RawData'!I67</f>
        <v>1</v>
      </c>
      <c r="I70" s="6" t="n">
        <f aca="false">'📊 RawData'!G67</f>
        <v>100</v>
      </c>
      <c r="J70" s="77" t="n">
        <f aca="false">ROUND($B$6+$B$7*F70+$B$8*G70+$B$9*H70,1)</f>
        <v>93.6</v>
      </c>
      <c r="K70" s="20" t="n">
        <f aca="false">I70-J70</f>
        <v>6.40000000000001</v>
      </c>
      <c r="L70" s="20" t="n">
        <f aca="false">ABS(K70)</f>
        <v>6.40000000000001</v>
      </c>
      <c r="M70" s="20" t="n">
        <f aca="false">K70^2</f>
        <v>40.9600000000001</v>
      </c>
      <c r="N70" s="21" t="n">
        <f aca="false">ABS((I70-J70)/I70)</f>
        <v>0.0640000000000001</v>
      </c>
    </row>
    <row r="71" customFormat="false" ht="15" hidden="false" customHeight="true" outlineLevel="0" collapsed="false">
      <c r="F71" s="10" t="n">
        <f aca="false">'📊 RawData'!D68</f>
        <v>3.3</v>
      </c>
      <c r="G71" s="10" t="n">
        <f aca="false">'📊 RawData'!E68</f>
        <v>72.4</v>
      </c>
      <c r="H71" s="8" t="n">
        <f aca="false">'📊 RawData'!I68</f>
        <v>1</v>
      </c>
      <c r="I71" s="10" t="n">
        <f aca="false">'📊 RawData'!G68</f>
        <v>84.5</v>
      </c>
      <c r="J71" s="81" t="n">
        <f aca="false">ROUND($B$6+$B$7*F71+$B$8*G71+$B$9*H71,1)</f>
        <v>85.5</v>
      </c>
      <c r="K71" s="26" t="n">
        <f aca="false">I71-J71</f>
        <v>-1</v>
      </c>
      <c r="L71" s="26" t="n">
        <f aca="false">ABS(K71)</f>
        <v>1</v>
      </c>
      <c r="M71" s="26" t="n">
        <f aca="false">K71^2</f>
        <v>1</v>
      </c>
      <c r="N71" s="27" t="n">
        <f aca="false">ABS((I71-J71)/I71)</f>
        <v>0.0118343195266272</v>
      </c>
    </row>
    <row r="72" customFormat="false" ht="15" hidden="false" customHeight="true" outlineLevel="0" collapsed="false">
      <c r="F72" s="6" t="n">
        <f aca="false">'📊 RawData'!D69</f>
        <v>9.6</v>
      </c>
      <c r="G72" s="6" t="n">
        <f aca="false">'📊 RawData'!E69</f>
        <v>66.4</v>
      </c>
      <c r="H72" s="4" t="n">
        <f aca="false">'📊 RawData'!I69</f>
        <v>0</v>
      </c>
      <c r="I72" s="6" t="n">
        <f aca="false">'📊 RawData'!G69</f>
        <v>100</v>
      </c>
      <c r="J72" s="77" t="n">
        <f aca="false">ROUND($B$6+$B$7*F72+$B$8*G72+$B$9*H72,1)</f>
        <v>97.4</v>
      </c>
      <c r="K72" s="20" t="n">
        <f aca="false">I72-J72</f>
        <v>2.59999999999999</v>
      </c>
      <c r="L72" s="20" t="n">
        <f aca="false">ABS(K72)</f>
        <v>2.59999999999999</v>
      </c>
      <c r="M72" s="20" t="n">
        <f aca="false">K72^2</f>
        <v>6.75999999999997</v>
      </c>
      <c r="N72" s="21" t="n">
        <f aca="false">ABS((I72-J72)/I72)</f>
        <v>0.0259999999999999</v>
      </c>
    </row>
    <row r="73" customFormat="false" ht="15" hidden="false" customHeight="true" outlineLevel="0" collapsed="false">
      <c r="F73" s="10" t="n">
        <f aca="false">'📊 RawData'!D70</f>
        <v>7.7</v>
      </c>
      <c r="G73" s="10" t="n">
        <f aca="false">'📊 RawData'!E70</f>
        <v>96.1</v>
      </c>
      <c r="H73" s="8" t="n">
        <f aca="false">'📊 RawData'!I70</f>
        <v>1</v>
      </c>
      <c r="I73" s="10" t="n">
        <f aca="false">'📊 RawData'!G70</f>
        <v>100</v>
      </c>
      <c r="J73" s="81" t="n">
        <f aca="false">ROUND($B$6+$B$7*F73+$B$8*G73+$B$9*H73,1)</f>
        <v>106.1</v>
      </c>
      <c r="K73" s="26" t="n">
        <f aca="false">I73-J73</f>
        <v>-6.09999999999999</v>
      </c>
      <c r="L73" s="26" t="n">
        <f aca="false">ABS(K73)</f>
        <v>6.09999999999999</v>
      </c>
      <c r="M73" s="26" t="n">
        <f aca="false">K73^2</f>
        <v>37.2099999999999</v>
      </c>
      <c r="N73" s="27" t="n">
        <f aca="false">ABS((I73-J73)/I73)</f>
        <v>0.0609999999999999</v>
      </c>
    </row>
    <row r="74" customFormat="false" ht="15" hidden="false" customHeight="true" outlineLevel="0" collapsed="false">
      <c r="F74" s="6" t="n">
        <f aca="false">'📊 RawData'!D71</f>
        <v>3.9</v>
      </c>
      <c r="G74" s="6" t="n">
        <f aca="false">'📊 RawData'!E71</f>
        <v>74.7</v>
      </c>
      <c r="H74" s="4" t="n">
        <f aca="false">'📊 RawData'!I71</f>
        <v>1</v>
      </c>
      <c r="I74" s="6" t="n">
        <f aca="false">'📊 RawData'!G71</f>
        <v>82.5</v>
      </c>
      <c r="J74" s="77" t="n">
        <f aca="false">ROUND($B$6+$B$7*F74+$B$8*G74+$B$9*H74,1)</f>
        <v>88</v>
      </c>
      <c r="K74" s="20" t="n">
        <f aca="false">I74-J74</f>
        <v>-5.5</v>
      </c>
      <c r="L74" s="20" t="n">
        <f aca="false">ABS(K74)</f>
        <v>5.5</v>
      </c>
      <c r="M74" s="20" t="n">
        <f aca="false">K74^2</f>
        <v>30.25</v>
      </c>
      <c r="N74" s="21" t="n">
        <f aca="false">ABS((I74-J74)/I74)</f>
        <v>0.0666666666666667</v>
      </c>
    </row>
    <row r="75" customFormat="false" ht="15" hidden="false" customHeight="true" outlineLevel="0" collapsed="false">
      <c r="F75" s="10" t="n">
        <f aca="false">'📊 RawData'!D72</f>
        <v>5.3</v>
      </c>
      <c r="G75" s="10" t="n">
        <f aca="false">'📊 RawData'!E72</f>
        <v>72.4</v>
      </c>
      <c r="H75" s="8" t="n">
        <f aca="false">'📊 RawData'!I72</f>
        <v>1</v>
      </c>
      <c r="I75" s="10" t="n">
        <f aca="false">'📊 RawData'!G72</f>
        <v>88.2</v>
      </c>
      <c r="J75" s="81" t="n">
        <f aca="false">ROUND($B$6+$B$7*F75+$B$8*G75+$B$9*H75,1)</f>
        <v>91.4</v>
      </c>
      <c r="K75" s="26" t="n">
        <f aca="false">I75-J75</f>
        <v>-3.2</v>
      </c>
      <c r="L75" s="26" t="n">
        <f aca="false">ABS(K75)</f>
        <v>3.2</v>
      </c>
      <c r="M75" s="26" t="n">
        <f aca="false">K75^2</f>
        <v>10.24</v>
      </c>
      <c r="N75" s="27" t="n">
        <f aca="false">ABS((I75-J75)/I75)</f>
        <v>0.036281179138322</v>
      </c>
    </row>
    <row r="76" customFormat="false" ht="15" hidden="false" customHeight="true" outlineLevel="0" collapsed="false">
      <c r="F76" s="6" t="n">
        <f aca="false">'📊 RawData'!D73</f>
        <v>4.9</v>
      </c>
      <c r="G76" s="6" t="n">
        <f aca="false">'📊 RawData'!E73</f>
        <v>94</v>
      </c>
      <c r="H76" s="4" t="n">
        <f aca="false">'📊 RawData'!I73</f>
        <v>0</v>
      </c>
      <c r="I76" s="6" t="n">
        <f aca="false">'📊 RawData'!G73</f>
        <v>88.4</v>
      </c>
      <c r="J76" s="77" t="n">
        <f aca="false">ROUND($B$6+$B$7*F76+$B$8*G76+$B$9*H76,1)</f>
        <v>92.6</v>
      </c>
      <c r="K76" s="20" t="n">
        <f aca="false">I76-J76</f>
        <v>-4.19999999999999</v>
      </c>
      <c r="L76" s="20" t="n">
        <f aca="false">ABS(K76)</f>
        <v>4.19999999999999</v>
      </c>
      <c r="M76" s="20" t="n">
        <f aca="false">K76^2</f>
        <v>17.6399999999999</v>
      </c>
      <c r="N76" s="21" t="n">
        <f aca="false">ABS((I76-J76)/I76)</f>
        <v>0.0475113122171944</v>
      </c>
    </row>
    <row r="77" customFormat="false" ht="15" hidden="false" customHeight="true" outlineLevel="0" collapsed="false">
      <c r="F77" s="10" t="n">
        <f aca="false">'📊 RawData'!D74</f>
        <v>3.7</v>
      </c>
      <c r="G77" s="10" t="n">
        <f aca="false">'📊 RawData'!E74</f>
        <v>75.8</v>
      </c>
      <c r="H77" s="8" t="n">
        <f aca="false">'📊 RawData'!I74</f>
        <v>0</v>
      </c>
      <c r="I77" s="10" t="n">
        <f aca="false">'📊 RawData'!G74</f>
        <v>80.6</v>
      </c>
      <c r="J77" s="81" t="n">
        <f aca="false">ROUND($B$6+$B$7*F77+$B$8*G77+$B$9*H77,1)</f>
        <v>83.2</v>
      </c>
      <c r="K77" s="26" t="n">
        <f aca="false">I77-J77</f>
        <v>-2.60000000000001</v>
      </c>
      <c r="L77" s="26" t="n">
        <f aca="false">ABS(K77)</f>
        <v>2.60000000000001</v>
      </c>
      <c r="M77" s="26" t="n">
        <f aca="false">K77^2</f>
        <v>6.76000000000004</v>
      </c>
      <c r="N77" s="27" t="n">
        <f aca="false">ABS((I77-J77)/I77)</f>
        <v>0.0322580645161291</v>
      </c>
    </row>
    <row r="78" customFormat="false" ht="15" hidden="false" customHeight="true" outlineLevel="0" collapsed="false">
      <c r="F78" s="6" t="n">
        <f aca="false">'📊 RawData'!D75</f>
        <v>4.3</v>
      </c>
      <c r="G78" s="6" t="n">
        <f aca="false">'📊 RawData'!E75</f>
        <v>77.3</v>
      </c>
      <c r="H78" s="4" t="n">
        <f aca="false">'📊 RawData'!I75</f>
        <v>0</v>
      </c>
      <c r="I78" s="6" t="n">
        <f aca="false">'📊 RawData'!G75</f>
        <v>94.3</v>
      </c>
      <c r="J78" s="77" t="n">
        <f aca="false">ROUND($B$6+$B$7*F78+$B$8*G78+$B$9*H78,1)</f>
        <v>85.4</v>
      </c>
      <c r="K78" s="20" t="n">
        <f aca="false">I78-J78</f>
        <v>8.89999999999999</v>
      </c>
      <c r="L78" s="20" t="n">
        <f aca="false">ABS(K78)</f>
        <v>8.89999999999999</v>
      </c>
      <c r="M78" s="20" t="n">
        <f aca="false">K78^2</f>
        <v>79.2099999999999</v>
      </c>
      <c r="N78" s="21" t="n">
        <f aca="false">ABS((I78-J78)/I78)</f>
        <v>0.0943796394485683</v>
      </c>
    </row>
    <row r="79" customFormat="false" ht="15" hidden="false" customHeight="true" outlineLevel="0" collapsed="false">
      <c r="F79" s="10" t="n">
        <f aca="false">'📊 RawData'!D76</f>
        <v>6.2</v>
      </c>
      <c r="G79" s="10" t="n">
        <f aca="false">'📊 RawData'!E76</f>
        <v>96.1</v>
      </c>
      <c r="H79" s="8" t="n">
        <f aca="false">'📊 RawData'!I76</f>
        <v>1</v>
      </c>
      <c r="I79" s="10" t="n">
        <f aca="false">'📊 RawData'!G76</f>
        <v>100</v>
      </c>
      <c r="J79" s="81" t="n">
        <f aca="false">ROUND($B$6+$B$7*F79+$B$8*G79+$B$9*H79,1)</f>
        <v>101.7</v>
      </c>
      <c r="K79" s="26" t="n">
        <f aca="false">I79-J79</f>
        <v>-1.7</v>
      </c>
      <c r="L79" s="26" t="n">
        <f aca="false">ABS(K79)</f>
        <v>1.7</v>
      </c>
      <c r="M79" s="26" t="n">
        <f aca="false">K79^2</f>
        <v>2.89000000000001</v>
      </c>
      <c r="N79" s="27" t="n">
        <f aca="false">ABS((I79-J79)/I79)</f>
        <v>0.017</v>
      </c>
    </row>
    <row r="80" customFormat="false" ht="15" hidden="false" customHeight="true" outlineLevel="0" collapsed="false">
      <c r="F80" s="6" t="n">
        <f aca="false">'📊 RawData'!D77</f>
        <v>5.2</v>
      </c>
      <c r="G80" s="6" t="n">
        <f aca="false">'📊 RawData'!E77</f>
        <v>81.3</v>
      </c>
      <c r="H80" s="4" t="n">
        <f aca="false">'📊 RawData'!I77</f>
        <v>1</v>
      </c>
      <c r="I80" s="6" t="n">
        <f aca="false">'📊 RawData'!G77</f>
        <v>99.6</v>
      </c>
      <c r="J80" s="77" t="n">
        <f aca="false">ROUND($B$6+$B$7*F80+$B$8*G80+$B$9*H80,1)</f>
        <v>94</v>
      </c>
      <c r="K80" s="20" t="n">
        <f aca="false">I80-J80</f>
        <v>5.59999999999999</v>
      </c>
      <c r="L80" s="20" t="n">
        <f aca="false">ABS(K80)</f>
        <v>5.59999999999999</v>
      </c>
      <c r="M80" s="20" t="n">
        <f aca="false">K80^2</f>
        <v>31.3599999999999</v>
      </c>
      <c r="N80" s="21" t="n">
        <f aca="false">ABS((I80-J80)/I80)</f>
        <v>0.0562248995983935</v>
      </c>
    </row>
    <row r="81" customFormat="false" ht="15" hidden="false" customHeight="true" outlineLevel="0" collapsed="false">
      <c r="F81" s="10" t="n">
        <f aca="false">'📊 RawData'!D78</f>
        <v>4.9</v>
      </c>
      <c r="G81" s="10" t="n">
        <f aca="false">'📊 RawData'!E78</f>
        <v>92.4</v>
      </c>
      <c r="H81" s="8" t="n">
        <f aca="false">'📊 RawData'!I78</f>
        <v>0</v>
      </c>
      <c r="I81" s="10" t="n">
        <f aca="false">'📊 RawData'!G78</f>
        <v>100</v>
      </c>
      <c r="J81" s="81" t="n">
        <f aca="false">ROUND($B$6+$B$7*F81+$B$8*G81+$B$9*H81,1)</f>
        <v>92.1</v>
      </c>
      <c r="K81" s="26" t="n">
        <f aca="false">I81-J81</f>
        <v>7.90000000000001</v>
      </c>
      <c r="L81" s="26" t="n">
        <f aca="false">ABS(K81)</f>
        <v>7.90000000000001</v>
      </c>
      <c r="M81" s="26" t="n">
        <f aca="false">K81^2</f>
        <v>62.4100000000001</v>
      </c>
      <c r="N81" s="27" t="n">
        <f aca="false">ABS((I81-J81)/I81)</f>
        <v>0.0790000000000001</v>
      </c>
    </row>
    <row r="82" customFormat="false" ht="15" hidden="false" customHeight="true" outlineLevel="0" collapsed="false">
      <c r="F82" s="6" t="n">
        <f aca="false">'📊 RawData'!D79</f>
        <v>4.4</v>
      </c>
      <c r="G82" s="6" t="n">
        <f aca="false">'📊 RawData'!E79</f>
        <v>83.1</v>
      </c>
      <c r="H82" s="4" t="n">
        <f aca="false">'📊 RawData'!I79</f>
        <v>1</v>
      </c>
      <c r="I82" s="6" t="n">
        <f aca="false">'📊 RawData'!G79</f>
        <v>96.6</v>
      </c>
      <c r="J82" s="77" t="n">
        <f aca="false">ROUND($B$6+$B$7*F82+$B$8*G82+$B$9*H82,1)</f>
        <v>92.2</v>
      </c>
      <c r="K82" s="20" t="n">
        <f aca="false">I82-J82</f>
        <v>4.39999999999999</v>
      </c>
      <c r="L82" s="20" t="n">
        <f aca="false">ABS(K82)</f>
        <v>4.39999999999999</v>
      </c>
      <c r="M82" s="20" t="n">
        <f aca="false">K82^2</f>
        <v>19.3599999999999</v>
      </c>
      <c r="N82" s="21" t="n">
        <f aca="false">ABS((I82-J82)/I82)</f>
        <v>0.0455486542443063</v>
      </c>
    </row>
    <row r="83" customFormat="false" ht="15" hidden="false" customHeight="true" outlineLevel="0" collapsed="false">
      <c r="F83" s="10" t="n">
        <f aca="false">'📊 RawData'!D80</f>
        <v>5.4</v>
      </c>
      <c r="G83" s="10" t="n">
        <f aca="false">'📊 RawData'!E80</f>
        <v>77.1</v>
      </c>
      <c r="H83" s="8" t="n">
        <f aca="false">'📊 RawData'!I80</f>
        <v>0</v>
      </c>
      <c r="I83" s="10" t="n">
        <f aca="false">'📊 RawData'!G80</f>
        <v>96.7</v>
      </c>
      <c r="J83" s="81" t="n">
        <f aca="false">ROUND($B$6+$B$7*F83+$B$8*G83+$B$9*H83,1)</f>
        <v>88.6</v>
      </c>
      <c r="K83" s="26" t="n">
        <f aca="false">I83-J83</f>
        <v>8.10000000000001</v>
      </c>
      <c r="L83" s="26" t="n">
        <f aca="false">ABS(K83)</f>
        <v>8.10000000000001</v>
      </c>
      <c r="M83" s="26" t="n">
        <f aca="false">K83^2</f>
        <v>65.6100000000001</v>
      </c>
      <c r="N83" s="27" t="n">
        <f aca="false">ABS((I83-J83)/I83)</f>
        <v>0.0837642192347467</v>
      </c>
    </row>
    <row r="84" customFormat="false" ht="15" hidden="false" customHeight="true" outlineLevel="0" collapsed="false">
      <c r="F84" s="6" t="n">
        <f aca="false">'📊 RawData'!D81</f>
        <v>3.8</v>
      </c>
      <c r="G84" s="6" t="n">
        <f aca="false">'📊 RawData'!E81</f>
        <v>85.1</v>
      </c>
      <c r="H84" s="4" t="n">
        <f aca="false">'📊 RawData'!I81</f>
        <v>0</v>
      </c>
      <c r="I84" s="6" t="n">
        <f aca="false">'📊 RawData'!G81</f>
        <v>92.6</v>
      </c>
      <c r="J84" s="77" t="n">
        <f aca="false">ROUND($B$6+$B$7*F84+$B$8*G84+$B$9*H84,1)</f>
        <v>86.5</v>
      </c>
      <c r="K84" s="20" t="n">
        <f aca="false">I84-J84</f>
        <v>6.09999999999999</v>
      </c>
      <c r="L84" s="20" t="n">
        <f aca="false">ABS(K84)</f>
        <v>6.09999999999999</v>
      </c>
      <c r="M84" s="20" t="n">
        <f aca="false">K84^2</f>
        <v>37.2099999999999</v>
      </c>
      <c r="N84" s="21" t="n">
        <f aca="false">ABS((I84-J84)/I84)</f>
        <v>0.0658747300215982</v>
      </c>
    </row>
    <row r="85" customFormat="false" ht="15" hidden="false" customHeight="true" outlineLevel="0" collapsed="false">
      <c r="F85" s="10" t="n">
        <f aca="false">'📊 RawData'!D82</f>
        <v>5.1</v>
      </c>
      <c r="G85" s="10" t="n">
        <f aca="false">'📊 RawData'!E82</f>
        <v>75.7</v>
      </c>
      <c r="H85" s="8" t="n">
        <f aca="false">'📊 RawData'!I82</f>
        <v>0</v>
      </c>
      <c r="I85" s="10" t="n">
        <f aca="false">'📊 RawData'!G82</f>
        <v>90.7</v>
      </c>
      <c r="J85" s="81" t="n">
        <f aca="false">ROUND($B$6+$B$7*F85+$B$8*G85+$B$9*H85,1)</f>
        <v>87.2</v>
      </c>
      <c r="K85" s="26" t="n">
        <f aca="false">I85-J85</f>
        <v>3.5</v>
      </c>
      <c r="L85" s="26" t="n">
        <f aca="false">ABS(K85)</f>
        <v>3.5</v>
      </c>
      <c r="M85" s="26" t="n">
        <f aca="false">K85^2</f>
        <v>12.25</v>
      </c>
      <c r="N85" s="27" t="n">
        <f aca="false">ABS((I85-J85)/I85)</f>
        <v>0.0385887541345094</v>
      </c>
    </row>
    <row r="86" customFormat="false" ht="19.5" hidden="false" customHeight="true" outlineLevel="0" collapsed="false">
      <c r="F86" s="90" t="s">
        <v>239</v>
      </c>
      <c r="G86" s="90"/>
      <c r="H86" s="90"/>
      <c r="I86" s="90"/>
      <c r="J86" s="40" t="n">
        <f aca="false">AVERAGE(J6:J85)</f>
        <v>89.3075</v>
      </c>
      <c r="K86" s="41" t="n">
        <f aca="false">AVERAGE(K6:K85)</f>
        <v>0.00249999999999986</v>
      </c>
      <c r="L86" s="3" t="n">
        <f aca="false">AVERAGE(L6:L85)</f>
        <v>4.3925</v>
      </c>
      <c r="M86" s="3" t="n">
        <f aca="false">SQRT(AVERAGE(M6:M85))</f>
        <v>5.21653620710141</v>
      </c>
      <c r="N86" s="42" t="n">
        <f aca="false">AVERAGE(N6:N85)</f>
        <v>0.050298257590535</v>
      </c>
    </row>
  </sheetData>
  <mergeCells count="9">
    <mergeCell ref="A1:N1"/>
    <mergeCell ref="A2:N2"/>
    <mergeCell ref="A4:D4"/>
    <mergeCell ref="F4:N4"/>
    <mergeCell ref="A14:D14"/>
    <mergeCell ref="A15:D15"/>
    <mergeCell ref="A18:D18"/>
    <mergeCell ref="A23:D23"/>
    <mergeCell ref="F86:I8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0112B"/>
    <pageSetUpPr fitToPage="false"/>
  </sheetPr>
  <dimension ref="A1:K9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1"/>
    <col collapsed="false" customWidth="true" hidden="false" outlineLevel="0" max="3" min="3" style="1" width="13"/>
    <col collapsed="false" customWidth="true" hidden="false" outlineLevel="0" max="4" min="4" style="1" width="10"/>
    <col collapsed="false" customWidth="true" hidden="false" outlineLevel="0" max="6" min="5" style="1" width="12"/>
    <col collapsed="false" customWidth="true" hidden="false" outlineLevel="0" max="7" min="7" style="1" width="10"/>
    <col collapsed="false" customWidth="true" hidden="false" outlineLevel="0" max="8" min="8" style="1" width="16"/>
    <col collapsed="false" customWidth="true" hidden="false" outlineLevel="0" max="9" min="9" style="1" width="4"/>
    <col collapsed="false" customWidth="true" hidden="false" outlineLevel="0" max="10" min="10" style="1" width="16"/>
    <col collapsed="false" customWidth="true" hidden="false" outlineLevel="0" max="14" min="11" style="1" width="10"/>
  </cols>
  <sheetData>
    <row r="1" customFormat="false" ht="27.75" hidden="false" customHeight="true" outlineLevel="0" collapsed="false">
      <c r="A1" s="91" t="s">
        <v>240</v>
      </c>
      <c r="B1" s="91"/>
      <c r="C1" s="91"/>
      <c r="D1" s="91"/>
      <c r="E1" s="91"/>
      <c r="F1" s="91"/>
      <c r="G1" s="91"/>
      <c r="H1" s="91"/>
      <c r="I1" s="91"/>
      <c r="J1" s="91"/>
      <c r="K1" s="91"/>
    </row>
    <row r="2" customFormat="false" ht="18" hidden="false" customHeight="true" outlineLevel="0" collapsed="false">
      <c r="A2" s="92" t="s">
        <v>241</v>
      </c>
      <c r="B2" s="92"/>
      <c r="C2" s="92"/>
      <c r="D2" s="92"/>
      <c r="E2" s="92"/>
      <c r="F2" s="92"/>
      <c r="G2" s="92"/>
      <c r="H2" s="92"/>
      <c r="I2" s="92"/>
      <c r="J2" s="92"/>
      <c r="K2" s="92"/>
    </row>
    <row r="4" customFormat="false" ht="21.75" hidden="false" customHeight="true" outlineLevel="0" collapsed="false">
      <c r="A4" s="93" t="s">
        <v>242</v>
      </c>
      <c r="B4" s="93" t="s">
        <v>99</v>
      </c>
      <c r="C4" s="93" t="s">
        <v>100</v>
      </c>
      <c r="D4" s="93" t="s">
        <v>101</v>
      </c>
      <c r="E4" s="93" t="s">
        <v>243</v>
      </c>
      <c r="F4" s="94" t="s">
        <v>244</v>
      </c>
      <c r="G4" s="94"/>
      <c r="H4" s="94"/>
      <c r="I4" s="94"/>
      <c r="J4" s="94"/>
      <c r="K4" s="94"/>
    </row>
    <row r="5" customFormat="false" ht="15" hidden="false" customHeight="true" outlineLevel="0" collapsed="false">
      <c r="A5" s="4" t="n">
        <v>1</v>
      </c>
      <c r="B5" s="6" t="n">
        <f aca="false">'📊 RawData'!G3</f>
        <v>100</v>
      </c>
      <c r="C5" s="6" t="n">
        <f aca="false">'🔢 MultipleRegression'!J6</f>
        <v>90.7</v>
      </c>
      <c r="D5" s="20" t="n">
        <f aca="false">B5-C5</f>
        <v>9.3</v>
      </c>
      <c r="E5" s="20" t="n">
        <f aca="false">(D5-AVERAGE($D$5:$D$84))/STDEV($D$5:$D$84)</f>
        <v>1.77113866050501</v>
      </c>
      <c r="F5" s="95" t="s">
        <v>245</v>
      </c>
      <c r="G5" s="95" t="s">
        <v>246</v>
      </c>
      <c r="H5" s="46" t="s">
        <v>247</v>
      </c>
      <c r="I5" s="46" t="s">
        <v>248</v>
      </c>
    </row>
    <row r="6" customFormat="false" ht="25.5" hidden="false" customHeight="true" outlineLevel="0" collapsed="false">
      <c r="A6" s="8" t="n">
        <v>2</v>
      </c>
      <c r="B6" s="10" t="n">
        <f aca="false">'📊 RawData'!G4</f>
        <v>84.8</v>
      </c>
      <c r="C6" s="10" t="n">
        <f aca="false">'🔢 MultipleRegression'!J7</f>
        <v>90.1</v>
      </c>
      <c r="D6" s="26" t="n">
        <f aca="false">B6-C6</f>
        <v>-5.3</v>
      </c>
      <c r="E6" s="26" t="n">
        <f aca="false">(D6-AVERAGE($D$5:$D$84))/STDEV($D$5:$D$84)</f>
        <v>-1.01010623794868</v>
      </c>
      <c r="F6" s="96" t="s">
        <v>249</v>
      </c>
      <c r="G6" s="97" t="s">
        <v>250</v>
      </c>
      <c r="H6" s="48" t="s">
        <v>251</v>
      </c>
      <c r="I6" s="48" t="s">
        <v>252</v>
      </c>
    </row>
    <row r="7" customFormat="false" ht="25.5" hidden="false" customHeight="true" outlineLevel="0" collapsed="false">
      <c r="A7" s="4" t="n">
        <v>3</v>
      </c>
      <c r="B7" s="6" t="n">
        <f aca="false">'📊 RawData'!G5</f>
        <v>92.8</v>
      </c>
      <c r="C7" s="6" t="n">
        <f aca="false">'🔢 MultipleRegression'!J8</f>
        <v>83.6</v>
      </c>
      <c r="D7" s="20" t="n">
        <f aca="false">B7-C7</f>
        <v>9.2</v>
      </c>
      <c r="E7" s="20" t="n">
        <f aca="false">(D7-AVERAGE($D$5:$D$84))/STDEV($D$5:$D$84)</f>
        <v>1.75208903791287</v>
      </c>
      <c r="F7" s="98" t="s">
        <v>253</v>
      </c>
      <c r="G7" s="99" t="s">
        <v>254</v>
      </c>
      <c r="H7" s="51" t="s">
        <v>255</v>
      </c>
      <c r="I7" s="51" t="s">
        <v>256</v>
      </c>
    </row>
    <row r="8" customFormat="false" ht="25.5" hidden="false" customHeight="true" outlineLevel="0" collapsed="false">
      <c r="A8" s="8" t="n">
        <v>4</v>
      </c>
      <c r="B8" s="10" t="n">
        <f aca="false">'📊 RawData'!G6</f>
        <v>88.9</v>
      </c>
      <c r="C8" s="10" t="n">
        <f aca="false">'🔢 MultipleRegression'!J9</f>
        <v>85.1</v>
      </c>
      <c r="D8" s="26" t="n">
        <f aca="false">B8-C8</f>
        <v>3.80000000000001</v>
      </c>
      <c r="E8" s="26" t="n">
        <f aca="false">(D8-AVERAGE($D$5:$D$84))/STDEV($D$5:$D$84)</f>
        <v>0.723409417936844</v>
      </c>
      <c r="F8" s="96" t="s">
        <v>257</v>
      </c>
      <c r="G8" s="100" t="s">
        <v>258</v>
      </c>
      <c r="H8" s="48" t="s">
        <v>259</v>
      </c>
      <c r="I8" s="48" t="s">
        <v>260</v>
      </c>
    </row>
    <row r="9" customFormat="false" ht="25.5" hidden="false" customHeight="true" outlineLevel="0" collapsed="false">
      <c r="A9" s="4" t="n">
        <v>5</v>
      </c>
      <c r="B9" s="6" t="n">
        <f aca="false">'📊 RawData'!G7</f>
        <v>85.5</v>
      </c>
      <c r="C9" s="6" t="n">
        <f aca="false">'🔢 MultipleRegression'!J10</f>
        <v>88.1</v>
      </c>
      <c r="D9" s="20" t="n">
        <f aca="false">B9-C9</f>
        <v>-2.59999999999999</v>
      </c>
      <c r="E9" s="20" t="n">
        <f aca="false">(D9-AVERAGE($D$5:$D$84))/STDEV($D$5:$D$84)</f>
        <v>-0.495766427960666</v>
      </c>
      <c r="F9" s="98" t="s">
        <v>261</v>
      </c>
      <c r="G9" s="99" t="s">
        <v>262</v>
      </c>
      <c r="H9" s="51" t="s">
        <v>263</v>
      </c>
      <c r="I9" s="51" t="s">
        <v>264</v>
      </c>
    </row>
    <row r="10" customFormat="false" ht="25.5" hidden="false" customHeight="true" outlineLevel="0" collapsed="false">
      <c r="A10" s="8" t="n">
        <v>6</v>
      </c>
      <c r="B10" s="10" t="n">
        <f aca="false">'📊 RawData'!G8</f>
        <v>83.9</v>
      </c>
      <c r="C10" s="10" t="n">
        <f aca="false">'🔢 MultipleRegression'!J11</f>
        <v>85.8</v>
      </c>
      <c r="D10" s="26" t="n">
        <f aca="false">B10-C10</f>
        <v>-1.89999999999999</v>
      </c>
      <c r="E10" s="26" t="n">
        <f aca="false">(D10-AVERAGE($D$5:$D$84))/STDEV($D$5:$D$84)</f>
        <v>-0.362419069815625</v>
      </c>
      <c r="F10" s="96" t="s">
        <v>265</v>
      </c>
      <c r="G10" s="100" t="s">
        <v>266</v>
      </c>
      <c r="H10" s="48" t="s">
        <v>267</v>
      </c>
      <c r="I10" s="48" t="s">
        <v>268</v>
      </c>
    </row>
    <row r="11" customFormat="false" ht="15" hidden="false" customHeight="true" outlineLevel="0" collapsed="false">
      <c r="A11" s="4" t="n">
        <v>7</v>
      </c>
      <c r="B11" s="6" t="n">
        <f aca="false">'📊 RawData'!G9</f>
        <v>74.2</v>
      </c>
      <c r="C11" s="6" t="n">
        <f aca="false">'🔢 MultipleRegression'!J12</f>
        <v>81</v>
      </c>
      <c r="D11" s="20" t="n">
        <f aca="false">B11-C11</f>
        <v>-6.8</v>
      </c>
      <c r="E11" s="20" t="n">
        <f aca="false">(D11-AVERAGE($D$5:$D$84))/STDEV($D$5:$D$84)</f>
        <v>-1.29585057683091</v>
      </c>
      <c r="F11" s="20" t="n">
        <f aca="false">ABS(D11)</f>
        <v>6.8</v>
      </c>
      <c r="G11" s="20" t="n">
        <f aca="false">D11^2</f>
        <v>46.24</v>
      </c>
      <c r="H11" s="4" t="str">
        <f aca="false">IF(ABS(E11)&gt;2,"⚠ INFLUENTIAL","✓ Normal")</f>
        <v>✓ Normal</v>
      </c>
    </row>
    <row r="12" customFormat="false" ht="15" hidden="false" customHeight="true" outlineLevel="0" collapsed="false">
      <c r="A12" s="8" t="n">
        <v>8</v>
      </c>
      <c r="B12" s="10" t="n">
        <f aca="false">'📊 RawData'!G10</f>
        <v>85</v>
      </c>
      <c r="C12" s="10" t="n">
        <f aca="false">'🔢 MultipleRegression'!J13</f>
        <v>87.3</v>
      </c>
      <c r="D12" s="26" t="n">
        <f aca="false">B12-C12</f>
        <v>-2.3</v>
      </c>
      <c r="E12" s="26" t="n">
        <f aca="false">(D12-AVERAGE($D$5:$D$84))/STDEV($D$5:$D$84)</f>
        <v>-0.43861756018422</v>
      </c>
      <c r="F12" s="26" t="n">
        <f aca="false">ABS(D12)</f>
        <v>2.3</v>
      </c>
      <c r="G12" s="26" t="n">
        <f aca="false">D12^2</f>
        <v>5.28999999999999</v>
      </c>
      <c r="H12" s="8" t="str">
        <f aca="false">IF(ABS(E12)&gt;2,"⚠ INFLUENTIAL","✓ Normal")</f>
        <v>✓ Normal</v>
      </c>
    </row>
    <row r="13" customFormat="false" ht="15" hidden="false" customHeight="true" outlineLevel="0" collapsed="false">
      <c r="A13" s="4" t="n">
        <v>9</v>
      </c>
      <c r="B13" s="6" t="n">
        <f aca="false">'📊 RawData'!G11</f>
        <v>64</v>
      </c>
      <c r="C13" s="6" t="n">
        <f aca="false">'🔢 MultipleRegression'!J14</f>
        <v>69.6</v>
      </c>
      <c r="D13" s="20" t="n">
        <f aca="false">B13-C13</f>
        <v>-5.59999999999999</v>
      </c>
      <c r="E13" s="20" t="n">
        <f aca="false">(D13-AVERAGE($D$5:$D$84))/STDEV($D$5:$D$84)</f>
        <v>-1.06725510572512</v>
      </c>
      <c r="F13" s="20" t="n">
        <f aca="false">ABS(D13)</f>
        <v>5.59999999999999</v>
      </c>
      <c r="G13" s="20" t="n">
        <f aca="false">D13^2</f>
        <v>31.3599999999999</v>
      </c>
      <c r="H13" s="4" t="str">
        <f aca="false">IF(ABS(E13)&gt;2,"⚠ INFLUENTIAL","✓ Normal")</f>
        <v>✓ Normal</v>
      </c>
    </row>
    <row r="14" customFormat="false" ht="15" hidden="false" customHeight="true" outlineLevel="0" collapsed="false">
      <c r="A14" s="8" t="n">
        <v>10</v>
      </c>
      <c r="B14" s="10" t="n">
        <f aca="false">'📊 RawData'!G12</f>
        <v>99.9</v>
      </c>
      <c r="C14" s="10" t="n">
        <f aca="false">'🔢 MultipleRegression'!J15</f>
        <v>98.8</v>
      </c>
      <c r="D14" s="26" t="n">
        <f aca="false">B14-C14</f>
        <v>1.10000000000001</v>
      </c>
      <c r="E14" s="26" t="n">
        <f aca="false">(D14-AVERAGE($D$5:$D$84))/STDEV($D$5:$D$84)</f>
        <v>0.209069607948832</v>
      </c>
      <c r="F14" s="26" t="n">
        <f aca="false">ABS(D14)</f>
        <v>1.10000000000001</v>
      </c>
      <c r="G14" s="26" t="n">
        <f aca="false">D14^2</f>
        <v>1.21000000000002</v>
      </c>
      <c r="H14" s="8" t="str">
        <f aca="false">IF(ABS(E14)&gt;2,"⚠ INFLUENTIAL","✓ Normal")</f>
        <v>✓ Normal</v>
      </c>
    </row>
    <row r="15" customFormat="false" ht="15" hidden="false" customHeight="true" outlineLevel="0" collapsed="false">
      <c r="A15" s="4" t="n">
        <v>11</v>
      </c>
      <c r="B15" s="6" t="n">
        <f aca="false">'📊 RawData'!G13</f>
        <v>94.4</v>
      </c>
      <c r="C15" s="6" t="n">
        <f aca="false">'🔢 MultipleRegression'!J16</f>
        <v>93.1</v>
      </c>
      <c r="D15" s="20" t="n">
        <f aca="false">B15-C15</f>
        <v>1.30000000000001</v>
      </c>
      <c r="E15" s="20" t="n">
        <f aca="false">(D15-AVERAGE($D$5:$D$84))/STDEV($D$5:$D$84)</f>
        <v>0.24716885313313</v>
      </c>
      <c r="F15" s="20" t="n">
        <f aca="false">ABS(D15)</f>
        <v>1.30000000000001</v>
      </c>
      <c r="G15" s="20" t="n">
        <f aca="false">D15^2</f>
        <v>1.69000000000003</v>
      </c>
      <c r="H15" s="4" t="str">
        <f aca="false">IF(ABS(E15)&gt;2,"⚠ INFLUENTIAL","✓ Normal")</f>
        <v>✓ Normal</v>
      </c>
    </row>
    <row r="16" customFormat="false" ht="15" hidden="false" customHeight="true" outlineLevel="0" collapsed="false">
      <c r="A16" s="8" t="n">
        <v>12</v>
      </c>
      <c r="B16" s="10" t="n">
        <f aca="false">'📊 RawData'!G14</f>
        <v>98.5</v>
      </c>
      <c r="C16" s="10" t="n">
        <f aca="false">'🔢 MultipleRegression'!J17</f>
        <v>96.6</v>
      </c>
      <c r="D16" s="26" t="n">
        <f aca="false">B16-C16</f>
        <v>1.90000000000001</v>
      </c>
      <c r="E16" s="26" t="n">
        <f aca="false">(D16-AVERAGE($D$5:$D$84))/STDEV($D$5:$D$84)</f>
        <v>0.36146658868602</v>
      </c>
      <c r="F16" s="26" t="n">
        <f aca="false">ABS(D16)</f>
        <v>1.90000000000001</v>
      </c>
      <c r="G16" s="26" t="n">
        <f aca="false">D16^2</f>
        <v>3.61000000000002</v>
      </c>
      <c r="H16" s="8" t="str">
        <f aca="false">IF(ABS(E16)&gt;2,"⚠ INFLUENTIAL","✓ Normal")</f>
        <v>✓ Normal</v>
      </c>
    </row>
    <row r="17" customFormat="false" ht="15" hidden="false" customHeight="true" outlineLevel="0" collapsed="false">
      <c r="A17" s="4" t="n">
        <v>13</v>
      </c>
      <c r="B17" s="6" t="n">
        <f aca="false">'📊 RawData'!G15</f>
        <v>93.3</v>
      </c>
      <c r="C17" s="6" t="n">
        <f aca="false">'🔢 MultipleRegression'!J18</f>
        <v>88.5</v>
      </c>
      <c r="D17" s="20" t="n">
        <f aca="false">B17-C17</f>
        <v>4.8</v>
      </c>
      <c r="E17" s="20" t="n">
        <f aca="false">(D17-AVERAGE($D$5:$D$84))/STDEV($D$5:$D$84)</f>
        <v>0.913905643858328</v>
      </c>
      <c r="F17" s="20" t="n">
        <f aca="false">ABS(D17)</f>
        <v>4.8</v>
      </c>
      <c r="G17" s="20" t="n">
        <f aca="false">D17^2</f>
        <v>23.04</v>
      </c>
      <c r="H17" s="4" t="str">
        <f aca="false">IF(ABS(E17)&gt;2,"⚠ INFLUENTIAL","✓ Normal")</f>
        <v>✓ Normal</v>
      </c>
    </row>
    <row r="18" customFormat="false" ht="15" hidden="false" customHeight="true" outlineLevel="0" collapsed="false">
      <c r="A18" s="8" t="n">
        <v>14</v>
      </c>
      <c r="B18" s="10" t="n">
        <f aca="false">'📊 RawData'!G16</f>
        <v>97.4</v>
      </c>
      <c r="C18" s="10" t="n">
        <f aca="false">'🔢 MultipleRegression'!J19</f>
        <v>100</v>
      </c>
      <c r="D18" s="26" t="n">
        <f aca="false">B18-C18</f>
        <v>-2.59999999999999</v>
      </c>
      <c r="E18" s="26" t="n">
        <f aca="false">(D18-AVERAGE($D$5:$D$84))/STDEV($D$5:$D$84)</f>
        <v>-0.495766427960666</v>
      </c>
      <c r="F18" s="26" t="n">
        <f aca="false">ABS(D18)</f>
        <v>2.59999999999999</v>
      </c>
      <c r="G18" s="26" t="n">
        <f aca="false">D18^2</f>
        <v>6.75999999999997</v>
      </c>
      <c r="H18" s="8" t="str">
        <f aca="false">IF(ABS(E18)&gt;2,"⚠ INFLUENTIAL","✓ Normal")</f>
        <v>✓ Normal</v>
      </c>
    </row>
    <row r="19" customFormat="false" ht="15" hidden="false" customHeight="true" outlineLevel="0" collapsed="false">
      <c r="A19" s="4" t="n">
        <v>15</v>
      </c>
      <c r="B19" s="6" t="n">
        <f aca="false">'📊 RawData'!G17</f>
        <v>91</v>
      </c>
      <c r="C19" s="6" t="n">
        <f aca="false">'🔢 MultipleRegression'!J20</f>
        <v>86.5</v>
      </c>
      <c r="D19" s="20" t="n">
        <f aca="false">B19-C19</f>
        <v>4.5</v>
      </c>
      <c r="E19" s="20" t="n">
        <f aca="false">(D19-AVERAGE($D$5:$D$84))/STDEV($D$5:$D$84)</f>
        <v>0.856756776081882</v>
      </c>
      <c r="F19" s="20" t="n">
        <f aca="false">ABS(D19)</f>
        <v>4.5</v>
      </c>
      <c r="G19" s="20" t="n">
        <f aca="false">D19^2</f>
        <v>20.25</v>
      </c>
      <c r="H19" s="4" t="str">
        <f aca="false">IF(ABS(E19)&gt;2,"⚠ INFLUENTIAL","✓ Normal")</f>
        <v>✓ Normal</v>
      </c>
    </row>
    <row r="20" customFormat="false" ht="15" hidden="false" customHeight="true" outlineLevel="0" collapsed="false">
      <c r="A20" s="8" t="n">
        <v>16</v>
      </c>
      <c r="B20" s="10" t="n">
        <f aca="false">'📊 RawData'!G18</f>
        <v>94.1</v>
      </c>
      <c r="C20" s="10" t="n">
        <f aca="false">'🔢 MultipleRegression'!J21</f>
        <v>96.3</v>
      </c>
      <c r="D20" s="26" t="n">
        <f aca="false">B20-C20</f>
        <v>-2.2</v>
      </c>
      <c r="E20" s="26" t="n">
        <f aca="false">(D20-AVERAGE($D$5:$D$84))/STDEV($D$5:$D$84)</f>
        <v>-0.419567937592073</v>
      </c>
      <c r="F20" s="26" t="n">
        <f aca="false">ABS(D20)</f>
        <v>2.2</v>
      </c>
      <c r="G20" s="26" t="n">
        <f aca="false">D20^2</f>
        <v>4.84000000000001</v>
      </c>
      <c r="H20" s="8" t="str">
        <f aca="false">IF(ABS(E20)&gt;2,"⚠ INFLUENTIAL","✓ Normal")</f>
        <v>✓ Normal</v>
      </c>
    </row>
    <row r="21" customFormat="false" ht="15" hidden="false" customHeight="true" outlineLevel="0" collapsed="false">
      <c r="A21" s="4" t="n">
        <v>17</v>
      </c>
      <c r="B21" s="6" t="n">
        <f aca="false">'📊 RawData'!G19</f>
        <v>87.4</v>
      </c>
      <c r="C21" s="6" t="n">
        <f aca="false">'🔢 MultipleRegression'!J22</f>
        <v>87.7</v>
      </c>
      <c r="D21" s="20" t="n">
        <f aca="false">B21-C21</f>
        <v>-0.299999999999997</v>
      </c>
      <c r="E21" s="20" t="n">
        <f aca="false">(D21-AVERAGE($D$5:$D$84))/STDEV($D$5:$D$84)</f>
        <v>-0.0576251083412489</v>
      </c>
      <c r="F21" s="20" t="n">
        <f aca="false">ABS(D21)</f>
        <v>0.299999999999997</v>
      </c>
      <c r="G21" s="20" t="n">
        <f aca="false">D21^2</f>
        <v>0.0899999999999983</v>
      </c>
      <c r="H21" s="4" t="str">
        <f aca="false">IF(ABS(E21)&gt;2,"⚠ INFLUENTIAL","✓ Normal")</f>
        <v>✓ Normal</v>
      </c>
    </row>
    <row r="22" customFormat="false" ht="15" hidden="false" customHeight="true" outlineLevel="0" collapsed="false">
      <c r="A22" s="8" t="n">
        <v>18</v>
      </c>
      <c r="B22" s="10" t="n">
        <f aca="false">'📊 RawData'!G20</f>
        <v>96.3</v>
      </c>
      <c r="C22" s="10" t="n">
        <f aca="false">'🔢 MultipleRegression'!J23</f>
        <v>95.2</v>
      </c>
      <c r="D22" s="26" t="n">
        <f aca="false">B22-C22</f>
        <v>1.09999999999999</v>
      </c>
      <c r="E22" s="26" t="n">
        <f aca="false">(D22-AVERAGE($D$5:$D$84))/STDEV($D$5:$D$84)</f>
        <v>0.20906960794883</v>
      </c>
      <c r="F22" s="26" t="n">
        <f aca="false">ABS(D22)</f>
        <v>1.09999999999999</v>
      </c>
      <c r="G22" s="26" t="n">
        <f aca="false">D22^2</f>
        <v>1.20999999999999</v>
      </c>
      <c r="H22" s="8" t="str">
        <f aca="false">IF(ABS(E22)&gt;2,"⚠ INFLUENTIAL","✓ Normal")</f>
        <v>✓ Normal</v>
      </c>
    </row>
    <row r="23" customFormat="false" ht="15" hidden="false" customHeight="true" outlineLevel="0" collapsed="false">
      <c r="A23" s="4" t="n">
        <v>19</v>
      </c>
      <c r="B23" s="6" t="n">
        <f aca="false">'📊 RawData'!G21</f>
        <v>90.4</v>
      </c>
      <c r="C23" s="6" t="n">
        <f aca="false">'🔢 MultipleRegression'!J24</f>
        <v>86.8</v>
      </c>
      <c r="D23" s="20" t="n">
        <f aca="false">B23-C23</f>
        <v>3.60000000000001</v>
      </c>
      <c r="E23" s="20" t="n">
        <f aca="false">(D23-AVERAGE($D$5:$D$84))/STDEV($D$5:$D$84)</f>
        <v>0.685310172752547</v>
      </c>
      <c r="F23" s="20" t="n">
        <f aca="false">ABS(D23)</f>
        <v>3.60000000000001</v>
      </c>
      <c r="G23" s="20" t="n">
        <f aca="false">D23^2</f>
        <v>12.9600000000001</v>
      </c>
      <c r="H23" s="4" t="str">
        <f aca="false">IF(ABS(E23)&gt;2,"⚠ INFLUENTIAL","✓ Normal")</f>
        <v>✓ Normal</v>
      </c>
    </row>
    <row r="24" customFormat="false" ht="15" hidden="false" customHeight="true" outlineLevel="0" collapsed="false">
      <c r="A24" s="8" t="n">
        <v>20</v>
      </c>
      <c r="B24" s="10" t="n">
        <f aca="false">'📊 RawData'!G22</f>
        <v>94.5</v>
      </c>
      <c r="C24" s="10" t="n">
        <f aca="false">'🔢 MultipleRegression'!J25</f>
        <v>95.5</v>
      </c>
      <c r="D24" s="26" t="n">
        <f aca="false">B24-C24</f>
        <v>-1</v>
      </c>
      <c r="E24" s="26" t="n">
        <f aca="false">(D24-AVERAGE($D$5:$D$84))/STDEV($D$5:$D$84)</f>
        <v>-0.190972466486289</v>
      </c>
      <c r="F24" s="26" t="n">
        <f aca="false">ABS(D24)</f>
        <v>1</v>
      </c>
      <c r="G24" s="26" t="n">
        <f aca="false">D24^2</f>
        <v>1</v>
      </c>
      <c r="H24" s="8" t="str">
        <f aca="false">IF(ABS(E24)&gt;2,"⚠ INFLUENTIAL","✓ Normal")</f>
        <v>✓ Normal</v>
      </c>
    </row>
    <row r="25" customFormat="false" ht="15" hidden="false" customHeight="true" outlineLevel="0" collapsed="false">
      <c r="A25" s="4" t="n">
        <v>21</v>
      </c>
      <c r="B25" s="6" t="n">
        <f aca="false">'📊 RawData'!G23</f>
        <v>83.3</v>
      </c>
      <c r="C25" s="6" t="n">
        <f aca="false">'🔢 MultipleRegression'!J26</f>
        <v>89.6</v>
      </c>
      <c r="D25" s="20" t="n">
        <f aca="false">B25-C25</f>
        <v>-6.3</v>
      </c>
      <c r="E25" s="20" t="n">
        <f aca="false">(D25-AVERAGE($D$5:$D$84))/STDEV($D$5:$D$84)</f>
        <v>-1.20060246387016</v>
      </c>
      <c r="F25" s="20" t="n">
        <f aca="false">ABS(D25)</f>
        <v>6.3</v>
      </c>
      <c r="G25" s="20" t="n">
        <f aca="false">D25^2</f>
        <v>39.69</v>
      </c>
      <c r="H25" s="4" t="str">
        <f aca="false">IF(ABS(E25)&gt;2,"⚠ INFLUENTIAL","✓ Normal")</f>
        <v>✓ Normal</v>
      </c>
    </row>
    <row r="26" customFormat="false" ht="15" hidden="false" customHeight="true" outlineLevel="0" collapsed="false">
      <c r="A26" s="8" t="n">
        <v>22</v>
      </c>
      <c r="B26" s="10" t="n">
        <f aca="false">'📊 RawData'!G24</f>
        <v>76.6</v>
      </c>
      <c r="C26" s="10" t="n">
        <f aca="false">'🔢 MultipleRegression'!J27</f>
        <v>84.6</v>
      </c>
      <c r="D26" s="26" t="n">
        <f aca="false">B26-C26</f>
        <v>-8</v>
      </c>
      <c r="E26" s="26" t="n">
        <f aca="false">(D26-AVERAGE($D$5:$D$84))/STDEV($D$5:$D$84)</f>
        <v>-1.52444604793669</v>
      </c>
      <c r="F26" s="26" t="n">
        <f aca="false">ABS(D26)</f>
        <v>8</v>
      </c>
      <c r="G26" s="26" t="n">
        <f aca="false">D26^2</f>
        <v>64</v>
      </c>
      <c r="H26" s="8" t="str">
        <f aca="false">IF(ABS(E26)&gt;2,"⚠ INFLUENTIAL","✓ Normal")</f>
        <v>✓ Normal</v>
      </c>
    </row>
    <row r="27" customFormat="false" ht="15" hidden="false" customHeight="true" outlineLevel="0" collapsed="false">
      <c r="A27" s="4" t="n">
        <v>23</v>
      </c>
      <c r="B27" s="6" t="n">
        <f aca="false">'📊 RawData'!G25</f>
        <v>98</v>
      </c>
      <c r="C27" s="6" t="n">
        <f aca="false">'🔢 MultipleRegression'!J28</f>
        <v>95.4</v>
      </c>
      <c r="D27" s="20" t="n">
        <f aca="false">B27-C27</f>
        <v>2.59999999999999</v>
      </c>
      <c r="E27" s="20" t="n">
        <f aca="false">(D27-AVERAGE($D$5:$D$84))/STDEV($D$5:$D$84)</f>
        <v>0.494813946831058</v>
      </c>
      <c r="F27" s="20" t="n">
        <f aca="false">ABS(D27)</f>
        <v>2.59999999999999</v>
      </c>
      <c r="G27" s="20" t="n">
        <f aca="false">D27^2</f>
        <v>6.75999999999997</v>
      </c>
      <c r="H27" s="4" t="str">
        <f aca="false">IF(ABS(E27)&gt;2,"⚠ INFLUENTIAL","✓ Normal")</f>
        <v>✓ Normal</v>
      </c>
    </row>
    <row r="28" customFormat="false" ht="15" hidden="false" customHeight="true" outlineLevel="0" collapsed="false">
      <c r="A28" s="8" t="n">
        <v>24</v>
      </c>
      <c r="B28" s="10" t="n">
        <f aca="false">'📊 RawData'!G26</f>
        <v>85.1</v>
      </c>
      <c r="C28" s="10" t="n">
        <f aca="false">'🔢 MultipleRegression'!J29</f>
        <v>91.6</v>
      </c>
      <c r="D28" s="26" t="n">
        <f aca="false">B28-C28</f>
        <v>-6.5</v>
      </c>
      <c r="E28" s="26" t="n">
        <f aca="false">(D28-AVERAGE($D$5:$D$84))/STDEV($D$5:$D$84)</f>
        <v>-1.23870170905446</v>
      </c>
      <c r="F28" s="26" t="n">
        <f aca="false">ABS(D28)</f>
        <v>6.5</v>
      </c>
      <c r="G28" s="26" t="n">
        <f aca="false">D28^2</f>
        <v>42.25</v>
      </c>
      <c r="H28" s="8" t="str">
        <f aca="false">IF(ABS(E28)&gt;2,"⚠ INFLUENTIAL","✓ Normal")</f>
        <v>✓ Normal</v>
      </c>
    </row>
    <row r="29" customFormat="false" ht="15" hidden="false" customHeight="true" outlineLevel="0" collapsed="false">
      <c r="A29" s="4" t="n">
        <v>25</v>
      </c>
      <c r="B29" s="6" t="n">
        <f aca="false">'📊 RawData'!G27</f>
        <v>83.7</v>
      </c>
      <c r="C29" s="6" t="n">
        <f aca="false">'🔢 MultipleRegression'!J30</f>
        <v>74</v>
      </c>
      <c r="D29" s="20" t="n">
        <f aca="false">B29-C29</f>
        <v>9.7</v>
      </c>
      <c r="E29" s="20" t="n">
        <f aca="false">(D29-AVERAGE($D$5:$D$84))/STDEV($D$5:$D$84)</f>
        <v>1.84733715087361</v>
      </c>
      <c r="F29" s="20" t="n">
        <f aca="false">ABS(D29)</f>
        <v>9.7</v>
      </c>
      <c r="G29" s="20" t="n">
        <f aca="false">D29^2</f>
        <v>94.0900000000001</v>
      </c>
      <c r="H29" s="4" t="str">
        <f aca="false">IF(ABS(E29)&gt;2,"⚠ INFLUENTIAL","✓ Normal")</f>
        <v>✓ Normal</v>
      </c>
    </row>
    <row r="30" customFormat="false" ht="15" hidden="false" customHeight="true" outlineLevel="0" collapsed="false">
      <c r="A30" s="8" t="n">
        <v>26</v>
      </c>
      <c r="B30" s="10" t="n">
        <f aca="false">'📊 RawData'!G28</f>
        <v>86.6</v>
      </c>
      <c r="C30" s="10" t="n">
        <f aca="false">'🔢 MultipleRegression'!J31</f>
        <v>79.7</v>
      </c>
      <c r="D30" s="26" t="n">
        <f aca="false">B30-C30</f>
        <v>6.89999999999999</v>
      </c>
      <c r="E30" s="26" t="n">
        <f aca="false">(D30-AVERAGE($D$5:$D$84))/STDEV($D$5:$D$84)</f>
        <v>1.31394771829345</v>
      </c>
      <c r="F30" s="26" t="n">
        <f aca="false">ABS(D30)</f>
        <v>6.89999999999999</v>
      </c>
      <c r="G30" s="26" t="n">
        <f aca="false">D30^2</f>
        <v>47.6099999999999</v>
      </c>
      <c r="H30" s="8" t="str">
        <f aca="false">IF(ABS(E30)&gt;2,"⚠ INFLUENTIAL","✓ Normal")</f>
        <v>✓ Normal</v>
      </c>
    </row>
    <row r="31" customFormat="false" ht="15" hidden="false" customHeight="true" outlineLevel="0" collapsed="false">
      <c r="A31" s="4" t="n">
        <v>27</v>
      </c>
      <c r="B31" s="6" t="n">
        <f aca="false">'📊 RawData'!G29</f>
        <v>100</v>
      </c>
      <c r="C31" s="6" t="n">
        <f aca="false">'🔢 MultipleRegression'!J32</f>
        <v>95.2</v>
      </c>
      <c r="D31" s="20" t="n">
        <f aca="false">B31-C31</f>
        <v>4.8</v>
      </c>
      <c r="E31" s="20" t="n">
        <f aca="false">(D31-AVERAGE($D$5:$D$84))/STDEV($D$5:$D$84)</f>
        <v>0.913905643858328</v>
      </c>
      <c r="F31" s="20" t="n">
        <f aca="false">ABS(D31)</f>
        <v>4.8</v>
      </c>
      <c r="G31" s="20" t="n">
        <f aca="false">D31^2</f>
        <v>23.04</v>
      </c>
      <c r="H31" s="4" t="str">
        <f aca="false">IF(ABS(E31)&gt;2,"⚠ INFLUENTIAL","✓ Normal")</f>
        <v>✓ Normal</v>
      </c>
    </row>
    <row r="32" customFormat="false" ht="15" hidden="false" customHeight="true" outlineLevel="0" collapsed="false">
      <c r="A32" s="8" t="n">
        <v>28</v>
      </c>
      <c r="B32" s="10" t="n">
        <f aca="false">'📊 RawData'!G30</f>
        <v>71.5</v>
      </c>
      <c r="C32" s="10" t="n">
        <f aca="false">'🔢 MultipleRegression'!J33</f>
        <v>87.7</v>
      </c>
      <c r="D32" s="26" t="n">
        <f aca="false">B32-C32</f>
        <v>-16.2</v>
      </c>
      <c r="E32" s="26" t="n">
        <f aca="false">(D32-AVERAGE($D$5:$D$84))/STDEV($D$5:$D$84)</f>
        <v>-3.08651510049287</v>
      </c>
      <c r="F32" s="26" t="n">
        <f aca="false">ABS(D32)</f>
        <v>16.2</v>
      </c>
      <c r="G32" s="26" t="n">
        <f aca="false">D32^2</f>
        <v>262.44</v>
      </c>
      <c r="H32" s="8" t="str">
        <f aca="false">IF(ABS(E32)&gt;2,"⚠ INFLUENTIAL","✓ Normal")</f>
        <v>⚠ INFLUENTIAL</v>
      </c>
    </row>
    <row r="33" customFormat="false" ht="15" hidden="false" customHeight="true" outlineLevel="0" collapsed="false">
      <c r="A33" s="4" t="n">
        <v>29</v>
      </c>
      <c r="B33" s="6" t="n">
        <f aca="false">'📊 RawData'!G31</f>
        <v>82.1</v>
      </c>
      <c r="C33" s="6" t="n">
        <f aca="false">'🔢 MultipleRegression'!J34</f>
        <v>88.7</v>
      </c>
      <c r="D33" s="20" t="n">
        <f aca="false">B33-C33</f>
        <v>-6.60000000000001</v>
      </c>
      <c r="E33" s="20" t="n">
        <f aca="false">(D33-AVERAGE($D$5:$D$84))/STDEV($D$5:$D$84)</f>
        <v>-1.25775133164661</v>
      </c>
      <c r="F33" s="20" t="n">
        <f aca="false">ABS(D33)</f>
        <v>6.60000000000001</v>
      </c>
      <c r="G33" s="20" t="n">
        <f aca="false">D33^2</f>
        <v>43.5600000000001</v>
      </c>
      <c r="H33" s="4" t="str">
        <f aca="false">IF(ABS(E33)&gt;2,"⚠ INFLUENTIAL","✓ Normal")</f>
        <v>✓ Normal</v>
      </c>
    </row>
    <row r="34" customFormat="false" ht="15" hidden="false" customHeight="true" outlineLevel="0" collapsed="false">
      <c r="A34" s="8" t="n">
        <v>30</v>
      </c>
      <c r="B34" s="10" t="n">
        <f aca="false">'📊 RawData'!G32</f>
        <v>87.9</v>
      </c>
      <c r="C34" s="10" t="n">
        <f aca="false">'🔢 MultipleRegression'!J35</f>
        <v>88.4</v>
      </c>
      <c r="D34" s="26" t="n">
        <f aca="false">B34-C34</f>
        <v>-0.5</v>
      </c>
      <c r="E34" s="26" t="n">
        <f aca="false">(D34-AVERAGE($D$5:$D$84))/STDEV($D$5:$D$84)</f>
        <v>-0.0957243535255466</v>
      </c>
      <c r="F34" s="26" t="n">
        <f aca="false">ABS(D34)</f>
        <v>0.5</v>
      </c>
      <c r="G34" s="26" t="n">
        <f aca="false">D34^2</f>
        <v>0.25</v>
      </c>
      <c r="H34" s="8" t="str">
        <f aca="false">IF(ABS(E34)&gt;2,"⚠ INFLUENTIAL","✓ Normal")</f>
        <v>✓ Normal</v>
      </c>
    </row>
    <row r="35" customFormat="false" ht="15" hidden="false" customHeight="true" outlineLevel="0" collapsed="false">
      <c r="A35" s="4" t="n">
        <v>31</v>
      </c>
      <c r="B35" s="6" t="n">
        <f aca="false">'📊 RawData'!G33</f>
        <v>97.1</v>
      </c>
      <c r="C35" s="6" t="n">
        <f aca="false">'🔢 MultipleRegression'!J36</f>
        <v>95.5</v>
      </c>
      <c r="D35" s="20" t="n">
        <f aca="false">B35-C35</f>
        <v>1.59999999999999</v>
      </c>
      <c r="E35" s="20" t="n">
        <f aca="false">(D35-AVERAGE($D$5:$D$84))/STDEV($D$5:$D$84)</f>
        <v>0.304317720909572</v>
      </c>
      <c r="F35" s="20" t="n">
        <f aca="false">ABS(D35)</f>
        <v>1.59999999999999</v>
      </c>
      <c r="G35" s="20" t="n">
        <f aca="false">D35^2</f>
        <v>2.55999999999998</v>
      </c>
      <c r="H35" s="4" t="str">
        <f aca="false">IF(ABS(E35)&gt;2,"⚠ INFLUENTIAL","✓ Normal")</f>
        <v>✓ Normal</v>
      </c>
    </row>
    <row r="36" customFormat="false" ht="15" hidden="false" customHeight="true" outlineLevel="0" collapsed="false">
      <c r="A36" s="8" t="n">
        <v>32</v>
      </c>
      <c r="B36" s="10" t="n">
        <f aca="false">'📊 RawData'!G34</f>
        <v>81.8</v>
      </c>
      <c r="C36" s="10" t="n">
        <f aca="false">'🔢 MultipleRegression'!J37</f>
        <v>85.5</v>
      </c>
      <c r="D36" s="26" t="n">
        <f aca="false">B36-C36</f>
        <v>-3.7</v>
      </c>
      <c r="E36" s="26" t="n">
        <f aca="false">(D36-AVERAGE($D$5:$D$84))/STDEV($D$5:$D$84)</f>
        <v>-0.705312276474302</v>
      </c>
      <c r="F36" s="26" t="n">
        <f aca="false">ABS(D36)</f>
        <v>3.7</v>
      </c>
      <c r="G36" s="26" t="n">
        <f aca="false">D36^2</f>
        <v>13.69</v>
      </c>
      <c r="H36" s="8" t="str">
        <f aca="false">IF(ABS(E36)&gt;2,"⚠ INFLUENTIAL","✓ Normal")</f>
        <v>✓ Normal</v>
      </c>
    </row>
    <row r="37" customFormat="false" ht="15" hidden="false" customHeight="true" outlineLevel="0" collapsed="false">
      <c r="A37" s="4" t="n">
        <v>33</v>
      </c>
      <c r="B37" s="6" t="n">
        <f aca="false">'📊 RawData'!G35</f>
        <v>89.1</v>
      </c>
      <c r="C37" s="6" t="n">
        <f aca="false">'🔢 MultipleRegression'!J38</f>
        <v>86.4</v>
      </c>
      <c r="D37" s="20" t="n">
        <f aca="false">B37-C37</f>
        <v>2.69999999999999</v>
      </c>
      <c r="E37" s="20" t="n">
        <f aca="false">(D37-AVERAGE($D$5:$D$84))/STDEV($D$5:$D$84)</f>
        <v>0.513863569423206</v>
      </c>
      <c r="F37" s="20" t="n">
        <f aca="false">ABS(D37)</f>
        <v>2.69999999999999</v>
      </c>
      <c r="G37" s="20" t="n">
        <f aca="false">D37^2</f>
        <v>7.28999999999994</v>
      </c>
      <c r="H37" s="4" t="str">
        <f aca="false">IF(ABS(E37)&gt;2,"⚠ INFLUENTIAL","✓ Normal")</f>
        <v>✓ Normal</v>
      </c>
    </row>
    <row r="38" customFormat="false" ht="15" hidden="false" customHeight="true" outlineLevel="0" collapsed="false">
      <c r="A38" s="8" t="n">
        <v>34</v>
      </c>
      <c r="B38" s="10" t="n">
        <f aca="false">'📊 RawData'!G36</f>
        <v>73.1</v>
      </c>
      <c r="C38" s="10" t="n">
        <f aca="false">'🔢 MultipleRegression'!J39</f>
        <v>77</v>
      </c>
      <c r="D38" s="26" t="n">
        <f aca="false">B38-C38</f>
        <v>-3.90000000000001</v>
      </c>
      <c r="E38" s="26" t="n">
        <f aca="false">(D38-AVERAGE($D$5:$D$84))/STDEV($D$5:$D$84)</f>
        <v>-0.743411521658599</v>
      </c>
      <c r="F38" s="26" t="n">
        <f aca="false">ABS(D38)</f>
        <v>3.90000000000001</v>
      </c>
      <c r="G38" s="26" t="n">
        <f aca="false">D38^2</f>
        <v>15.21</v>
      </c>
      <c r="H38" s="8" t="str">
        <f aca="false">IF(ABS(E38)&gt;2,"⚠ INFLUENTIAL","✓ Normal")</f>
        <v>✓ Normal</v>
      </c>
    </row>
    <row r="39" customFormat="false" ht="15" hidden="false" customHeight="true" outlineLevel="0" collapsed="false">
      <c r="A39" s="4" t="n">
        <v>35</v>
      </c>
      <c r="B39" s="6" t="n">
        <f aca="false">'📊 RawData'!G37</f>
        <v>92.6</v>
      </c>
      <c r="C39" s="6" t="n">
        <f aca="false">'🔢 MultipleRegression'!J40</f>
        <v>97.7</v>
      </c>
      <c r="D39" s="20" t="n">
        <f aca="false">B39-C39</f>
        <v>-5.10000000000001</v>
      </c>
      <c r="E39" s="20" t="n">
        <f aca="false">(D39-AVERAGE($D$5:$D$84))/STDEV($D$5:$D$84)</f>
        <v>-0.972006992764383</v>
      </c>
      <c r="F39" s="20" t="n">
        <f aca="false">ABS(D39)</f>
        <v>5.10000000000001</v>
      </c>
      <c r="G39" s="20" t="n">
        <f aca="false">D39^2</f>
        <v>26.0100000000001</v>
      </c>
      <c r="H39" s="4" t="str">
        <f aca="false">IF(ABS(E39)&gt;2,"⚠ INFLUENTIAL","✓ Normal")</f>
        <v>✓ Normal</v>
      </c>
    </row>
    <row r="40" customFormat="false" ht="15" hidden="false" customHeight="true" outlineLevel="0" collapsed="false">
      <c r="A40" s="8" t="n">
        <v>36</v>
      </c>
      <c r="B40" s="10" t="n">
        <f aca="false">'📊 RawData'!G38</f>
        <v>81.1</v>
      </c>
      <c r="C40" s="10" t="n">
        <f aca="false">'🔢 MultipleRegression'!J41</f>
        <v>86.4</v>
      </c>
      <c r="D40" s="26" t="n">
        <f aca="false">B40-C40</f>
        <v>-5.30000000000001</v>
      </c>
      <c r="E40" s="26" t="n">
        <f aca="false">(D40-AVERAGE($D$5:$D$84))/STDEV($D$5:$D$84)</f>
        <v>-1.01010623794868</v>
      </c>
      <c r="F40" s="26" t="n">
        <f aca="false">ABS(D40)</f>
        <v>5.30000000000001</v>
      </c>
      <c r="G40" s="26" t="n">
        <f aca="false">D40^2</f>
        <v>28.0900000000001</v>
      </c>
      <c r="H40" s="8" t="str">
        <f aca="false">IF(ABS(E40)&gt;2,"⚠ INFLUENTIAL","✓ Normal")</f>
        <v>✓ Normal</v>
      </c>
    </row>
    <row r="41" customFormat="false" ht="15" hidden="false" customHeight="true" outlineLevel="0" collapsed="false">
      <c r="A41" s="4" t="n">
        <v>37</v>
      </c>
      <c r="B41" s="6" t="n">
        <f aca="false">'📊 RawData'!G39</f>
        <v>77.6</v>
      </c>
      <c r="C41" s="6" t="n">
        <f aca="false">'🔢 MultipleRegression'!J42</f>
        <v>81.8</v>
      </c>
      <c r="D41" s="20" t="n">
        <f aca="false">B41-C41</f>
        <v>-4.2</v>
      </c>
      <c r="E41" s="20" t="n">
        <f aca="false">(D41-AVERAGE($D$5:$D$84))/STDEV($D$5:$D$84)</f>
        <v>-0.800560389435044</v>
      </c>
      <c r="F41" s="20" t="n">
        <f aca="false">ABS(D41)</f>
        <v>4.2</v>
      </c>
      <c r="G41" s="20" t="n">
        <f aca="false">D41^2</f>
        <v>17.64</v>
      </c>
      <c r="H41" s="4" t="str">
        <f aca="false">IF(ABS(E41)&gt;2,"⚠ INFLUENTIAL","✓ Normal")</f>
        <v>✓ Normal</v>
      </c>
    </row>
    <row r="42" customFormat="false" ht="15" hidden="false" customHeight="true" outlineLevel="0" collapsed="false">
      <c r="A42" s="8" t="n">
        <v>38</v>
      </c>
      <c r="B42" s="10" t="n">
        <f aca="false">'📊 RawData'!G40</f>
        <v>94.6</v>
      </c>
      <c r="C42" s="10" t="n">
        <f aca="false">'🔢 MultipleRegression'!J43</f>
        <v>90.1</v>
      </c>
      <c r="D42" s="26" t="n">
        <f aca="false">B42-C42</f>
        <v>4.5</v>
      </c>
      <c r="E42" s="26" t="n">
        <f aca="false">(D42-AVERAGE($D$5:$D$84))/STDEV($D$5:$D$84)</f>
        <v>0.856756776081882</v>
      </c>
      <c r="F42" s="26" t="n">
        <f aca="false">ABS(D42)</f>
        <v>4.5</v>
      </c>
      <c r="G42" s="26" t="n">
        <f aca="false">D42^2</f>
        <v>20.25</v>
      </c>
      <c r="H42" s="8" t="str">
        <f aca="false">IF(ABS(E42)&gt;2,"⚠ INFLUENTIAL","✓ Normal")</f>
        <v>✓ Normal</v>
      </c>
    </row>
    <row r="43" customFormat="false" ht="15" hidden="false" customHeight="true" outlineLevel="0" collapsed="false">
      <c r="A43" s="4" t="n">
        <v>39</v>
      </c>
      <c r="B43" s="6" t="n">
        <f aca="false">'📊 RawData'!G41</f>
        <v>81.2</v>
      </c>
      <c r="C43" s="6" t="n">
        <f aca="false">'🔢 MultipleRegression'!J44</f>
        <v>82.4</v>
      </c>
      <c r="D43" s="20" t="n">
        <f aca="false">B43-C43</f>
        <v>-1.2</v>
      </c>
      <c r="E43" s="20" t="n">
        <f aca="false">(D43-AVERAGE($D$5:$D$84))/STDEV($D$5:$D$84)</f>
        <v>-0.229071711670587</v>
      </c>
      <c r="F43" s="20" t="n">
        <f aca="false">ABS(D43)</f>
        <v>1.2</v>
      </c>
      <c r="G43" s="20" t="n">
        <f aca="false">D43^2</f>
        <v>1.44000000000001</v>
      </c>
      <c r="H43" s="4" t="str">
        <f aca="false">IF(ABS(E43)&gt;2,"⚠ INFLUENTIAL","✓ Normal")</f>
        <v>✓ Normal</v>
      </c>
    </row>
    <row r="44" customFormat="false" ht="15" hidden="false" customHeight="true" outlineLevel="0" collapsed="false">
      <c r="A44" s="8" t="n">
        <v>40</v>
      </c>
      <c r="B44" s="10" t="n">
        <f aca="false">'📊 RawData'!G42</f>
        <v>92.6</v>
      </c>
      <c r="C44" s="10" t="n">
        <f aca="false">'🔢 MultipleRegression'!J45</f>
        <v>96.1</v>
      </c>
      <c r="D44" s="26" t="n">
        <f aca="false">B44-C44</f>
        <v>-3.5</v>
      </c>
      <c r="E44" s="26" t="n">
        <f aca="false">(D44-AVERAGE($D$5:$D$84))/STDEV($D$5:$D$84)</f>
        <v>-0.667213031290004</v>
      </c>
      <c r="F44" s="26" t="n">
        <f aca="false">ABS(D44)</f>
        <v>3.5</v>
      </c>
      <c r="G44" s="26" t="n">
        <f aca="false">D44^2</f>
        <v>12.25</v>
      </c>
      <c r="H44" s="8" t="str">
        <f aca="false">IF(ABS(E44)&gt;2,"⚠ INFLUENTIAL","✓ Normal")</f>
        <v>✓ Normal</v>
      </c>
    </row>
    <row r="45" customFormat="false" ht="15" hidden="false" customHeight="true" outlineLevel="0" collapsed="false">
      <c r="A45" s="4" t="n">
        <v>41</v>
      </c>
      <c r="B45" s="6" t="n">
        <f aca="false">'📊 RawData'!G43</f>
        <v>88.8</v>
      </c>
      <c r="C45" s="6" t="n">
        <f aca="false">'🔢 MultipleRegression'!J46</f>
        <v>91.7</v>
      </c>
      <c r="D45" s="20" t="n">
        <f aca="false">B45-C45</f>
        <v>-2.90000000000001</v>
      </c>
      <c r="E45" s="20" t="n">
        <f aca="false">(D45-AVERAGE($D$5:$D$84))/STDEV($D$5:$D$84)</f>
        <v>-0.552915295737114</v>
      </c>
      <c r="F45" s="20" t="n">
        <f aca="false">ABS(D45)</f>
        <v>2.90000000000001</v>
      </c>
      <c r="G45" s="20" t="n">
        <f aca="false">D45^2</f>
        <v>8.41000000000003</v>
      </c>
      <c r="H45" s="4" t="str">
        <f aca="false">IF(ABS(E45)&gt;2,"⚠ INFLUENTIAL","✓ Normal")</f>
        <v>✓ Normal</v>
      </c>
    </row>
    <row r="46" customFormat="false" ht="15" hidden="false" customHeight="true" outlineLevel="0" collapsed="false">
      <c r="A46" s="8" t="n">
        <v>42</v>
      </c>
      <c r="B46" s="10" t="n">
        <f aca="false">'📊 RawData'!G44</f>
        <v>96.3</v>
      </c>
      <c r="C46" s="10" t="n">
        <f aca="false">'🔢 MultipleRegression'!J47</f>
        <v>89.8</v>
      </c>
      <c r="D46" s="26" t="n">
        <f aca="false">B46-C46</f>
        <v>6.5</v>
      </c>
      <c r="E46" s="26" t="n">
        <f aca="false">(D46-AVERAGE($D$5:$D$84))/STDEV($D$5:$D$84)</f>
        <v>1.23774922792485</v>
      </c>
      <c r="F46" s="26" t="n">
        <f aca="false">ABS(D46)</f>
        <v>6.5</v>
      </c>
      <c r="G46" s="26" t="n">
        <f aca="false">D46^2</f>
        <v>42.25</v>
      </c>
      <c r="H46" s="8" t="str">
        <f aca="false">IF(ABS(E46)&gt;2,"⚠ INFLUENTIAL","✓ Normal")</f>
        <v>✓ Normal</v>
      </c>
    </row>
    <row r="47" customFormat="false" ht="15" hidden="false" customHeight="true" outlineLevel="0" collapsed="false">
      <c r="A47" s="4" t="n">
        <v>43</v>
      </c>
      <c r="B47" s="6" t="n">
        <f aca="false">'📊 RawData'!G45</f>
        <v>100</v>
      </c>
      <c r="C47" s="6" t="n">
        <f aca="false">'🔢 MultipleRegression'!J48</f>
        <v>93.1</v>
      </c>
      <c r="D47" s="20" t="n">
        <f aca="false">B47-C47</f>
        <v>6.90000000000001</v>
      </c>
      <c r="E47" s="20" t="n">
        <f aca="false">(D47-AVERAGE($D$5:$D$84))/STDEV($D$5:$D$84)</f>
        <v>1.31394771829345</v>
      </c>
      <c r="F47" s="20" t="n">
        <f aca="false">ABS(D47)</f>
        <v>6.90000000000001</v>
      </c>
      <c r="G47" s="20" t="n">
        <f aca="false">D47^2</f>
        <v>47.6100000000001</v>
      </c>
      <c r="H47" s="4" t="str">
        <f aca="false">IF(ABS(E47)&gt;2,"⚠ INFLUENTIAL","✓ Normal")</f>
        <v>✓ Normal</v>
      </c>
    </row>
    <row r="48" customFormat="false" ht="15" hidden="false" customHeight="true" outlineLevel="0" collapsed="false">
      <c r="A48" s="8" t="n">
        <v>44</v>
      </c>
      <c r="B48" s="10" t="n">
        <f aca="false">'📊 RawData'!G46</f>
        <v>72.6</v>
      </c>
      <c r="C48" s="10" t="n">
        <f aca="false">'🔢 MultipleRegression'!J49</f>
        <v>79.3</v>
      </c>
      <c r="D48" s="26" t="n">
        <f aca="false">B48-C48</f>
        <v>-6.7</v>
      </c>
      <c r="E48" s="26" t="n">
        <f aca="false">(D48-AVERAGE($D$5:$D$84))/STDEV($D$5:$D$84)</f>
        <v>-1.27680095423876</v>
      </c>
      <c r="F48" s="26" t="n">
        <f aca="false">ABS(D48)</f>
        <v>6.7</v>
      </c>
      <c r="G48" s="26" t="n">
        <f aca="false">D48^2</f>
        <v>44.89</v>
      </c>
      <c r="H48" s="8" t="str">
        <f aca="false">IF(ABS(E48)&gt;2,"⚠ INFLUENTIAL","✓ Normal")</f>
        <v>✓ Normal</v>
      </c>
    </row>
    <row r="49" customFormat="false" ht="15" hidden="false" customHeight="true" outlineLevel="0" collapsed="false">
      <c r="A49" s="4" t="n">
        <v>45</v>
      </c>
      <c r="B49" s="6" t="n">
        <f aca="false">'📊 RawData'!G47</f>
        <v>91.8</v>
      </c>
      <c r="C49" s="6" t="n">
        <f aca="false">'🔢 MultipleRegression'!J50</f>
        <v>90.3</v>
      </c>
      <c r="D49" s="20" t="n">
        <f aca="false">B49-C49</f>
        <v>1.5</v>
      </c>
      <c r="E49" s="20" t="n">
        <f aca="false">(D49-AVERAGE($D$5:$D$84))/STDEV($D$5:$D$84)</f>
        <v>0.285268098317425</v>
      </c>
      <c r="F49" s="20" t="n">
        <f aca="false">ABS(D49)</f>
        <v>1.5</v>
      </c>
      <c r="G49" s="20" t="n">
        <f aca="false">D49^2</f>
        <v>2.25</v>
      </c>
      <c r="H49" s="4" t="str">
        <f aca="false">IF(ABS(E49)&gt;2,"⚠ INFLUENTIAL","✓ Normal")</f>
        <v>✓ Normal</v>
      </c>
    </row>
    <row r="50" customFormat="false" ht="15" hidden="false" customHeight="true" outlineLevel="0" collapsed="false">
      <c r="A50" s="8" t="n">
        <v>46</v>
      </c>
      <c r="B50" s="10" t="n">
        <f aca="false">'📊 RawData'!G48</f>
        <v>94.6</v>
      </c>
      <c r="C50" s="10" t="n">
        <f aca="false">'🔢 MultipleRegression'!J51</f>
        <v>90.2</v>
      </c>
      <c r="D50" s="26" t="n">
        <f aca="false">B50-C50</f>
        <v>4.39999999999999</v>
      </c>
      <c r="E50" s="26" t="n">
        <f aca="false">(D50-AVERAGE($D$5:$D$84))/STDEV($D$5:$D$84)</f>
        <v>0.837707153489732</v>
      </c>
      <c r="F50" s="26" t="n">
        <f aca="false">ABS(D50)</f>
        <v>4.39999999999999</v>
      </c>
      <c r="G50" s="26" t="n">
        <f aca="false">D50^2</f>
        <v>19.3599999999999</v>
      </c>
      <c r="H50" s="8" t="str">
        <f aca="false">IF(ABS(E50)&gt;2,"⚠ INFLUENTIAL","✓ Normal")</f>
        <v>✓ Normal</v>
      </c>
    </row>
    <row r="51" customFormat="false" ht="15" hidden="false" customHeight="true" outlineLevel="0" collapsed="false">
      <c r="A51" s="4" t="n">
        <v>47</v>
      </c>
      <c r="B51" s="6" t="n">
        <f aca="false">'📊 RawData'!G49</f>
        <v>91.1</v>
      </c>
      <c r="C51" s="6" t="n">
        <f aca="false">'🔢 MultipleRegression'!J52</f>
        <v>86.9</v>
      </c>
      <c r="D51" s="20" t="n">
        <f aca="false">B51-C51</f>
        <v>4.19999999999999</v>
      </c>
      <c r="E51" s="20" t="n">
        <f aca="false">(D51-AVERAGE($D$5:$D$84))/STDEV($D$5:$D$84)</f>
        <v>0.799607908305434</v>
      </c>
      <c r="F51" s="20" t="n">
        <f aca="false">ABS(D51)</f>
        <v>4.19999999999999</v>
      </c>
      <c r="G51" s="20" t="n">
        <f aca="false">D51^2</f>
        <v>17.6399999999999</v>
      </c>
      <c r="H51" s="4" t="str">
        <f aca="false">IF(ABS(E51)&gt;2,"⚠ INFLUENTIAL","✓ Normal")</f>
        <v>✓ Normal</v>
      </c>
    </row>
    <row r="52" customFormat="false" ht="15" hidden="false" customHeight="true" outlineLevel="0" collapsed="false">
      <c r="A52" s="8" t="n">
        <v>48</v>
      </c>
      <c r="B52" s="10" t="n">
        <f aca="false">'📊 RawData'!G50</f>
        <v>78.3</v>
      </c>
      <c r="C52" s="10" t="n">
        <f aca="false">'🔢 MultipleRegression'!J53</f>
        <v>83.6</v>
      </c>
      <c r="D52" s="26" t="n">
        <f aca="false">B52-C52</f>
        <v>-5.3</v>
      </c>
      <c r="E52" s="26" t="n">
        <f aca="false">(D52-AVERAGE($D$5:$D$84))/STDEV($D$5:$D$84)</f>
        <v>-1.01010623794868</v>
      </c>
      <c r="F52" s="26" t="n">
        <f aca="false">ABS(D52)</f>
        <v>5.3</v>
      </c>
      <c r="G52" s="26" t="n">
        <f aca="false">D52^2</f>
        <v>28.09</v>
      </c>
      <c r="H52" s="8" t="str">
        <f aca="false">IF(ABS(E52)&gt;2,"⚠ INFLUENTIAL","✓ Normal")</f>
        <v>✓ Normal</v>
      </c>
    </row>
    <row r="53" customFormat="false" ht="15" hidden="false" customHeight="true" outlineLevel="0" collapsed="false">
      <c r="A53" s="4" t="n">
        <v>49</v>
      </c>
      <c r="B53" s="6" t="n">
        <f aca="false">'📊 RawData'!G51</f>
        <v>81.5</v>
      </c>
      <c r="C53" s="6" t="n">
        <f aca="false">'🔢 MultipleRegression'!J54</f>
        <v>87.2</v>
      </c>
      <c r="D53" s="20" t="n">
        <f aca="false">B53-C53</f>
        <v>-5.7</v>
      </c>
      <c r="E53" s="20" t="n">
        <f aca="false">(D53-AVERAGE($D$5:$D$84))/STDEV($D$5:$D$84)</f>
        <v>-1.08630472831727</v>
      </c>
      <c r="F53" s="20" t="n">
        <f aca="false">ABS(D53)</f>
        <v>5.7</v>
      </c>
      <c r="G53" s="20" t="n">
        <f aca="false">D53^2</f>
        <v>32.49</v>
      </c>
      <c r="H53" s="4" t="str">
        <f aca="false">IF(ABS(E53)&gt;2,"⚠ INFLUENTIAL","✓ Normal")</f>
        <v>✓ Normal</v>
      </c>
    </row>
    <row r="54" customFormat="false" ht="15" hidden="false" customHeight="true" outlineLevel="0" collapsed="false">
      <c r="A54" s="8" t="n">
        <v>50</v>
      </c>
      <c r="B54" s="10" t="n">
        <f aca="false">'📊 RawData'!G52</f>
        <v>84.4</v>
      </c>
      <c r="C54" s="10" t="n">
        <f aca="false">'🔢 MultipleRegression'!J55</f>
        <v>90.1</v>
      </c>
      <c r="D54" s="26" t="n">
        <f aca="false">B54-C54</f>
        <v>-5.69999999999999</v>
      </c>
      <c r="E54" s="26" t="n">
        <f aca="false">(D54-AVERAGE($D$5:$D$84))/STDEV($D$5:$D$84)</f>
        <v>-1.08630472831727</v>
      </c>
      <c r="F54" s="26" t="n">
        <f aca="false">ABS(D54)</f>
        <v>5.69999999999999</v>
      </c>
      <c r="G54" s="26" t="n">
        <f aca="false">D54^2</f>
        <v>32.4899999999999</v>
      </c>
      <c r="H54" s="8" t="str">
        <f aca="false">IF(ABS(E54)&gt;2,"⚠ INFLUENTIAL","✓ Normal")</f>
        <v>✓ Normal</v>
      </c>
    </row>
    <row r="55" customFormat="false" ht="15" hidden="false" customHeight="true" outlineLevel="0" collapsed="false">
      <c r="A55" s="4" t="n">
        <v>51</v>
      </c>
      <c r="B55" s="6" t="n">
        <f aca="false">'📊 RawData'!G53</f>
        <v>90.9</v>
      </c>
      <c r="C55" s="6" t="n">
        <f aca="false">'🔢 MultipleRegression'!J56</f>
        <v>94</v>
      </c>
      <c r="D55" s="20" t="n">
        <f aca="false">B55-C55</f>
        <v>-3.09999999999999</v>
      </c>
      <c r="E55" s="20" t="n">
        <f aca="false">(D55-AVERAGE($D$5:$D$84))/STDEV($D$5:$D$84)</f>
        <v>-0.591014540921409</v>
      </c>
      <c r="F55" s="20" t="n">
        <f aca="false">ABS(D55)</f>
        <v>3.09999999999999</v>
      </c>
      <c r="G55" s="20" t="n">
        <f aca="false">D55^2</f>
        <v>9.60999999999996</v>
      </c>
      <c r="H55" s="4" t="str">
        <f aca="false">IF(ABS(E55)&gt;2,"⚠ INFLUENTIAL","✓ Normal")</f>
        <v>✓ Normal</v>
      </c>
    </row>
    <row r="56" customFormat="false" ht="15" hidden="false" customHeight="true" outlineLevel="0" collapsed="false">
      <c r="A56" s="8" t="n">
        <v>52</v>
      </c>
      <c r="B56" s="10" t="n">
        <f aca="false">'📊 RawData'!G54</f>
        <v>96.9</v>
      </c>
      <c r="C56" s="10" t="n">
        <f aca="false">'🔢 MultipleRegression'!J57</f>
        <v>87.8</v>
      </c>
      <c r="D56" s="26" t="n">
        <f aca="false">B56-C56</f>
        <v>9.10000000000001</v>
      </c>
      <c r="E56" s="26" t="n">
        <f aca="false">(D56-AVERAGE($D$5:$D$84))/STDEV($D$5:$D$84)</f>
        <v>1.73303941532072</v>
      </c>
      <c r="F56" s="26" t="n">
        <f aca="false">ABS(D56)</f>
        <v>9.10000000000001</v>
      </c>
      <c r="G56" s="26" t="n">
        <f aca="false">D56^2</f>
        <v>82.8100000000002</v>
      </c>
      <c r="H56" s="8" t="str">
        <f aca="false">IF(ABS(E56)&gt;2,"⚠ INFLUENTIAL","✓ Normal")</f>
        <v>✓ Normal</v>
      </c>
    </row>
    <row r="57" customFormat="false" ht="15" hidden="false" customHeight="true" outlineLevel="0" collapsed="false">
      <c r="A57" s="4" t="n">
        <v>53</v>
      </c>
      <c r="B57" s="6" t="n">
        <f aca="false">'📊 RawData'!G55</f>
        <v>96.7</v>
      </c>
      <c r="C57" s="6" t="n">
        <f aca="false">'🔢 MultipleRegression'!J58</f>
        <v>95.1</v>
      </c>
      <c r="D57" s="20" t="n">
        <f aca="false">B57-C57</f>
        <v>1.60000000000001</v>
      </c>
      <c r="E57" s="20" t="n">
        <f aca="false">(D57-AVERAGE($D$5:$D$84))/STDEV($D$5:$D$84)</f>
        <v>0.304317720909575</v>
      </c>
      <c r="F57" s="20" t="n">
        <f aca="false">ABS(D57)</f>
        <v>1.60000000000001</v>
      </c>
      <c r="G57" s="20" t="n">
        <f aca="false">D57^2</f>
        <v>2.56000000000003</v>
      </c>
      <c r="H57" s="4" t="str">
        <f aca="false">IF(ABS(E57)&gt;2,"⚠ INFLUENTIAL","✓ Normal")</f>
        <v>✓ Normal</v>
      </c>
    </row>
    <row r="58" customFormat="false" ht="15" hidden="false" customHeight="true" outlineLevel="0" collapsed="false">
      <c r="A58" s="8" t="n">
        <v>54</v>
      </c>
      <c r="B58" s="10" t="n">
        <f aca="false">'📊 RawData'!G56</f>
        <v>95.1</v>
      </c>
      <c r="C58" s="10" t="n">
        <f aca="false">'🔢 MultipleRegression'!J59</f>
        <v>92.9</v>
      </c>
      <c r="D58" s="26" t="n">
        <f aca="false">B58-C58</f>
        <v>2.19999999999999</v>
      </c>
      <c r="E58" s="26" t="n">
        <f aca="false">(D58-AVERAGE($D$5:$D$84))/STDEV($D$5:$D$84)</f>
        <v>0.418615456462463</v>
      </c>
      <c r="F58" s="26" t="n">
        <f aca="false">ABS(D58)</f>
        <v>2.19999999999999</v>
      </c>
      <c r="G58" s="26" t="n">
        <f aca="false">D58^2</f>
        <v>4.83999999999995</v>
      </c>
      <c r="H58" s="8" t="str">
        <f aca="false">IF(ABS(E58)&gt;2,"⚠ INFLUENTIAL","✓ Normal")</f>
        <v>✓ Normal</v>
      </c>
    </row>
    <row r="59" customFormat="false" ht="15" hidden="false" customHeight="true" outlineLevel="0" collapsed="false">
      <c r="A59" s="4" t="n">
        <v>55</v>
      </c>
      <c r="B59" s="6" t="n">
        <f aca="false">'📊 RawData'!G57</f>
        <v>82.9</v>
      </c>
      <c r="C59" s="6" t="n">
        <f aca="false">'🔢 MultipleRegression'!J60</f>
        <v>92.2</v>
      </c>
      <c r="D59" s="20" t="n">
        <f aca="false">B59-C59</f>
        <v>-9.3</v>
      </c>
      <c r="E59" s="20" t="n">
        <f aca="false">(D59-AVERAGE($D$5:$D$84))/STDEV($D$5:$D$84)</f>
        <v>-1.77209114163462</v>
      </c>
      <c r="F59" s="20" t="n">
        <f aca="false">ABS(D59)</f>
        <v>9.3</v>
      </c>
      <c r="G59" s="20" t="n">
        <f aca="false">D59^2</f>
        <v>86.49</v>
      </c>
      <c r="H59" s="4" t="str">
        <f aca="false">IF(ABS(E59)&gt;2,"⚠ INFLUENTIAL","✓ Normal")</f>
        <v>✓ Normal</v>
      </c>
    </row>
    <row r="60" customFormat="false" ht="15" hidden="false" customHeight="true" outlineLevel="0" collapsed="false">
      <c r="A60" s="8" t="n">
        <v>56</v>
      </c>
      <c r="B60" s="10" t="n">
        <f aca="false">'📊 RawData'!G58</f>
        <v>84.3</v>
      </c>
      <c r="C60" s="10" t="n">
        <f aca="false">'🔢 MultipleRegression'!J61</f>
        <v>90</v>
      </c>
      <c r="D60" s="26" t="n">
        <f aca="false">B60-C60</f>
        <v>-5.7</v>
      </c>
      <c r="E60" s="26" t="n">
        <f aca="false">(D60-AVERAGE($D$5:$D$84))/STDEV($D$5:$D$84)</f>
        <v>-1.08630472831727</v>
      </c>
      <c r="F60" s="26" t="n">
        <f aca="false">ABS(D60)</f>
        <v>5.7</v>
      </c>
      <c r="G60" s="26" t="n">
        <f aca="false">D60^2</f>
        <v>32.49</v>
      </c>
      <c r="H60" s="8" t="str">
        <f aca="false">IF(ABS(E60)&gt;2,"⚠ INFLUENTIAL","✓ Normal")</f>
        <v>✓ Normal</v>
      </c>
    </row>
    <row r="61" customFormat="false" ht="15" hidden="false" customHeight="true" outlineLevel="0" collapsed="false">
      <c r="A61" s="4" t="n">
        <v>57</v>
      </c>
      <c r="B61" s="6" t="n">
        <f aca="false">'📊 RawData'!G59</f>
        <v>90.4</v>
      </c>
      <c r="C61" s="6" t="n">
        <f aca="false">'🔢 MultipleRegression'!J62</f>
        <v>88.1</v>
      </c>
      <c r="D61" s="20" t="n">
        <f aca="false">B61-C61</f>
        <v>2.30000000000001</v>
      </c>
      <c r="E61" s="20" t="n">
        <f aca="false">(D61-AVERAGE($D$5:$D$84))/STDEV($D$5:$D$84)</f>
        <v>0.437665079054616</v>
      </c>
      <c r="F61" s="20" t="n">
        <f aca="false">ABS(D61)</f>
        <v>2.30000000000001</v>
      </c>
      <c r="G61" s="20" t="n">
        <f aca="false">D61^2</f>
        <v>5.29000000000005</v>
      </c>
      <c r="H61" s="4" t="str">
        <f aca="false">IF(ABS(E61)&gt;2,"⚠ INFLUENTIAL","✓ Normal")</f>
        <v>✓ Normal</v>
      </c>
    </row>
    <row r="62" customFormat="false" ht="15" hidden="false" customHeight="true" outlineLevel="0" collapsed="false">
      <c r="A62" s="8" t="n">
        <v>58</v>
      </c>
      <c r="B62" s="10" t="n">
        <f aca="false">'📊 RawData'!G60</f>
        <v>100</v>
      </c>
      <c r="C62" s="10" t="n">
        <f aca="false">'🔢 MultipleRegression'!J63</f>
        <v>100</v>
      </c>
      <c r="D62" s="26" t="n">
        <f aca="false">B62-C62</f>
        <v>0</v>
      </c>
      <c r="E62" s="26" t="n">
        <f aca="false">(D62-AVERAGE($D$5:$D$84))/STDEV($D$5:$D$84)</f>
        <v>-0.000476240564803687</v>
      </c>
      <c r="F62" s="26" t="n">
        <f aca="false">ABS(D62)</f>
        <v>0</v>
      </c>
      <c r="G62" s="26" t="n">
        <f aca="false">D62^2</f>
        <v>0</v>
      </c>
      <c r="H62" s="8" t="str">
        <f aca="false">IF(ABS(E62)&gt;2,"⚠ INFLUENTIAL","✓ Normal")</f>
        <v>✓ Normal</v>
      </c>
    </row>
    <row r="63" customFormat="false" ht="15" hidden="false" customHeight="true" outlineLevel="0" collapsed="false">
      <c r="A63" s="4" t="n">
        <v>59</v>
      </c>
      <c r="B63" s="6" t="n">
        <f aca="false">'📊 RawData'!G61</f>
        <v>97.8</v>
      </c>
      <c r="C63" s="6" t="n">
        <f aca="false">'🔢 MultipleRegression'!J64</f>
        <v>91.2</v>
      </c>
      <c r="D63" s="20" t="n">
        <f aca="false">B63-C63</f>
        <v>6.59999999999999</v>
      </c>
      <c r="E63" s="20" t="n">
        <f aca="false">(D63-AVERAGE($D$5:$D$84))/STDEV($D$5:$D$84)</f>
        <v>1.256798850517</v>
      </c>
      <c r="F63" s="20" t="n">
        <f aca="false">ABS(D63)</f>
        <v>6.59999999999999</v>
      </c>
      <c r="G63" s="20" t="n">
        <f aca="false">D63^2</f>
        <v>43.5599999999999</v>
      </c>
      <c r="H63" s="4" t="str">
        <f aca="false">IF(ABS(E63)&gt;2,"⚠ INFLUENTIAL","✓ Normal")</f>
        <v>✓ Normal</v>
      </c>
    </row>
    <row r="64" customFormat="false" ht="15" hidden="false" customHeight="true" outlineLevel="0" collapsed="false">
      <c r="A64" s="8" t="n">
        <v>60</v>
      </c>
      <c r="B64" s="10" t="n">
        <f aca="false">'📊 RawData'!G62</f>
        <v>91</v>
      </c>
      <c r="C64" s="10" t="n">
        <f aca="false">'🔢 MultipleRegression'!J65</f>
        <v>92.7</v>
      </c>
      <c r="D64" s="26" t="n">
        <f aca="false">B64-C64</f>
        <v>-1.7</v>
      </c>
      <c r="E64" s="26" t="n">
        <f aca="false">(D64-AVERAGE($D$5:$D$84))/STDEV($D$5:$D$84)</f>
        <v>-0.32431982463133</v>
      </c>
      <c r="F64" s="26" t="n">
        <f aca="false">ABS(D64)</f>
        <v>1.7</v>
      </c>
      <c r="G64" s="26" t="n">
        <f aca="false">D64^2</f>
        <v>2.89000000000001</v>
      </c>
      <c r="H64" s="8" t="str">
        <f aca="false">IF(ABS(E64)&gt;2,"⚠ INFLUENTIAL","✓ Normal")</f>
        <v>✓ Normal</v>
      </c>
    </row>
    <row r="65" customFormat="false" ht="15" hidden="false" customHeight="true" outlineLevel="0" collapsed="false">
      <c r="A65" s="4" t="n">
        <v>61</v>
      </c>
      <c r="B65" s="6" t="n">
        <f aca="false">'📊 RawData'!G63</f>
        <v>79.2</v>
      </c>
      <c r="C65" s="6" t="n">
        <f aca="false">'🔢 MultipleRegression'!J66</f>
        <v>79.8</v>
      </c>
      <c r="D65" s="20" t="n">
        <f aca="false">B65-C65</f>
        <v>-0.599999999999994</v>
      </c>
      <c r="E65" s="20" t="n">
        <f aca="false">(D65-AVERAGE($D$5:$D$84))/STDEV($D$5:$D$84)</f>
        <v>-0.114773976117694</v>
      </c>
      <c r="F65" s="20" t="n">
        <f aca="false">ABS(D65)</f>
        <v>0.599999999999994</v>
      </c>
      <c r="G65" s="20" t="n">
        <f aca="false">D65^2</f>
        <v>0.359999999999993</v>
      </c>
      <c r="H65" s="4" t="str">
        <f aca="false">IF(ABS(E65)&gt;2,"⚠ INFLUENTIAL","✓ Normal")</f>
        <v>✓ Normal</v>
      </c>
    </row>
    <row r="66" customFormat="false" ht="15" hidden="false" customHeight="true" outlineLevel="0" collapsed="false">
      <c r="A66" s="8" t="n">
        <v>62</v>
      </c>
      <c r="B66" s="10" t="n">
        <f aca="false">'📊 RawData'!G64</f>
        <v>88.9</v>
      </c>
      <c r="C66" s="10" t="n">
        <f aca="false">'🔢 MultipleRegression'!J67</f>
        <v>90</v>
      </c>
      <c r="D66" s="26" t="n">
        <f aca="false">B66-C66</f>
        <v>-1.09999999999999</v>
      </c>
      <c r="E66" s="26" t="n">
        <f aca="false">(D66-AVERAGE($D$5:$D$84))/STDEV($D$5:$D$84)</f>
        <v>-0.210022089078437</v>
      </c>
      <c r="F66" s="26" t="n">
        <f aca="false">ABS(D66)</f>
        <v>1.09999999999999</v>
      </c>
      <c r="G66" s="26" t="n">
        <f aca="false">D66^2</f>
        <v>1.20999999999999</v>
      </c>
      <c r="H66" s="8" t="str">
        <f aca="false">IF(ABS(E66)&gt;2,"⚠ INFLUENTIAL","✓ Normal")</f>
        <v>✓ Normal</v>
      </c>
    </row>
    <row r="67" customFormat="false" ht="15" hidden="false" customHeight="true" outlineLevel="0" collapsed="false">
      <c r="A67" s="4" t="n">
        <v>63</v>
      </c>
      <c r="B67" s="6" t="n">
        <f aca="false">'📊 RawData'!G65</f>
        <v>81.1</v>
      </c>
      <c r="C67" s="6" t="n">
        <f aca="false">'🔢 MultipleRegression'!J68</f>
        <v>77.5</v>
      </c>
      <c r="D67" s="20" t="n">
        <f aca="false">B67-C67</f>
        <v>3.59999999999999</v>
      </c>
      <c r="E67" s="20" t="n">
        <f aca="false">(D67-AVERAGE($D$5:$D$84))/STDEV($D$5:$D$84)</f>
        <v>0.685310172752544</v>
      </c>
      <c r="F67" s="20" t="n">
        <f aca="false">ABS(D67)</f>
        <v>3.59999999999999</v>
      </c>
      <c r="G67" s="20" t="n">
        <f aca="false">D67^2</f>
        <v>12.96</v>
      </c>
      <c r="H67" s="4" t="str">
        <f aca="false">IF(ABS(E67)&gt;2,"⚠ INFLUENTIAL","✓ Normal")</f>
        <v>✓ Normal</v>
      </c>
    </row>
    <row r="68" customFormat="false" ht="15" hidden="false" customHeight="true" outlineLevel="0" collapsed="false">
      <c r="A68" s="8" t="n">
        <v>64</v>
      </c>
      <c r="B68" s="10" t="n">
        <f aca="false">'📊 RawData'!G66</f>
        <v>83.6</v>
      </c>
      <c r="C68" s="10" t="n">
        <f aca="false">'🔢 MultipleRegression'!J69</f>
        <v>85.5</v>
      </c>
      <c r="D68" s="26" t="n">
        <f aca="false">B68-C68</f>
        <v>-1.90000000000001</v>
      </c>
      <c r="E68" s="26" t="n">
        <f aca="false">(D68-AVERAGE($D$5:$D$84))/STDEV($D$5:$D$84)</f>
        <v>-0.362419069815628</v>
      </c>
      <c r="F68" s="26" t="n">
        <f aca="false">ABS(D68)</f>
        <v>1.90000000000001</v>
      </c>
      <c r="G68" s="26" t="n">
        <f aca="false">D68^2</f>
        <v>3.61000000000002</v>
      </c>
      <c r="H68" s="8" t="str">
        <f aca="false">IF(ABS(E68)&gt;2,"⚠ INFLUENTIAL","✓ Normal")</f>
        <v>✓ Normal</v>
      </c>
    </row>
    <row r="69" customFormat="false" ht="15" hidden="false" customHeight="true" outlineLevel="0" collapsed="false">
      <c r="A69" s="4" t="n">
        <v>65</v>
      </c>
      <c r="B69" s="6" t="n">
        <f aca="false">'📊 RawData'!G67</f>
        <v>100</v>
      </c>
      <c r="C69" s="6" t="n">
        <f aca="false">'🔢 MultipleRegression'!J70</f>
        <v>93.6</v>
      </c>
      <c r="D69" s="20" t="n">
        <f aca="false">B69-C69</f>
        <v>6.40000000000001</v>
      </c>
      <c r="E69" s="20" t="n">
        <f aca="false">(D69-AVERAGE($D$5:$D$84))/STDEV($D$5:$D$84)</f>
        <v>1.21869960533271</v>
      </c>
      <c r="F69" s="20" t="n">
        <f aca="false">ABS(D69)</f>
        <v>6.40000000000001</v>
      </c>
      <c r="G69" s="20" t="n">
        <f aca="false">D69^2</f>
        <v>40.9600000000001</v>
      </c>
      <c r="H69" s="4" t="str">
        <f aca="false">IF(ABS(E69)&gt;2,"⚠ INFLUENTIAL","✓ Normal")</f>
        <v>✓ Normal</v>
      </c>
    </row>
    <row r="70" customFormat="false" ht="15" hidden="false" customHeight="true" outlineLevel="0" collapsed="false">
      <c r="A70" s="8" t="n">
        <v>66</v>
      </c>
      <c r="B70" s="10" t="n">
        <f aca="false">'📊 RawData'!G68</f>
        <v>84.5</v>
      </c>
      <c r="C70" s="10" t="n">
        <f aca="false">'🔢 MultipleRegression'!J71</f>
        <v>85.5</v>
      </c>
      <c r="D70" s="26" t="n">
        <f aca="false">B70-C70</f>
        <v>-1</v>
      </c>
      <c r="E70" s="26" t="n">
        <f aca="false">(D70-AVERAGE($D$5:$D$84))/STDEV($D$5:$D$84)</f>
        <v>-0.190972466486289</v>
      </c>
      <c r="F70" s="26" t="n">
        <f aca="false">ABS(D70)</f>
        <v>1</v>
      </c>
      <c r="G70" s="26" t="n">
        <f aca="false">D70^2</f>
        <v>1</v>
      </c>
      <c r="H70" s="8" t="str">
        <f aca="false">IF(ABS(E70)&gt;2,"⚠ INFLUENTIAL","✓ Normal")</f>
        <v>✓ Normal</v>
      </c>
    </row>
    <row r="71" customFormat="false" ht="15" hidden="false" customHeight="true" outlineLevel="0" collapsed="false">
      <c r="A71" s="4" t="n">
        <v>67</v>
      </c>
      <c r="B71" s="6" t="n">
        <f aca="false">'📊 RawData'!G69</f>
        <v>100</v>
      </c>
      <c r="C71" s="6" t="n">
        <f aca="false">'🔢 MultipleRegression'!J72</f>
        <v>97.4</v>
      </c>
      <c r="D71" s="20" t="n">
        <f aca="false">B71-C71</f>
        <v>2.59999999999999</v>
      </c>
      <c r="E71" s="20" t="n">
        <f aca="false">(D71-AVERAGE($D$5:$D$84))/STDEV($D$5:$D$84)</f>
        <v>0.494813946831058</v>
      </c>
      <c r="F71" s="20" t="n">
        <f aca="false">ABS(D71)</f>
        <v>2.59999999999999</v>
      </c>
      <c r="G71" s="20" t="n">
        <f aca="false">D71^2</f>
        <v>6.75999999999997</v>
      </c>
      <c r="H71" s="4" t="str">
        <f aca="false">IF(ABS(E71)&gt;2,"⚠ INFLUENTIAL","✓ Normal")</f>
        <v>✓ Normal</v>
      </c>
    </row>
    <row r="72" customFormat="false" ht="15" hidden="false" customHeight="true" outlineLevel="0" collapsed="false">
      <c r="A72" s="8" t="n">
        <v>68</v>
      </c>
      <c r="B72" s="10" t="n">
        <f aca="false">'📊 RawData'!G70</f>
        <v>100</v>
      </c>
      <c r="C72" s="10" t="n">
        <f aca="false">'🔢 MultipleRegression'!J73</f>
        <v>106.1</v>
      </c>
      <c r="D72" s="26" t="n">
        <f aca="false">B72-C72</f>
        <v>-6.09999999999999</v>
      </c>
      <c r="E72" s="26" t="n">
        <f aca="false">(D72-AVERAGE($D$5:$D$84))/STDEV($D$5:$D$84)</f>
        <v>-1.16250321868587</v>
      </c>
      <c r="F72" s="26" t="n">
        <f aca="false">ABS(D72)</f>
        <v>6.09999999999999</v>
      </c>
      <c r="G72" s="26" t="n">
        <f aca="false">D72^2</f>
        <v>37.2099999999999</v>
      </c>
      <c r="H72" s="8" t="str">
        <f aca="false">IF(ABS(E72)&gt;2,"⚠ INFLUENTIAL","✓ Normal")</f>
        <v>✓ Normal</v>
      </c>
    </row>
    <row r="73" customFormat="false" ht="15" hidden="false" customHeight="true" outlineLevel="0" collapsed="false">
      <c r="A73" s="4" t="n">
        <v>69</v>
      </c>
      <c r="B73" s="6" t="n">
        <f aca="false">'📊 RawData'!G71</f>
        <v>82.5</v>
      </c>
      <c r="C73" s="6" t="n">
        <f aca="false">'🔢 MultipleRegression'!J74</f>
        <v>88</v>
      </c>
      <c r="D73" s="20" t="n">
        <f aca="false">B73-C73</f>
        <v>-5.5</v>
      </c>
      <c r="E73" s="20" t="n">
        <f aca="false">(D73-AVERAGE($D$5:$D$84))/STDEV($D$5:$D$84)</f>
        <v>-1.04820548313298</v>
      </c>
      <c r="F73" s="20" t="n">
        <f aca="false">ABS(D73)</f>
        <v>5.5</v>
      </c>
      <c r="G73" s="20" t="n">
        <f aca="false">D73^2</f>
        <v>30.25</v>
      </c>
      <c r="H73" s="4" t="str">
        <f aca="false">IF(ABS(E73)&gt;2,"⚠ INFLUENTIAL","✓ Normal")</f>
        <v>✓ Normal</v>
      </c>
    </row>
    <row r="74" customFormat="false" ht="15" hidden="false" customHeight="true" outlineLevel="0" collapsed="false">
      <c r="A74" s="8" t="n">
        <v>70</v>
      </c>
      <c r="B74" s="10" t="n">
        <f aca="false">'📊 RawData'!G72</f>
        <v>88.2</v>
      </c>
      <c r="C74" s="10" t="n">
        <f aca="false">'🔢 MultipleRegression'!J75</f>
        <v>91.4</v>
      </c>
      <c r="D74" s="26" t="n">
        <f aca="false">B74-C74</f>
        <v>-3.2</v>
      </c>
      <c r="E74" s="26" t="n">
        <f aca="false">(D74-AVERAGE($D$5:$D$84))/STDEV($D$5:$D$84)</f>
        <v>-0.610064163513559</v>
      </c>
      <c r="F74" s="26" t="n">
        <f aca="false">ABS(D74)</f>
        <v>3.2</v>
      </c>
      <c r="G74" s="26" t="n">
        <f aca="false">D74^2</f>
        <v>10.24</v>
      </c>
      <c r="H74" s="8" t="str">
        <f aca="false">IF(ABS(E74)&gt;2,"⚠ INFLUENTIAL","✓ Normal")</f>
        <v>✓ Normal</v>
      </c>
    </row>
    <row r="75" customFormat="false" ht="15" hidden="false" customHeight="true" outlineLevel="0" collapsed="false">
      <c r="A75" s="4" t="n">
        <v>71</v>
      </c>
      <c r="B75" s="6" t="n">
        <f aca="false">'📊 RawData'!G73</f>
        <v>88.4</v>
      </c>
      <c r="C75" s="6" t="n">
        <f aca="false">'🔢 MultipleRegression'!J76</f>
        <v>92.6</v>
      </c>
      <c r="D75" s="20" t="n">
        <f aca="false">B75-C75</f>
        <v>-4.19999999999999</v>
      </c>
      <c r="E75" s="20" t="n">
        <f aca="false">(D75-AVERAGE($D$5:$D$84))/STDEV($D$5:$D$84)</f>
        <v>-0.800560389435042</v>
      </c>
      <c r="F75" s="20" t="n">
        <f aca="false">ABS(D75)</f>
        <v>4.19999999999999</v>
      </c>
      <c r="G75" s="20" t="n">
        <f aca="false">D75^2</f>
        <v>17.6399999999999</v>
      </c>
      <c r="H75" s="4" t="str">
        <f aca="false">IF(ABS(E75)&gt;2,"⚠ INFLUENTIAL","✓ Normal")</f>
        <v>✓ Normal</v>
      </c>
    </row>
    <row r="76" customFormat="false" ht="15" hidden="false" customHeight="true" outlineLevel="0" collapsed="false">
      <c r="A76" s="8" t="n">
        <v>72</v>
      </c>
      <c r="B76" s="10" t="n">
        <f aca="false">'📊 RawData'!G74</f>
        <v>80.6</v>
      </c>
      <c r="C76" s="10" t="n">
        <f aca="false">'🔢 MultipleRegression'!J77</f>
        <v>83.2</v>
      </c>
      <c r="D76" s="26" t="n">
        <f aca="false">B76-C76</f>
        <v>-2.60000000000001</v>
      </c>
      <c r="E76" s="26" t="n">
        <f aca="false">(D76-AVERAGE($D$5:$D$84))/STDEV($D$5:$D$84)</f>
        <v>-0.495766427960668</v>
      </c>
      <c r="F76" s="26" t="n">
        <f aca="false">ABS(D76)</f>
        <v>2.60000000000001</v>
      </c>
      <c r="G76" s="26" t="n">
        <f aca="false">D76^2</f>
        <v>6.76000000000004</v>
      </c>
      <c r="H76" s="8" t="str">
        <f aca="false">IF(ABS(E76)&gt;2,"⚠ INFLUENTIAL","✓ Normal")</f>
        <v>✓ Normal</v>
      </c>
    </row>
    <row r="77" customFormat="false" ht="15" hidden="false" customHeight="true" outlineLevel="0" collapsed="false">
      <c r="A77" s="4" t="n">
        <v>73</v>
      </c>
      <c r="B77" s="6" t="n">
        <f aca="false">'📊 RawData'!G75</f>
        <v>94.3</v>
      </c>
      <c r="C77" s="6" t="n">
        <f aca="false">'🔢 MultipleRegression'!J78</f>
        <v>85.4</v>
      </c>
      <c r="D77" s="20" t="n">
        <f aca="false">B77-C77</f>
        <v>8.89999999999999</v>
      </c>
      <c r="E77" s="20" t="n">
        <f aca="false">(D77-AVERAGE($D$5:$D$84))/STDEV($D$5:$D$84)</f>
        <v>1.69494017013642</v>
      </c>
      <c r="F77" s="20" t="n">
        <f aca="false">ABS(D77)</f>
        <v>8.89999999999999</v>
      </c>
      <c r="G77" s="20" t="n">
        <f aca="false">D77^2</f>
        <v>79.2099999999999</v>
      </c>
      <c r="H77" s="4" t="str">
        <f aca="false">IF(ABS(E77)&gt;2,"⚠ INFLUENTIAL","✓ Normal")</f>
        <v>✓ Normal</v>
      </c>
    </row>
    <row r="78" customFormat="false" ht="15" hidden="false" customHeight="true" outlineLevel="0" collapsed="false">
      <c r="A78" s="8" t="n">
        <v>74</v>
      </c>
      <c r="B78" s="10" t="n">
        <f aca="false">'📊 RawData'!G76</f>
        <v>100</v>
      </c>
      <c r="C78" s="10" t="n">
        <f aca="false">'🔢 MultipleRegression'!J79</f>
        <v>101.7</v>
      </c>
      <c r="D78" s="26" t="n">
        <f aca="false">B78-C78</f>
        <v>-1.7</v>
      </c>
      <c r="E78" s="26" t="n">
        <f aca="false">(D78-AVERAGE($D$5:$D$84))/STDEV($D$5:$D$84)</f>
        <v>-0.32431982463133</v>
      </c>
      <c r="F78" s="26" t="n">
        <f aca="false">ABS(D78)</f>
        <v>1.7</v>
      </c>
      <c r="G78" s="26" t="n">
        <f aca="false">D78^2</f>
        <v>2.89000000000001</v>
      </c>
      <c r="H78" s="8" t="str">
        <f aca="false">IF(ABS(E78)&gt;2,"⚠ INFLUENTIAL","✓ Normal")</f>
        <v>✓ Normal</v>
      </c>
    </row>
    <row r="79" customFormat="false" ht="15" hidden="false" customHeight="true" outlineLevel="0" collapsed="false">
      <c r="A79" s="4" t="n">
        <v>75</v>
      </c>
      <c r="B79" s="6" t="n">
        <f aca="false">'📊 RawData'!G77</f>
        <v>99.6</v>
      </c>
      <c r="C79" s="6" t="n">
        <f aca="false">'🔢 MultipleRegression'!J80</f>
        <v>94</v>
      </c>
      <c r="D79" s="20" t="n">
        <f aca="false">B79-C79</f>
        <v>5.59999999999999</v>
      </c>
      <c r="E79" s="20" t="n">
        <f aca="false">(D79-AVERAGE($D$5:$D$84))/STDEV($D$5:$D$84)</f>
        <v>1.06630262459552</v>
      </c>
      <c r="F79" s="20" t="n">
        <f aca="false">ABS(D79)</f>
        <v>5.59999999999999</v>
      </c>
      <c r="G79" s="20" t="n">
        <f aca="false">D79^2</f>
        <v>31.3599999999999</v>
      </c>
      <c r="H79" s="4" t="str">
        <f aca="false">IF(ABS(E79)&gt;2,"⚠ INFLUENTIAL","✓ Normal")</f>
        <v>✓ Normal</v>
      </c>
    </row>
    <row r="80" customFormat="false" ht="15" hidden="false" customHeight="true" outlineLevel="0" collapsed="false">
      <c r="A80" s="8" t="n">
        <v>76</v>
      </c>
      <c r="B80" s="10" t="n">
        <f aca="false">'📊 RawData'!G78</f>
        <v>100</v>
      </c>
      <c r="C80" s="10" t="n">
        <f aca="false">'🔢 MultipleRegression'!J81</f>
        <v>92.1</v>
      </c>
      <c r="D80" s="26" t="n">
        <f aca="false">B80-C80</f>
        <v>7.90000000000001</v>
      </c>
      <c r="E80" s="26" t="n">
        <f aca="false">(D80-AVERAGE($D$5:$D$84))/STDEV($D$5:$D$84)</f>
        <v>1.50444394421493</v>
      </c>
      <c r="F80" s="26" t="n">
        <f aca="false">ABS(D80)</f>
        <v>7.90000000000001</v>
      </c>
      <c r="G80" s="26" t="n">
        <f aca="false">D80^2</f>
        <v>62.4100000000001</v>
      </c>
      <c r="H80" s="8" t="str">
        <f aca="false">IF(ABS(E80)&gt;2,"⚠ INFLUENTIAL","✓ Normal")</f>
        <v>✓ Normal</v>
      </c>
    </row>
    <row r="81" customFormat="false" ht="15" hidden="false" customHeight="true" outlineLevel="0" collapsed="false">
      <c r="A81" s="4" t="n">
        <v>77</v>
      </c>
      <c r="B81" s="6" t="n">
        <f aca="false">'📊 RawData'!G79</f>
        <v>96.6</v>
      </c>
      <c r="C81" s="6" t="n">
        <f aca="false">'🔢 MultipleRegression'!J82</f>
        <v>92.2</v>
      </c>
      <c r="D81" s="20" t="n">
        <f aca="false">B81-C81</f>
        <v>4.39999999999999</v>
      </c>
      <c r="E81" s="20" t="n">
        <f aca="false">(D81-AVERAGE($D$5:$D$84))/STDEV($D$5:$D$84)</f>
        <v>0.837707153489732</v>
      </c>
      <c r="F81" s="20" t="n">
        <f aca="false">ABS(D81)</f>
        <v>4.39999999999999</v>
      </c>
      <c r="G81" s="20" t="n">
        <f aca="false">D81^2</f>
        <v>19.3599999999999</v>
      </c>
      <c r="H81" s="4" t="str">
        <f aca="false">IF(ABS(E81)&gt;2,"⚠ INFLUENTIAL","✓ Normal")</f>
        <v>✓ Normal</v>
      </c>
    </row>
    <row r="82" customFormat="false" ht="15" hidden="false" customHeight="true" outlineLevel="0" collapsed="false">
      <c r="A82" s="8" t="n">
        <v>78</v>
      </c>
      <c r="B82" s="10" t="n">
        <f aca="false">'📊 RawData'!G80</f>
        <v>96.7</v>
      </c>
      <c r="C82" s="10" t="n">
        <f aca="false">'🔢 MultipleRegression'!J83</f>
        <v>88.6</v>
      </c>
      <c r="D82" s="26" t="n">
        <f aca="false">B82-C82</f>
        <v>8.10000000000001</v>
      </c>
      <c r="E82" s="26" t="n">
        <f aca="false">(D82-AVERAGE($D$5:$D$84))/STDEV($D$5:$D$84)</f>
        <v>1.54254318939923</v>
      </c>
      <c r="F82" s="26" t="n">
        <f aca="false">ABS(D82)</f>
        <v>8.10000000000001</v>
      </c>
      <c r="G82" s="26" t="n">
        <f aca="false">D82^2</f>
        <v>65.6100000000001</v>
      </c>
      <c r="H82" s="8" t="str">
        <f aca="false">IF(ABS(E82)&gt;2,"⚠ INFLUENTIAL","✓ Normal")</f>
        <v>✓ Normal</v>
      </c>
    </row>
    <row r="83" customFormat="false" ht="15" hidden="false" customHeight="true" outlineLevel="0" collapsed="false">
      <c r="A83" s="4" t="n">
        <v>79</v>
      </c>
      <c r="B83" s="6" t="n">
        <f aca="false">'📊 RawData'!G81</f>
        <v>92.6</v>
      </c>
      <c r="C83" s="6" t="n">
        <f aca="false">'🔢 MultipleRegression'!J84</f>
        <v>86.5</v>
      </c>
      <c r="D83" s="20" t="n">
        <f aca="false">B83-C83</f>
        <v>6.09999999999999</v>
      </c>
      <c r="E83" s="20" t="n">
        <f aca="false">(D83-AVERAGE($D$5:$D$84))/STDEV($D$5:$D$84)</f>
        <v>1.16155073755626</v>
      </c>
      <c r="F83" s="20" t="n">
        <f aca="false">ABS(D83)</f>
        <v>6.09999999999999</v>
      </c>
      <c r="G83" s="20" t="n">
        <f aca="false">D83^2</f>
        <v>37.2099999999999</v>
      </c>
      <c r="H83" s="4" t="str">
        <f aca="false">IF(ABS(E83)&gt;2,"⚠ INFLUENTIAL","✓ Normal")</f>
        <v>✓ Normal</v>
      </c>
    </row>
    <row r="84" customFormat="false" ht="15" hidden="false" customHeight="true" outlineLevel="0" collapsed="false">
      <c r="A84" s="8" t="n">
        <v>80</v>
      </c>
      <c r="B84" s="10" t="n">
        <f aca="false">'📊 RawData'!G82</f>
        <v>90.7</v>
      </c>
      <c r="C84" s="10" t="n">
        <f aca="false">'🔢 MultipleRegression'!J85</f>
        <v>87.2</v>
      </c>
      <c r="D84" s="26" t="n">
        <f aca="false">B84-C84</f>
        <v>3.5</v>
      </c>
      <c r="E84" s="26" t="n">
        <f aca="false">(D84-AVERAGE($D$5:$D$84))/STDEV($D$5:$D$84)</f>
        <v>0.666260550160396</v>
      </c>
      <c r="F84" s="26" t="n">
        <f aca="false">ABS(D84)</f>
        <v>3.5</v>
      </c>
      <c r="G84" s="26" t="n">
        <f aca="false">D84^2</f>
        <v>12.25</v>
      </c>
      <c r="H84" s="8" t="str">
        <f aca="false">IF(ABS(E84)&gt;2,"⚠ INFLUENTIAL","✓ Normal")</f>
        <v>✓ Normal</v>
      </c>
    </row>
    <row r="86" customFormat="false" ht="21.75" hidden="false" customHeight="true" outlineLevel="0" collapsed="false">
      <c r="A86" s="101" t="s">
        <v>269</v>
      </c>
      <c r="B86" s="101"/>
      <c r="C86" s="101"/>
      <c r="D86" s="101"/>
      <c r="E86" s="101"/>
      <c r="F86" s="101"/>
      <c r="G86" s="101"/>
      <c r="H86" s="101"/>
    </row>
    <row r="87" customFormat="false" ht="15" hidden="false" customHeight="true" outlineLevel="0" collapsed="false">
      <c r="A87" s="102" t="s">
        <v>129</v>
      </c>
      <c r="B87" s="102" t="s">
        <v>130</v>
      </c>
      <c r="C87" s="102" t="s">
        <v>270</v>
      </c>
      <c r="D87" s="102" t="s">
        <v>156</v>
      </c>
    </row>
    <row r="88" customFormat="false" ht="19.5" hidden="false" customHeight="true" outlineLevel="0" collapsed="false">
      <c r="A88" s="16" t="s">
        <v>271</v>
      </c>
      <c r="B88" s="103" t="n">
        <f aca="false">AVERAGE(D5:D84)</f>
        <v>0.00249999999999986</v>
      </c>
      <c r="C88" s="104" t="s">
        <v>272</v>
      </c>
      <c r="D88" s="48" t="s">
        <v>273</v>
      </c>
    </row>
    <row r="89" customFormat="false" ht="19.5" hidden="false" customHeight="true" outlineLevel="0" collapsed="false">
      <c r="A89" s="22" t="s">
        <v>274</v>
      </c>
      <c r="B89" s="105" t="n">
        <f aca="false">STDEV(D5:D84)</f>
        <v>5.24944783111953</v>
      </c>
      <c r="C89" s="106" t="s">
        <v>275</v>
      </c>
      <c r="D89" s="51" t="s">
        <v>276</v>
      </c>
    </row>
    <row r="90" customFormat="false" ht="19.5" hidden="false" customHeight="true" outlineLevel="0" collapsed="false">
      <c r="A90" s="16" t="s">
        <v>277</v>
      </c>
      <c r="B90" s="107" t="n">
        <f aca="false">MAX(D5:D84)</f>
        <v>9.7</v>
      </c>
      <c r="C90" s="104" t="s">
        <v>275</v>
      </c>
      <c r="D90" s="48" t="s">
        <v>278</v>
      </c>
    </row>
    <row r="91" customFormat="false" ht="19.5" hidden="false" customHeight="true" outlineLevel="0" collapsed="false">
      <c r="A91" s="22" t="s">
        <v>279</v>
      </c>
      <c r="B91" s="105" t="n">
        <f aca="false">MIN(D5:D84)</f>
        <v>-16.2</v>
      </c>
      <c r="C91" s="106" t="s">
        <v>275</v>
      </c>
      <c r="D91" s="51" t="s">
        <v>280</v>
      </c>
    </row>
    <row r="92" customFormat="false" ht="19.5" hidden="false" customHeight="true" outlineLevel="0" collapsed="false">
      <c r="A92" s="16" t="s">
        <v>281</v>
      </c>
      <c r="B92" s="107" t="n">
        <f aca="false">AVERAGE(F5:F84)</f>
        <v>4.31486486486486</v>
      </c>
      <c r="C92" s="104" t="s">
        <v>275</v>
      </c>
      <c r="D92" s="48" t="s">
        <v>282</v>
      </c>
    </row>
    <row r="93" customFormat="false" ht="19.5" hidden="false" customHeight="true" outlineLevel="0" collapsed="false">
      <c r="A93" s="22" t="s">
        <v>283</v>
      </c>
      <c r="B93" s="105" t="n">
        <f aca="false">SQRT(AVERAGE(G5:G84))</f>
        <v>5.13723818955441</v>
      </c>
      <c r="C93" s="106" t="s">
        <v>275</v>
      </c>
      <c r="D93" s="51" t="s">
        <v>284</v>
      </c>
    </row>
    <row r="94" customFormat="false" ht="19.5" hidden="false" customHeight="true" outlineLevel="0" collapsed="false">
      <c r="A94" s="16" t="s">
        <v>285</v>
      </c>
      <c r="B94" s="108" t="n">
        <f aca="false">COUNTIF(H5:H84,"⚠ INFLUENTIAL")</f>
        <v>1</v>
      </c>
      <c r="C94" s="104" t="s">
        <v>286</v>
      </c>
      <c r="D94" s="48" t="s">
        <v>287</v>
      </c>
    </row>
    <row r="95" customFormat="false" ht="19.5" hidden="false" customHeight="true" outlineLevel="0" collapsed="false">
      <c r="A95" s="22" t="s">
        <v>288</v>
      </c>
      <c r="B95" s="109" t="n">
        <f aca="false">G93/80</f>
        <v>0</v>
      </c>
      <c r="C95" s="106" t="s">
        <v>289</v>
      </c>
      <c r="D95" s="51" t="s">
        <v>290</v>
      </c>
    </row>
  </sheetData>
  <mergeCells count="4">
    <mergeCell ref="A1:K1"/>
    <mergeCell ref="A2:K2"/>
    <mergeCell ref="F4:K4"/>
    <mergeCell ref="A86:H86"/>
  </mergeCells>
  <conditionalFormatting sqref="H5:H84">
    <cfRule type="expression" priority="2" aboveAverage="0" equalAverage="0" bottom="0" percent="0" rank="0" text="" dxfId="0">
      <formula>H5="⚠ INFLUENTIAL"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58900"/>
    <pageSetUpPr fitToPage="false"/>
  </sheetPr>
  <dimension ref="A1:J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8"/>
    <col collapsed="false" customWidth="true" hidden="false" outlineLevel="0" max="3" min="3" style="1" width="14"/>
    <col collapsed="false" customWidth="true" hidden="false" outlineLevel="0" max="4" min="4" style="1" width="16"/>
    <col collapsed="false" customWidth="true" hidden="false" outlineLevel="0" max="5" min="5" style="1" width="14"/>
    <col collapsed="false" customWidth="true" hidden="false" outlineLevel="0" max="6" min="6" style="1" width="13"/>
    <col collapsed="false" customWidth="true" hidden="false" outlineLevel="0" max="7" min="7" style="1" width="12"/>
    <col collapsed="false" customWidth="true" hidden="false" outlineLevel="0" max="8" min="8" style="1" width="26"/>
  </cols>
  <sheetData>
    <row r="1" customFormat="false" ht="36" hidden="false" customHeight="true" outlineLevel="0" collapsed="false">
      <c r="A1" s="110" t="s">
        <v>291</v>
      </c>
      <c r="B1" s="110"/>
      <c r="C1" s="110"/>
      <c r="D1" s="110"/>
      <c r="E1" s="110"/>
      <c r="F1" s="110"/>
      <c r="G1" s="110"/>
      <c r="H1" s="110"/>
    </row>
    <row r="2" customFormat="false" ht="19.5" hidden="false" customHeight="true" outlineLevel="0" collapsed="false">
      <c r="A2" s="111" t="s">
        <v>292</v>
      </c>
      <c r="B2" s="111"/>
      <c r="C2" s="111"/>
      <c r="D2" s="111"/>
      <c r="E2" s="111"/>
      <c r="F2" s="111"/>
      <c r="G2" s="111"/>
      <c r="H2" s="111"/>
    </row>
    <row r="4" customFormat="false" ht="21.75" hidden="false" customHeight="true" outlineLevel="0" collapsed="false">
      <c r="A4" s="14" t="s">
        <v>293</v>
      </c>
      <c r="B4" s="14"/>
      <c r="C4" s="14"/>
      <c r="D4" s="14"/>
      <c r="E4" s="14"/>
      <c r="F4" s="14"/>
      <c r="G4" s="14"/>
      <c r="H4" s="14"/>
    </row>
    <row r="5" customFormat="false" ht="19.5" hidden="false" customHeight="true" outlineLevel="0" collapsed="false">
      <c r="A5" s="112" t="s">
        <v>294</v>
      </c>
      <c r="B5" s="113" t="s">
        <v>295</v>
      </c>
      <c r="C5" s="114" t="n">
        <v>5</v>
      </c>
      <c r="D5" s="115" t="s">
        <v>296</v>
      </c>
      <c r="E5" s="116" t="s">
        <v>297</v>
      </c>
      <c r="I5" s="67" t="s">
        <v>230</v>
      </c>
      <c r="J5" s="117" t="s">
        <v>298</v>
      </c>
    </row>
    <row r="6" customFormat="false" ht="19.5" hidden="false" customHeight="true" outlineLevel="0" collapsed="false">
      <c r="A6" s="112" t="s">
        <v>299</v>
      </c>
      <c r="B6" s="113" t="s">
        <v>300</v>
      </c>
      <c r="C6" s="114" t="n">
        <v>80</v>
      </c>
      <c r="D6" s="115" t="s">
        <v>296</v>
      </c>
      <c r="E6" s="116" t="s">
        <v>301</v>
      </c>
      <c r="I6" s="69" t="s">
        <v>302</v>
      </c>
      <c r="J6" s="118" t="str">
        <f aca="false">'🔢 MultipleRegression'!B7</f>
        <v>2.9258</v>
      </c>
    </row>
    <row r="7" customFormat="false" ht="19.5" hidden="false" customHeight="true" outlineLevel="0" collapsed="false">
      <c r="A7" s="112" t="s">
        <v>3</v>
      </c>
      <c r="B7" s="113" t="s">
        <v>303</v>
      </c>
      <c r="C7" s="119" t="s">
        <v>14</v>
      </c>
      <c r="D7" s="115" t="s">
        <v>296</v>
      </c>
      <c r="E7" s="116" t="s">
        <v>304</v>
      </c>
      <c r="I7" s="67" t="s">
        <v>223</v>
      </c>
      <c r="J7" s="120" t="str">
        <f aca="false">'🔢 MultipleRegression'!B10</f>
        <v>0.5863</v>
      </c>
    </row>
    <row r="8" customFormat="false" ht="19.5" hidden="false" customHeight="true" outlineLevel="0" collapsed="false">
      <c r="I8" s="69" t="s">
        <v>114</v>
      </c>
      <c r="J8" s="121" t="n">
        <f aca="false">'🔢 MultipleRegression'!B11</f>
        <v>5.3547</v>
      </c>
    </row>
    <row r="9" customFormat="false" ht="19.5" hidden="false" customHeight="true" outlineLevel="0" collapsed="false">
      <c r="A9" s="122" t="s">
        <v>305</v>
      </c>
      <c r="B9" s="122"/>
      <c r="C9" s="122"/>
      <c r="D9" s="122"/>
      <c r="E9" s="122"/>
      <c r="F9" s="122"/>
      <c r="G9" s="122"/>
      <c r="H9" s="122"/>
      <c r="I9" s="67" t="s">
        <v>306</v>
      </c>
      <c r="J9" s="123" t="n">
        <f aca="false">AVERAGE('📊 Residuals'!F5:F84)</f>
        <v>4.31486486486486</v>
      </c>
    </row>
    <row r="10" customFormat="false" ht="19.5" hidden="false" customHeight="true" outlineLevel="0" collapsed="false">
      <c r="A10" s="124" t="s">
        <v>307</v>
      </c>
      <c r="C10" s="125" t="n">
        <f aca="false">IF(C7="Engineering",1,0)</f>
        <v>1</v>
      </c>
      <c r="D10" s="79" t="s">
        <v>308</v>
      </c>
      <c r="I10" s="69" t="s">
        <v>309</v>
      </c>
      <c r="J10" s="126" t="n">
        <f aca="false">SQRT(AVERAGE('📊 Residuals'!G5:G84))</f>
        <v>5.13723818955441</v>
      </c>
    </row>
    <row r="11" customFormat="false" ht="19.5" hidden="false" customHeight="true" outlineLevel="0" collapsed="false">
      <c r="A11" s="124" t="s">
        <v>310</v>
      </c>
      <c r="C11" s="125" t="n">
        <f aca="false">IF(C7="Marketing",1,0)</f>
        <v>0</v>
      </c>
      <c r="D11" s="79" t="s">
        <v>311</v>
      </c>
      <c r="I11" s="67" t="s">
        <v>312</v>
      </c>
      <c r="J11" s="123" t="s">
        <v>313</v>
      </c>
    </row>
    <row r="12" customFormat="false" ht="19.5" hidden="false" customHeight="true" outlineLevel="0" collapsed="false">
      <c r="I12" s="69" t="s">
        <v>314</v>
      </c>
      <c r="J12" s="127" t="n">
        <f aca="true">TODAY()</f>
        <v>46163</v>
      </c>
    </row>
    <row r="13" customFormat="false" ht="24" hidden="false" customHeight="true" outlineLevel="0" collapsed="false">
      <c r="A13" s="30" t="s">
        <v>315</v>
      </c>
      <c r="B13" s="30"/>
      <c r="C13" s="30"/>
      <c r="D13" s="30"/>
      <c r="E13" s="30"/>
      <c r="F13" s="30"/>
      <c r="G13" s="30"/>
      <c r="H13" s="30"/>
    </row>
    <row r="14" customFormat="false" ht="25.5" hidden="false" customHeight="true" outlineLevel="0" collapsed="false">
      <c r="A14" s="112" t="s">
        <v>122</v>
      </c>
      <c r="C14" s="128" t="n">
        <f aca="false">ROUND('🔢 MultipleRegression'!B6+'🔢 MultipleRegression'!B7*C5+'🔢 MultipleRegression'!B8*C6+'🔢 MultipleRegression'!B9*C10,1)</f>
        <v>93</v>
      </c>
      <c r="D14" s="129" t="s">
        <v>316</v>
      </c>
      <c r="E14" s="130" t="s">
        <v>317</v>
      </c>
    </row>
    <row r="15" customFormat="false" ht="25.5" hidden="false" customHeight="true" outlineLevel="0" collapsed="false">
      <c r="A15" s="131" t="s">
        <v>318</v>
      </c>
      <c r="C15" s="132" t="n">
        <f aca="false">ROUND(C14-1.96*5.3547,1)</f>
        <v>82.5</v>
      </c>
      <c r="D15" s="133" t="s">
        <v>316</v>
      </c>
      <c r="E15" s="134" t="s">
        <v>319</v>
      </c>
    </row>
    <row r="16" customFormat="false" ht="25.5" hidden="false" customHeight="true" outlineLevel="0" collapsed="false">
      <c r="A16" s="131" t="s">
        <v>320</v>
      </c>
      <c r="C16" s="132" t="n">
        <f aca="false">ROUND(C14+1.96*'🔢 MultipleRegression'!B10,1)</f>
        <v>94.1</v>
      </c>
      <c r="D16" s="133" t="s">
        <v>316</v>
      </c>
      <c r="E16" s="134" t="s">
        <v>321</v>
      </c>
    </row>
    <row r="17" customFormat="false" ht="25.5" hidden="false" customHeight="true" outlineLevel="0" collapsed="false">
      <c r="A17" s="135" t="s">
        <v>322</v>
      </c>
      <c r="C17" s="136" t="str">
        <f aca="false">IF(C14&gt;=90,"A ★",IF(C14&gt;=80,"B",IF(C14&gt;=70,"C",IF(C14&gt;=60,"D","F"))))</f>
        <v>A ★</v>
      </c>
      <c r="D17" s="137" t="s">
        <v>316</v>
      </c>
      <c r="E17" s="138" t="s">
        <v>323</v>
      </c>
    </row>
    <row r="18" customFormat="false" ht="25.5" hidden="false" customHeight="true" outlineLevel="0" collapsed="false">
      <c r="A18" s="112" t="s">
        <v>324</v>
      </c>
      <c r="C18" s="139" t="str">
        <f aca="false">IF(C14&gt;=60,"✅ PASS","❌ FAIL")</f>
        <v>✅ PASS</v>
      </c>
      <c r="D18" s="129" t="s">
        <v>316</v>
      </c>
      <c r="E18" s="130" t="s">
        <v>325</v>
      </c>
    </row>
    <row r="19" customFormat="false" ht="25.5" hidden="false" customHeight="true" outlineLevel="0" collapsed="false">
      <c r="A19" s="140" t="s">
        <v>326</v>
      </c>
      <c r="C19" s="141" t="str">
        <f aca="false">IF(C14&gt;=85,"🟢 Low Risk",IF(C14&gt;=70,"🟡 Moderate",IF(C14&gt;=55,"🟠 High Risk","🔴 Critical")))</f>
        <v>🟢 Low Risk</v>
      </c>
      <c r="D19" s="142" t="s">
        <v>316</v>
      </c>
      <c r="E19" s="143" t="s">
        <v>327</v>
      </c>
    </row>
    <row r="20" customFormat="false" ht="25.5" hidden="false" customHeight="true" outlineLevel="0" collapsed="false">
      <c r="A20" s="144" t="s">
        <v>328</v>
      </c>
      <c r="C20" s="145" t="str">
        <f aca="false">IF(C14&gt;=80,"No intervention needed",IF(C14&gt;=65,"Monitor progress",IF(C14&gt;=50,"Schedule tutoring","Urgent support required")))</f>
        <v>No intervention needed</v>
      </c>
      <c r="D20" s="146" t="s">
        <v>316</v>
      </c>
      <c r="E20" s="147" t="s">
        <v>329</v>
      </c>
    </row>
    <row r="22" customFormat="false" ht="21.75" hidden="false" customHeight="true" outlineLevel="0" collapsed="false">
      <c r="A22" s="14" t="s">
        <v>330</v>
      </c>
      <c r="B22" s="14"/>
      <c r="C22" s="14"/>
      <c r="D22" s="14"/>
      <c r="E22" s="14"/>
      <c r="F22" s="14"/>
      <c r="G22" s="14"/>
      <c r="H22" s="14"/>
    </row>
    <row r="23" customFormat="false" ht="19.5" hidden="false" customHeight="true" outlineLevel="0" collapsed="false">
      <c r="A23" s="15" t="s">
        <v>331</v>
      </c>
      <c r="B23" s="15" t="s">
        <v>198</v>
      </c>
      <c r="C23" s="15" t="s">
        <v>199</v>
      </c>
      <c r="D23" s="15" t="s">
        <v>332</v>
      </c>
      <c r="E23" s="15" t="s">
        <v>200</v>
      </c>
      <c r="F23" s="15" t="s">
        <v>322</v>
      </c>
      <c r="G23" s="15" t="s">
        <v>333</v>
      </c>
      <c r="H23" s="15" t="s">
        <v>334</v>
      </c>
    </row>
    <row r="24" customFormat="false" ht="21.75" hidden="false" customHeight="true" outlineLevel="0" collapsed="false">
      <c r="A24" s="16" t="s">
        <v>335</v>
      </c>
      <c r="B24" s="4" t="n">
        <v>8</v>
      </c>
      <c r="C24" s="4" t="n">
        <v>92</v>
      </c>
      <c r="D24" s="4" t="s">
        <v>14</v>
      </c>
      <c r="E24" s="148" t="n">
        <f aca="false">ROUND('🔢 MultipleRegression'!$B$6+'🔢 MultipleRegression'!$B$7*B24+'🔢 MultipleRegression'!$B$8*C24+IF(D24="Engineering",'🔢 MultipleRegression'!$B$9,0),1)</f>
        <v>105.7</v>
      </c>
      <c r="F24" s="149" t="str">
        <f aca="false">IF(E24&gt;=90,"A ★",IF(E24&gt;=80,"B",IF(E24&gt;=70,"C",IF(E24&gt;=60,"D","F"))))</f>
        <v>A ★</v>
      </c>
      <c r="G24" s="4" t="str">
        <f aca="false">IF(E24&gt;=85,"🟢 Low",IF(E24&gt;=70,"🟡 Moderate",IF(E24&gt;=55,"🟠 High","🔴 Critical")))</f>
        <v>🟢 Low</v>
      </c>
      <c r="H24" s="150" t="str">
        <f aca="false">IF(E24&gt;=80,"No action",IF(E24&gt;=65,"Monitor",IF(E24&gt;=50,"Tutoring","Urgent support")))</f>
        <v>No action</v>
      </c>
    </row>
    <row r="25" customFormat="false" ht="21.75" hidden="false" customHeight="true" outlineLevel="0" collapsed="false">
      <c r="A25" s="22" t="s">
        <v>336</v>
      </c>
      <c r="B25" s="8" t="n">
        <v>5</v>
      </c>
      <c r="C25" s="8" t="n">
        <v>78</v>
      </c>
      <c r="D25" s="8" t="s">
        <v>12</v>
      </c>
      <c r="E25" s="151" t="n">
        <f aca="false">ROUND('🔢 MultipleRegression'!$B$6+'🔢 MultipleRegression'!$B$7*B25+'🔢 MultipleRegression'!$B$8*C25+IF(D25="Engineering",'🔢 MultipleRegression'!$B$9,0),1)</f>
        <v>87.7</v>
      </c>
      <c r="F25" s="152" t="str">
        <f aca="false">IF(E25&gt;=90,"A ★",IF(E25&gt;=80,"B",IF(E25&gt;=70,"C",IF(E25&gt;=60,"D","F"))))</f>
        <v>B</v>
      </c>
      <c r="G25" s="8" t="str">
        <f aca="false">IF(E25&gt;=85,"🟢 Low",IF(E25&gt;=70,"🟡 Moderate",IF(E25&gt;=55,"🟠 High","🔴 Critical")))</f>
        <v>🟢 Low</v>
      </c>
      <c r="H25" s="153" t="str">
        <f aca="false">IF(E25&gt;=80,"No action",IF(E25&gt;=65,"Monitor",IF(E25&gt;=50,"Tutoring","Urgent support")))</f>
        <v>No action</v>
      </c>
    </row>
    <row r="26" customFormat="false" ht="21.75" hidden="false" customHeight="true" outlineLevel="0" collapsed="false">
      <c r="A26" s="16" t="s">
        <v>337</v>
      </c>
      <c r="B26" s="4" t="n">
        <v>2</v>
      </c>
      <c r="C26" s="4" t="n">
        <v>55</v>
      </c>
      <c r="D26" s="4" t="s">
        <v>21</v>
      </c>
      <c r="E26" s="148" t="n">
        <f aca="false">ROUND('🔢 MultipleRegression'!$B$6+'🔢 MultipleRegression'!$B$7*B26+'🔢 MultipleRegression'!$B$8*C26+IF(D26="Engineering",'🔢 MultipleRegression'!$B$9,0),1)</f>
        <v>71.4</v>
      </c>
      <c r="F26" s="149" t="str">
        <f aca="false">IF(E26&gt;=90,"A ★",IF(E26&gt;=80,"B",IF(E26&gt;=70,"C",IF(E26&gt;=60,"D","F"))))</f>
        <v>C</v>
      </c>
      <c r="G26" s="4" t="str">
        <f aca="false">IF(E26&gt;=85,"🟢 Low",IF(E26&gt;=70,"🟡 Moderate",IF(E26&gt;=55,"🟠 High","🔴 Critical")))</f>
        <v>🟡 Moderate</v>
      </c>
      <c r="H26" s="150" t="str">
        <f aca="false">IF(E26&gt;=80,"No action",IF(E26&gt;=65,"Monitor",IF(E26&gt;=50,"Tutoring","Urgent support")))</f>
        <v>Monitor</v>
      </c>
    </row>
    <row r="27" customFormat="false" ht="21.75" hidden="false" customHeight="true" outlineLevel="0" collapsed="false">
      <c r="A27" s="22" t="s">
        <v>338</v>
      </c>
      <c r="B27" s="8" t="n">
        <v>7</v>
      </c>
      <c r="C27" s="8" t="n">
        <v>58</v>
      </c>
      <c r="D27" s="8" t="s">
        <v>18</v>
      </c>
      <c r="E27" s="151" t="n">
        <f aca="false">ROUND('🔢 MultipleRegression'!$B$6+'🔢 MultipleRegression'!$B$7*B27+'🔢 MultipleRegression'!$B$8*C27+IF(D27="Engineering",'🔢 MultipleRegression'!$B$9,0),1)</f>
        <v>87</v>
      </c>
      <c r="F27" s="152" t="str">
        <f aca="false">IF(E27&gt;=90,"A ★",IF(E27&gt;=80,"B",IF(E27&gt;=70,"C",IF(E27&gt;=60,"D","F"))))</f>
        <v>B</v>
      </c>
      <c r="G27" s="8" t="str">
        <f aca="false">IF(E27&gt;=85,"🟢 Low",IF(E27&gt;=70,"🟡 Moderate",IF(E27&gt;=55,"🟠 High","🔴 Critical")))</f>
        <v>🟢 Low</v>
      </c>
      <c r="H27" s="153" t="str">
        <f aca="false">IF(E27&gt;=80,"No action",IF(E27&gt;=65,"Monitor",IF(E27&gt;=50,"Tutoring","Urgent support")))</f>
        <v>No action</v>
      </c>
    </row>
  </sheetData>
  <mergeCells count="6">
    <mergeCell ref="A1:H1"/>
    <mergeCell ref="A2:H2"/>
    <mergeCell ref="A4:H4"/>
    <mergeCell ref="A9:H9"/>
    <mergeCell ref="A13:H13"/>
    <mergeCell ref="A22:H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E35B1"/>
    <pageSetUpPr fitToPage="false"/>
  </sheetPr>
  <dimension ref="A1:E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90"/>
  </cols>
  <sheetData>
    <row r="1" customFormat="false" ht="27.75" hidden="false" customHeight="true" outlineLevel="0" collapsed="false">
      <c r="A1" s="154" t="s">
        <v>339</v>
      </c>
      <c r="B1" s="154"/>
      <c r="C1" s="154"/>
      <c r="D1" s="154"/>
      <c r="E1" s="154"/>
    </row>
    <row r="3" customFormat="false" ht="25.5" hidden="false" customHeight="true" outlineLevel="0" collapsed="false">
      <c r="A3" s="14" t="s">
        <v>340</v>
      </c>
      <c r="B3" s="14"/>
      <c r="C3" s="14"/>
      <c r="D3" s="14"/>
      <c r="E3" s="14"/>
    </row>
    <row r="4" customFormat="false" ht="30" hidden="false" customHeight="true" outlineLevel="0" collapsed="false">
      <c r="A4" s="155" t="s">
        <v>341</v>
      </c>
      <c r="B4" s="156" t="s">
        <v>342</v>
      </c>
      <c r="C4" s="156"/>
      <c r="D4" s="156"/>
      <c r="E4" s="156"/>
    </row>
    <row r="5" customFormat="false" ht="30" hidden="false" customHeight="true" outlineLevel="0" collapsed="false">
      <c r="A5" s="157" t="s">
        <v>343</v>
      </c>
      <c r="B5" s="158" t="s">
        <v>344</v>
      </c>
      <c r="C5" s="158"/>
      <c r="D5" s="158"/>
      <c r="E5" s="158"/>
    </row>
    <row r="6" customFormat="false" ht="30" hidden="false" customHeight="true" outlineLevel="0" collapsed="false">
      <c r="A6" s="155" t="s">
        <v>345</v>
      </c>
      <c r="B6" s="159" t="s">
        <v>346</v>
      </c>
      <c r="C6" s="159"/>
      <c r="D6" s="159"/>
      <c r="E6" s="159"/>
    </row>
    <row r="7" customFormat="false" ht="30" hidden="false" customHeight="true" outlineLevel="0" collapsed="false">
      <c r="A7" s="157" t="s">
        <v>122</v>
      </c>
      <c r="B7" s="160" t="s">
        <v>347</v>
      </c>
      <c r="C7" s="160"/>
      <c r="D7" s="160"/>
      <c r="E7" s="160"/>
    </row>
    <row r="8" customFormat="false" ht="30" hidden="false" customHeight="true" outlineLevel="0" collapsed="false">
      <c r="A8" s="155" t="s">
        <v>348</v>
      </c>
      <c r="B8" s="156" t="s">
        <v>349</v>
      </c>
      <c r="C8" s="156"/>
      <c r="D8" s="156"/>
      <c r="E8" s="156"/>
    </row>
    <row r="9" customFormat="false" ht="30" hidden="false" customHeight="true" outlineLevel="0" collapsed="false">
      <c r="A9" s="157" t="s">
        <v>350</v>
      </c>
      <c r="B9" s="160" t="s">
        <v>351</v>
      </c>
      <c r="C9" s="160"/>
      <c r="D9" s="160"/>
      <c r="E9" s="160"/>
    </row>
    <row r="10" customFormat="false" ht="30" hidden="false" customHeight="true" outlineLevel="0" collapsed="false">
      <c r="A10" s="155" t="s">
        <v>352</v>
      </c>
      <c r="B10" s="156" t="s">
        <v>353</v>
      </c>
      <c r="C10" s="156"/>
      <c r="D10" s="156"/>
      <c r="E10" s="156"/>
    </row>
    <row r="12" customFormat="false" ht="25.5" hidden="false" customHeight="true" outlineLevel="0" collapsed="false">
      <c r="A12" s="45" t="s">
        <v>354</v>
      </c>
      <c r="B12" s="45"/>
      <c r="C12" s="45"/>
      <c r="D12" s="45"/>
      <c r="E12" s="45"/>
    </row>
    <row r="13" customFormat="false" ht="30" hidden="false" customHeight="true" outlineLevel="0" collapsed="false">
      <c r="A13" s="161" t="s">
        <v>355</v>
      </c>
      <c r="B13" s="160" t="s">
        <v>356</v>
      </c>
      <c r="C13" s="160"/>
      <c r="D13" s="160"/>
      <c r="E13" s="160"/>
    </row>
    <row r="14" customFormat="false" ht="30" hidden="false" customHeight="true" outlineLevel="0" collapsed="false">
      <c r="A14" s="162" t="s">
        <v>357</v>
      </c>
      <c r="B14" s="156" t="s">
        <v>358</v>
      </c>
      <c r="C14" s="156"/>
      <c r="D14" s="156"/>
      <c r="E14" s="156"/>
    </row>
    <row r="15" customFormat="false" ht="30" hidden="false" customHeight="true" outlineLevel="0" collapsed="false">
      <c r="A15" s="161" t="s">
        <v>359</v>
      </c>
      <c r="B15" s="160" t="s">
        <v>360</v>
      </c>
      <c r="C15" s="160"/>
      <c r="D15" s="160"/>
      <c r="E15" s="160"/>
    </row>
    <row r="16" customFormat="false" ht="30" hidden="false" customHeight="true" outlineLevel="0" collapsed="false">
      <c r="A16" s="162" t="s">
        <v>361</v>
      </c>
      <c r="B16" s="156" t="s">
        <v>362</v>
      </c>
      <c r="C16" s="156"/>
      <c r="D16" s="156"/>
      <c r="E16" s="156"/>
    </row>
    <row r="17" customFormat="false" ht="30" hidden="false" customHeight="true" outlineLevel="0" collapsed="false">
      <c r="A17" s="161" t="s">
        <v>363</v>
      </c>
      <c r="B17" s="160" t="s">
        <v>364</v>
      </c>
      <c r="C17" s="160"/>
      <c r="D17" s="160"/>
      <c r="E17" s="160"/>
    </row>
    <row r="18" customFormat="false" ht="30" hidden="false" customHeight="true" outlineLevel="0" collapsed="false">
      <c r="A18" s="162" t="s">
        <v>365</v>
      </c>
      <c r="B18" s="156" t="s">
        <v>366</v>
      </c>
      <c r="C18" s="156"/>
      <c r="D18" s="156"/>
      <c r="E18" s="156"/>
    </row>
    <row r="19" customFormat="false" ht="30" hidden="false" customHeight="true" outlineLevel="0" collapsed="false">
      <c r="A19" s="161" t="s">
        <v>114</v>
      </c>
      <c r="B19" s="160" t="s">
        <v>367</v>
      </c>
      <c r="C19" s="160"/>
      <c r="D19" s="160"/>
      <c r="E19" s="160"/>
    </row>
    <row r="21" customFormat="false" ht="25.5" hidden="false" customHeight="true" outlineLevel="0" collapsed="false">
      <c r="A21" s="66" t="s">
        <v>368</v>
      </c>
      <c r="B21" s="66"/>
      <c r="C21" s="66"/>
      <c r="D21" s="66"/>
      <c r="E21" s="66"/>
    </row>
    <row r="22" customFormat="false" ht="30" hidden="false" customHeight="true" outlineLevel="0" collapsed="false">
      <c r="A22" s="149" t="s">
        <v>369</v>
      </c>
      <c r="B22" s="156" t="s">
        <v>370</v>
      </c>
      <c r="C22" s="156"/>
      <c r="D22" s="156"/>
      <c r="E22" s="156"/>
    </row>
    <row r="23" customFormat="false" ht="30" hidden="false" customHeight="true" outlineLevel="0" collapsed="false">
      <c r="A23" s="152" t="s">
        <v>371</v>
      </c>
      <c r="B23" s="160" t="s">
        <v>372</v>
      </c>
      <c r="C23" s="160"/>
      <c r="D23" s="160"/>
      <c r="E23" s="160"/>
    </row>
    <row r="24" customFormat="false" ht="30" hidden="false" customHeight="true" outlineLevel="0" collapsed="false">
      <c r="A24" s="149" t="s">
        <v>373</v>
      </c>
      <c r="B24" s="156" t="s">
        <v>374</v>
      </c>
      <c r="C24" s="156"/>
      <c r="D24" s="156"/>
      <c r="E24" s="156"/>
    </row>
    <row r="25" customFormat="false" ht="30" hidden="false" customHeight="true" outlineLevel="0" collapsed="false">
      <c r="A25" s="152" t="s">
        <v>375</v>
      </c>
      <c r="B25" s="160" t="s">
        <v>376</v>
      </c>
      <c r="C25" s="160"/>
      <c r="D25" s="160"/>
      <c r="E25" s="160"/>
    </row>
    <row r="26" customFormat="false" ht="30" hidden="false" customHeight="true" outlineLevel="0" collapsed="false">
      <c r="A26" s="149" t="s">
        <v>377</v>
      </c>
      <c r="B26" s="156" t="s">
        <v>378</v>
      </c>
      <c r="C26" s="156"/>
      <c r="D26" s="156"/>
      <c r="E26" s="156"/>
    </row>
    <row r="27" customFormat="false" ht="30" hidden="false" customHeight="true" outlineLevel="0" collapsed="false">
      <c r="A27" s="152" t="s">
        <v>379</v>
      </c>
      <c r="B27" s="160" t="s">
        <v>380</v>
      </c>
      <c r="C27" s="160"/>
      <c r="D27" s="160"/>
      <c r="E27" s="160"/>
    </row>
    <row r="28" customFormat="false" ht="30" hidden="false" customHeight="true" outlineLevel="0" collapsed="false">
      <c r="A28" s="149" t="s">
        <v>381</v>
      </c>
      <c r="B28" s="156" t="s">
        <v>382</v>
      </c>
      <c r="C28" s="156"/>
      <c r="D28" s="156"/>
      <c r="E28" s="156"/>
    </row>
    <row r="30" customFormat="false" ht="25.5" hidden="false" customHeight="true" outlineLevel="0" collapsed="false">
      <c r="A30" s="101" t="s">
        <v>383</v>
      </c>
      <c r="B30" s="101"/>
      <c r="C30" s="101"/>
      <c r="D30" s="101"/>
      <c r="E30" s="101"/>
    </row>
    <row r="31" customFormat="false" ht="30" hidden="false" customHeight="true" outlineLevel="0" collapsed="false">
      <c r="A31" s="163" t="s">
        <v>369</v>
      </c>
      <c r="B31" s="160" t="s">
        <v>384</v>
      </c>
      <c r="C31" s="160"/>
      <c r="D31" s="160"/>
      <c r="E31" s="160"/>
    </row>
    <row r="32" customFormat="false" ht="30" hidden="false" customHeight="true" outlineLevel="0" collapsed="false">
      <c r="A32" s="164" t="s">
        <v>385</v>
      </c>
      <c r="B32" s="156" t="s">
        <v>386</v>
      </c>
      <c r="C32" s="156"/>
      <c r="D32" s="156"/>
      <c r="E32" s="156"/>
    </row>
    <row r="33" customFormat="false" ht="30" hidden="false" customHeight="true" outlineLevel="0" collapsed="false">
      <c r="A33" s="163" t="s">
        <v>387</v>
      </c>
      <c r="B33" s="160" t="s">
        <v>388</v>
      </c>
      <c r="C33" s="160"/>
      <c r="D33" s="160"/>
      <c r="E33" s="160"/>
    </row>
    <row r="34" customFormat="false" ht="30" hidden="false" customHeight="true" outlineLevel="0" collapsed="false">
      <c r="A34" s="164" t="s">
        <v>389</v>
      </c>
      <c r="B34" s="156" t="s">
        <v>390</v>
      </c>
      <c r="C34" s="156"/>
      <c r="D34" s="156"/>
      <c r="E34" s="156"/>
    </row>
    <row r="35" customFormat="false" ht="30" hidden="false" customHeight="true" outlineLevel="0" collapsed="false">
      <c r="A35" s="163" t="s">
        <v>391</v>
      </c>
      <c r="B35" s="160" t="s">
        <v>392</v>
      </c>
      <c r="C35" s="160"/>
      <c r="D35" s="160"/>
      <c r="E35" s="160"/>
    </row>
    <row r="36" customFormat="false" ht="30" hidden="false" customHeight="true" outlineLevel="0" collapsed="false">
      <c r="A36" s="164" t="s">
        <v>393</v>
      </c>
      <c r="B36" s="156" t="s">
        <v>394</v>
      </c>
      <c r="C36" s="156"/>
      <c r="D36" s="156"/>
      <c r="E36" s="156"/>
    </row>
    <row r="37" customFormat="false" ht="30" hidden="false" customHeight="true" outlineLevel="0" collapsed="false">
      <c r="A37" s="163" t="s">
        <v>334</v>
      </c>
      <c r="B37" s="160" t="s">
        <v>395</v>
      </c>
      <c r="C37" s="160"/>
      <c r="D37" s="160"/>
      <c r="E37" s="160"/>
    </row>
    <row r="39" customFormat="false" ht="25.5" hidden="false" customHeight="true" outlineLevel="0" collapsed="false">
      <c r="A39" s="33" t="s">
        <v>396</v>
      </c>
      <c r="B39" s="33"/>
      <c r="C39" s="33"/>
      <c r="D39" s="33"/>
      <c r="E39" s="33"/>
    </row>
    <row r="40" customFormat="false" ht="30" hidden="false" customHeight="true" outlineLevel="0" collapsed="false">
      <c r="A40" s="18" t="s">
        <v>369</v>
      </c>
      <c r="B40" s="156" t="s">
        <v>397</v>
      </c>
      <c r="C40" s="156"/>
      <c r="D40" s="156"/>
      <c r="E40" s="156"/>
    </row>
    <row r="41" customFormat="false" ht="30" hidden="false" customHeight="true" outlineLevel="0" collapsed="false">
      <c r="A41" s="24" t="s">
        <v>398</v>
      </c>
      <c r="B41" s="160" t="s">
        <v>399</v>
      </c>
      <c r="C41" s="160"/>
      <c r="D41" s="160"/>
      <c r="E41" s="160"/>
    </row>
    <row r="42" customFormat="false" ht="30" hidden="false" customHeight="true" outlineLevel="0" collapsed="false">
      <c r="A42" s="18" t="s">
        <v>299</v>
      </c>
      <c r="B42" s="156" t="s">
        <v>400</v>
      </c>
      <c r="C42" s="156"/>
      <c r="D42" s="156"/>
      <c r="E42" s="156"/>
    </row>
    <row r="43" customFormat="false" ht="30" hidden="false" customHeight="true" outlineLevel="0" collapsed="false">
      <c r="A43" s="24" t="s">
        <v>3</v>
      </c>
      <c r="B43" s="160" t="s">
        <v>401</v>
      </c>
      <c r="C43" s="160"/>
      <c r="D43" s="160"/>
      <c r="E43" s="160"/>
    </row>
    <row r="44" customFormat="false" ht="30" hidden="false" customHeight="true" outlineLevel="0" collapsed="false">
      <c r="A44" s="18" t="s">
        <v>402</v>
      </c>
      <c r="B44" s="156" t="s">
        <v>403</v>
      </c>
      <c r="C44" s="156"/>
      <c r="D44" s="156"/>
      <c r="E44" s="156"/>
    </row>
    <row r="45" customFormat="false" ht="30" hidden="false" customHeight="true" outlineLevel="0" collapsed="false">
      <c r="A45" s="24" t="s">
        <v>404</v>
      </c>
      <c r="B45" s="160" t="s">
        <v>405</v>
      </c>
      <c r="C45" s="160"/>
      <c r="D45" s="160"/>
      <c r="E45" s="160"/>
    </row>
    <row r="46" customFormat="false" ht="30" hidden="false" customHeight="true" outlineLevel="0" collapsed="false">
      <c r="A46" s="18" t="s">
        <v>406</v>
      </c>
      <c r="B46" s="156" t="s">
        <v>407</v>
      </c>
      <c r="C46" s="156"/>
      <c r="D46" s="156"/>
      <c r="E46" s="156"/>
    </row>
  </sheetData>
  <mergeCells count="41">
    <mergeCell ref="A1:E1"/>
    <mergeCell ref="A3:E3"/>
    <mergeCell ref="B4:E4"/>
    <mergeCell ref="B5:E5"/>
    <mergeCell ref="B6:E6"/>
    <mergeCell ref="B7:E7"/>
    <mergeCell ref="B8:E8"/>
    <mergeCell ref="B9:E9"/>
    <mergeCell ref="B10:E10"/>
    <mergeCell ref="A12:E12"/>
    <mergeCell ref="B13:E13"/>
    <mergeCell ref="B14:E14"/>
    <mergeCell ref="B15:E15"/>
    <mergeCell ref="B16:E16"/>
    <mergeCell ref="B17:E17"/>
    <mergeCell ref="B18:E18"/>
    <mergeCell ref="B19:E19"/>
    <mergeCell ref="A21:E21"/>
    <mergeCell ref="B22:E22"/>
    <mergeCell ref="B23:E23"/>
    <mergeCell ref="B24:E24"/>
    <mergeCell ref="B25:E25"/>
    <mergeCell ref="B26:E26"/>
    <mergeCell ref="B27:E27"/>
    <mergeCell ref="B28:E28"/>
    <mergeCell ref="A30:E30"/>
    <mergeCell ref="B31:E31"/>
    <mergeCell ref="B32:E32"/>
    <mergeCell ref="B33:E33"/>
    <mergeCell ref="B34:E34"/>
    <mergeCell ref="B35:E35"/>
    <mergeCell ref="B36:E36"/>
    <mergeCell ref="B37:E37"/>
    <mergeCell ref="A39:E39"/>
    <mergeCell ref="B40:E40"/>
    <mergeCell ref="B41:E41"/>
    <mergeCell ref="B42:E42"/>
    <mergeCell ref="B43:E43"/>
    <mergeCell ref="B44:E44"/>
    <mergeCell ref="B45:E45"/>
    <mergeCell ref="B46:E4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58900"/>
    <pageSetUpPr fitToPage="false"/>
  </sheetPr>
  <dimension ref="A1:F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6" min="2" style="1" width="18"/>
  </cols>
  <sheetData>
    <row r="1" customFormat="false" ht="33.75" hidden="false" customHeight="true" outlineLevel="0" collapsed="false">
      <c r="A1" s="110" t="s">
        <v>408</v>
      </c>
      <c r="B1" s="110"/>
      <c r="C1" s="110"/>
      <c r="D1" s="110"/>
      <c r="E1" s="110"/>
      <c r="F1" s="110"/>
    </row>
    <row r="3" customFormat="false" ht="24" hidden="false" customHeight="true" outlineLevel="0" collapsed="false">
      <c r="A3" s="33" t="s">
        <v>409</v>
      </c>
      <c r="B3" s="33"/>
      <c r="C3" s="33"/>
      <c r="D3" s="33"/>
      <c r="E3" s="33"/>
      <c r="F3" s="33"/>
    </row>
    <row r="4" customFormat="false" ht="21.75" hidden="false" customHeight="true" outlineLevel="0" collapsed="false">
      <c r="A4" s="165" t="s">
        <v>410</v>
      </c>
      <c r="B4" s="68" t="s">
        <v>411</v>
      </c>
      <c r="C4" s="68"/>
      <c r="D4" s="68"/>
      <c r="E4" s="68"/>
      <c r="F4" s="68"/>
    </row>
    <row r="5" customFormat="false" ht="21.75" hidden="false" customHeight="true" outlineLevel="0" collapsed="false">
      <c r="A5" s="166" t="s">
        <v>412</v>
      </c>
      <c r="B5" s="70" t="s">
        <v>413</v>
      </c>
      <c r="C5" s="70"/>
      <c r="D5" s="70"/>
      <c r="E5" s="70"/>
      <c r="F5" s="70"/>
    </row>
    <row r="6" customFormat="false" ht="21.75" hidden="false" customHeight="true" outlineLevel="0" collapsed="false">
      <c r="A6" s="165" t="s">
        <v>414</v>
      </c>
      <c r="B6" s="68" t="s">
        <v>415</v>
      </c>
      <c r="C6" s="68"/>
      <c r="D6" s="68"/>
      <c r="E6" s="68"/>
      <c r="F6" s="68"/>
    </row>
    <row r="7" customFormat="false" ht="21.75" hidden="false" customHeight="true" outlineLevel="0" collapsed="false">
      <c r="A7" s="166" t="s">
        <v>416</v>
      </c>
      <c r="B7" s="70" t="s">
        <v>417</v>
      </c>
      <c r="C7" s="70"/>
      <c r="D7" s="70"/>
      <c r="E7" s="70"/>
      <c r="F7" s="70"/>
    </row>
    <row r="8" customFormat="false" ht="21.75" hidden="false" customHeight="true" outlineLevel="0" collapsed="false">
      <c r="A8" s="165" t="s">
        <v>418</v>
      </c>
      <c r="B8" s="167" t="n">
        <f aca="true">TODAY()</f>
        <v>46163</v>
      </c>
      <c r="C8" s="167"/>
      <c r="D8" s="167"/>
      <c r="E8" s="167"/>
      <c r="F8" s="167"/>
    </row>
    <row r="9" customFormat="false" ht="21.75" hidden="false" customHeight="true" outlineLevel="0" collapsed="false">
      <c r="A9" s="166" t="s">
        <v>419</v>
      </c>
      <c r="B9" s="70" t="s">
        <v>420</v>
      </c>
      <c r="C9" s="70"/>
      <c r="D9" s="70"/>
      <c r="E9" s="70"/>
      <c r="F9" s="70"/>
    </row>
    <row r="11" customFormat="false" ht="24" hidden="false" customHeight="true" outlineLevel="0" collapsed="false">
      <c r="A11" s="14" t="s">
        <v>421</v>
      </c>
      <c r="B11" s="14"/>
      <c r="C11" s="14"/>
      <c r="D11" s="14"/>
      <c r="E11" s="14"/>
      <c r="F11" s="14"/>
    </row>
    <row r="12" customFormat="false" ht="21.75" hidden="false" customHeight="true" outlineLevel="0" collapsed="false">
      <c r="A12" s="168" t="s">
        <v>422</v>
      </c>
      <c r="B12" s="68" t="s">
        <v>423</v>
      </c>
      <c r="C12" s="68"/>
      <c r="D12" s="68"/>
      <c r="E12" s="68"/>
      <c r="F12" s="68"/>
    </row>
    <row r="13" customFormat="false" ht="21.75" hidden="false" customHeight="true" outlineLevel="0" collapsed="false">
      <c r="A13" s="169" t="s">
        <v>230</v>
      </c>
      <c r="B13" s="70" t="s">
        <v>424</v>
      </c>
      <c r="C13" s="70"/>
      <c r="D13" s="70"/>
      <c r="E13" s="70"/>
      <c r="F13" s="70"/>
    </row>
    <row r="14" customFormat="false" ht="21.75" hidden="false" customHeight="true" outlineLevel="0" collapsed="false">
      <c r="A14" s="168" t="s">
        <v>425</v>
      </c>
      <c r="B14" s="68" t="s">
        <v>426</v>
      </c>
      <c r="C14" s="68"/>
      <c r="D14" s="68"/>
      <c r="E14" s="68"/>
      <c r="F14" s="68"/>
    </row>
    <row r="15" customFormat="false" ht="21.75" hidden="false" customHeight="true" outlineLevel="0" collapsed="false">
      <c r="A15" s="169" t="s">
        <v>427</v>
      </c>
      <c r="B15" s="70" t="s">
        <v>428</v>
      </c>
      <c r="C15" s="70"/>
      <c r="D15" s="70"/>
      <c r="E15" s="70"/>
      <c r="F15" s="70"/>
    </row>
    <row r="16" customFormat="false" ht="21.75" hidden="false" customHeight="true" outlineLevel="0" collapsed="false">
      <c r="A16" s="168" t="s">
        <v>429</v>
      </c>
      <c r="B16" s="68" t="s">
        <v>430</v>
      </c>
      <c r="C16" s="68"/>
      <c r="D16" s="68"/>
      <c r="E16" s="68"/>
      <c r="F16" s="68"/>
    </row>
    <row r="17" customFormat="false" ht="21.75" hidden="false" customHeight="true" outlineLevel="0" collapsed="false">
      <c r="A17" s="169" t="s">
        <v>431</v>
      </c>
      <c r="B17" s="70" t="s">
        <v>432</v>
      </c>
      <c r="C17" s="70"/>
      <c r="D17" s="70"/>
      <c r="E17" s="70"/>
      <c r="F17" s="70"/>
    </row>
    <row r="19" customFormat="false" ht="24" hidden="false" customHeight="true" outlineLevel="0" collapsed="false">
      <c r="A19" s="45" t="s">
        <v>433</v>
      </c>
      <c r="B19" s="45"/>
      <c r="C19" s="45"/>
      <c r="D19" s="45"/>
      <c r="E19" s="45"/>
      <c r="F19" s="45"/>
    </row>
    <row r="20" customFormat="false" ht="21.75" hidden="false" customHeight="true" outlineLevel="0" collapsed="false">
      <c r="A20" s="170" t="s">
        <v>434</v>
      </c>
      <c r="B20" s="171" t="str">
        <f aca="false">'🔢 MultipleRegression'!B9</f>
        <v>4.6281</v>
      </c>
      <c r="C20" s="171"/>
      <c r="D20" s="171"/>
      <c r="E20" s="171"/>
      <c r="F20" s="171"/>
    </row>
    <row r="21" customFormat="false" ht="21.75" hidden="false" customHeight="true" outlineLevel="0" collapsed="false">
      <c r="A21" s="172" t="s">
        <v>435</v>
      </c>
      <c r="B21" s="173" t="str">
        <f aca="false">'🔢 MultipleRegression'!B10</f>
        <v>0.5863</v>
      </c>
      <c r="C21" s="173"/>
      <c r="D21" s="173"/>
      <c r="E21" s="173"/>
      <c r="F21" s="173"/>
    </row>
    <row r="22" customFormat="false" ht="21.75" hidden="false" customHeight="true" outlineLevel="0" collapsed="false">
      <c r="A22" s="170" t="s">
        <v>143</v>
      </c>
      <c r="B22" s="171" t="n">
        <f aca="false">'🔢 MultipleRegression'!B11</f>
        <v>5.3547</v>
      </c>
      <c r="C22" s="171"/>
      <c r="D22" s="171"/>
      <c r="E22" s="171"/>
      <c r="F22" s="171"/>
    </row>
    <row r="23" customFormat="false" ht="21.75" hidden="false" customHeight="true" outlineLevel="0" collapsed="false">
      <c r="A23" s="172" t="s">
        <v>306</v>
      </c>
      <c r="B23" s="173" t="n">
        <f aca="false">AVERAGE('📊 Residuals'!F5:F84)</f>
        <v>4.31486486486486</v>
      </c>
      <c r="C23" s="173"/>
      <c r="D23" s="173"/>
      <c r="E23" s="173"/>
      <c r="F23" s="173"/>
    </row>
    <row r="24" customFormat="false" ht="21.75" hidden="false" customHeight="true" outlineLevel="0" collapsed="false">
      <c r="A24" s="170" t="s">
        <v>309</v>
      </c>
      <c r="B24" s="171" t="n">
        <f aca="false">SQRT(AVERAGE('📊 Residuals'!G5:G84))</f>
        <v>5.13723818955441</v>
      </c>
      <c r="C24" s="171"/>
      <c r="D24" s="171"/>
      <c r="E24" s="171"/>
      <c r="F24" s="171"/>
    </row>
    <row r="25" customFormat="false" ht="21.75" hidden="false" customHeight="true" outlineLevel="0" collapsed="false">
      <c r="A25" s="172" t="s">
        <v>436</v>
      </c>
      <c r="B25" s="173" t="n">
        <f aca="false">AVERAGE(ABS('📊 RawData'!G3:G82-AVERAGE('📊 RawData'!G3:G82)))</f>
        <v>8.69</v>
      </c>
      <c r="C25" s="173"/>
      <c r="D25" s="173"/>
      <c r="E25" s="173"/>
      <c r="F25" s="173"/>
    </row>
    <row r="27" customFormat="false" ht="24" hidden="false" customHeight="true" outlineLevel="0" collapsed="false">
      <c r="A27" s="66" t="s">
        <v>437</v>
      </c>
      <c r="B27" s="66"/>
      <c r="C27" s="66"/>
      <c r="D27" s="66"/>
      <c r="E27" s="66"/>
      <c r="F27" s="66"/>
    </row>
    <row r="28" customFormat="false" ht="21.75" hidden="false" customHeight="true" outlineLevel="0" collapsed="false">
      <c r="A28" s="67" t="s">
        <v>438</v>
      </c>
      <c r="B28" s="68" t="s">
        <v>439</v>
      </c>
      <c r="C28" s="68"/>
      <c r="D28" s="68"/>
      <c r="E28" s="68"/>
      <c r="F28" s="68"/>
    </row>
    <row r="29" customFormat="false" ht="21.75" hidden="false" customHeight="true" outlineLevel="0" collapsed="false">
      <c r="A29" s="69" t="s">
        <v>345</v>
      </c>
      <c r="B29" s="174" t="str">
        <f aca="false">'🔢 MultipleRegression'!B6</f>
        <v>47.5674</v>
      </c>
      <c r="C29" s="174"/>
      <c r="D29" s="174"/>
      <c r="E29" s="174"/>
      <c r="F29" s="174"/>
    </row>
    <row r="30" customFormat="false" ht="21.75" hidden="false" customHeight="true" outlineLevel="0" collapsed="false">
      <c r="A30" s="67" t="s">
        <v>440</v>
      </c>
      <c r="B30" s="175" t="str">
        <f aca="false">'🔢 MultipleRegression'!B7</f>
        <v>2.9258</v>
      </c>
      <c r="C30" s="175"/>
      <c r="D30" s="175"/>
      <c r="E30" s="175"/>
      <c r="F30" s="175"/>
    </row>
    <row r="31" customFormat="false" ht="21.75" hidden="false" customHeight="true" outlineLevel="0" collapsed="false">
      <c r="A31" s="69" t="s">
        <v>441</v>
      </c>
      <c r="B31" s="174" t="str">
        <f aca="false">'🔢 MultipleRegression'!B8</f>
        <v>0.3268</v>
      </c>
      <c r="C31" s="174"/>
      <c r="D31" s="174"/>
      <c r="E31" s="174"/>
      <c r="F31" s="174"/>
    </row>
    <row r="32" customFormat="false" ht="21.75" hidden="false" customHeight="true" outlineLevel="0" collapsed="false">
      <c r="A32" s="67" t="s">
        <v>442</v>
      </c>
      <c r="B32" s="175" t="str">
        <f aca="false">'🔢 MultipleRegression'!B8</f>
        <v>0.3268</v>
      </c>
      <c r="C32" s="175"/>
      <c r="D32" s="175"/>
      <c r="E32" s="175"/>
      <c r="F32" s="175"/>
    </row>
    <row r="33" customFormat="false" ht="21.75" hidden="false" customHeight="true" outlineLevel="0" collapsed="false">
      <c r="A33" s="69" t="s">
        <v>443</v>
      </c>
      <c r="B33" s="70" t="s">
        <v>444</v>
      </c>
      <c r="C33" s="70"/>
      <c r="D33" s="70"/>
      <c r="E33" s="70"/>
      <c r="F33" s="70"/>
    </row>
    <row r="35" customFormat="false" ht="24" hidden="false" customHeight="true" outlineLevel="0" collapsed="false">
      <c r="A35" s="101" t="s">
        <v>445</v>
      </c>
      <c r="B35" s="101"/>
      <c r="C35" s="101"/>
      <c r="D35" s="101"/>
      <c r="E35" s="101"/>
      <c r="F35" s="101"/>
    </row>
    <row r="36" customFormat="false" ht="21.75" hidden="false" customHeight="true" outlineLevel="0" collapsed="false">
      <c r="A36" s="176" t="s">
        <v>446</v>
      </c>
      <c r="B36" s="68" t="s">
        <v>447</v>
      </c>
      <c r="C36" s="68"/>
      <c r="D36" s="68"/>
      <c r="E36" s="68"/>
      <c r="F36" s="68"/>
    </row>
    <row r="37" customFormat="false" ht="21.75" hidden="false" customHeight="true" outlineLevel="0" collapsed="false">
      <c r="A37" s="177" t="s">
        <v>448</v>
      </c>
      <c r="B37" s="70" t="s">
        <v>449</v>
      </c>
      <c r="C37" s="70"/>
      <c r="D37" s="70"/>
      <c r="E37" s="70"/>
      <c r="F37" s="70"/>
    </row>
    <row r="38" customFormat="false" ht="21.75" hidden="false" customHeight="true" outlineLevel="0" collapsed="false">
      <c r="A38" s="176" t="s">
        <v>450</v>
      </c>
      <c r="B38" s="68" t="s">
        <v>451</v>
      </c>
      <c r="C38" s="68"/>
      <c r="D38" s="68"/>
      <c r="E38" s="68"/>
      <c r="F38" s="68"/>
    </row>
    <row r="39" customFormat="false" ht="21.75" hidden="false" customHeight="true" outlineLevel="0" collapsed="false">
      <c r="A39" s="177" t="s">
        <v>452</v>
      </c>
      <c r="B39" s="70" t="s">
        <v>453</v>
      </c>
      <c r="C39" s="70"/>
      <c r="D39" s="70"/>
      <c r="E39" s="70"/>
      <c r="F39" s="70"/>
    </row>
    <row r="40" customFormat="false" ht="21.75" hidden="false" customHeight="true" outlineLevel="0" collapsed="false">
      <c r="A40" s="176" t="s">
        <v>454</v>
      </c>
      <c r="B40" s="68" t="s">
        <v>455</v>
      </c>
      <c r="C40" s="68"/>
      <c r="D40" s="68"/>
      <c r="E40" s="68"/>
      <c r="F40" s="68"/>
    </row>
    <row r="41" customFormat="false" ht="21.75" hidden="false" customHeight="true" outlineLevel="0" collapsed="false">
      <c r="A41" s="177" t="s">
        <v>456</v>
      </c>
      <c r="B41" s="70" t="s">
        <v>457</v>
      </c>
      <c r="C41" s="70"/>
      <c r="D41" s="70"/>
      <c r="E41" s="70"/>
      <c r="F41" s="70"/>
    </row>
    <row r="43" customFormat="false" ht="24" hidden="false" customHeight="true" outlineLevel="0" collapsed="false">
      <c r="A43" s="85" t="s">
        <v>458</v>
      </c>
      <c r="B43" s="85"/>
      <c r="C43" s="85"/>
      <c r="D43" s="85"/>
      <c r="E43" s="85"/>
      <c r="F43" s="85"/>
    </row>
    <row r="44" customFormat="false" ht="21.75" hidden="false" customHeight="true" outlineLevel="0" collapsed="false">
      <c r="A44" s="178" t="s">
        <v>459</v>
      </c>
      <c r="B44" s="68" t="s">
        <v>460</v>
      </c>
      <c r="C44" s="68"/>
      <c r="D44" s="68"/>
      <c r="E44" s="68"/>
      <c r="F44" s="68"/>
    </row>
    <row r="45" customFormat="false" ht="21.75" hidden="false" customHeight="true" outlineLevel="0" collapsed="false">
      <c r="A45" s="179" t="s">
        <v>461</v>
      </c>
      <c r="B45" s="70" t="s">
        <v>462</v>
      </c>
      <c r="C45" s="70"/>
      <c r="D45" s="70"/>
      <c r="E45" s="70"/>
      <c r="F45" s="70"/>
    </row>
    <row r="46" customFormat="false" ht="21.75" hidden="false" customHeight="true" outlineLevel="0" collapsed="false">
      <c r="A46" s="178" t="s">
        <v>463</v>
      </c>
      <c r="B46" s="68" t="s">
        <v>464</v>
      </c>
      <c r="C46" s="68"/>
      <c r="D46" s="68"/>
      <c r="E46" s="68"/>
      <c r="F46" s="68"/>
    </row>
    <row r="47" customFormat="false" ht="21.75" hidden="false" customHeight="true" outlineLevel="0" collapsed="false">
      <c r="A47" s="179" t="s">
        <v>465</v>
      </c>
      <c r="B47" s="70" t="s">
        <v>466</v>
      </c>
      <c r="C47" s="70"/>
      <c r="D47" s="70"/>
      <c r="E47" s="70"/>
      <c r="F47" s="70"/>
    </row>
    <row r="48" customFormat="false" ht="21.75" hidden="false" customHeight="true" outlineLevel="0" collapsed="false">
      <c r="A48" s="178" t="s">
        <v>467</v>
      </c>
      <c r="B48" s="68" t="s">
        <v>468</v>
      </c>
      <c r="C48" s="68"/>
      <c r="D48" s="68"/>
      <c r="E48" s="68"/>
      <c r="F48" s="68"/>
    </row>
    <row r="49" customFormat="false" ht="21.75" hidden="false" customHeight="true" outlineLevel="0" collapsed="false">
      <c r="A49" s="179" t="s">
        <v>469</v>
      </c>
      <c r="B49" s="70" t="s">
        <v>470</v>
      </c>
      <c r="C49" s="70"/>
      <c r="D49" s="70"/>
      <c r="E49" s="70"/>
      <c r="F49" s="70"/>
    </row>
  </sheetData>
  <mergeCells count="43">
    <mergeCell ref="A1:F1"/>
    <mergeCell ref="A3:F3"/>
    <mergeCell ref="B4:F4"/>
    <mergeCell ref="B5:F5"/>
    <mergeCell ref="B6:F6"/>
    <mergeCell ref="B7:F7"/>
    <mergeCell ref="B8:F8"/>
    <mergeCell ref="B9:F9"/>
    <mergeCell ref="A11:F11"/>
    <mergeCell ref="B12:F12"/>
    <mergeCell ref="B13:F13"/>
    <mergeCell ref="B14:F14"/>
    <mergeCell ref="B15:F15"/>
    <mergeCell ref="B16:F16"/>
    <mergeCell ref="B17:F17"/>
    <mergeCell ref="A19:F19"/>
    <mergeCell ref="B20:F20"/>
    <mergeCell ref="B21:F21"/>
    <mergeCell ref="B22:F22"/>
    <mergeCell ref="B23:F23"/>
    <mergeCell ref="B24:F24"/>
    <mergeCell ref="B25:F25"/>
    <mergeCell ref="A27:F27"/>
    <mergeCell ref="B28:F28"/>
    <mergeCell ref="B29:F29"/>
    <mergeCell ref="B30:F30"/>
    <mergeCell ref="B31:F31"/>
    <mergeCell ref="B32:F32"/>
    <mergeCell ref="B33:F33"/>
    <mergeCell ref="A35:F35"/>
    <mergeCell ref="B36:F36"/>
    <mergeCell ref="B37:F37"/>
    <mergeCell ref="B38:F38"/>
    <mergeCell ref="B39:F39"/>
    <mergeCell ref="B40:F40"/>
    <mergeCell ref="B41:F41"/>
    <mergeCell ref="A43:F43"/>
    <mergeCell ref="B44:F44"/>
    <mergeCell ref="B45:F45"/>
    <mergeCell ref="B46:F46"/>
    <mergeCell ref="B47:F47"/>
    <mergeCell ref="B48:F48"/>
    <mergeCell ref="B49:F4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2026-05-21T07:58:31Z</dcterms:created>
  <dc:creator>openpyxl</dc:creator>
  <dc:description/>
  <dc:language>en-US</dc:language>
  <cp:lastModifiedBy/>
  <dcterms:modified xsi:type="dcterms:W3CDTF">2026-05-21T21:47:30Z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