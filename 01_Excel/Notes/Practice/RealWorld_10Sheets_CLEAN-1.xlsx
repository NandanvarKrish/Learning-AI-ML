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192.168.1.2\share\excel\"/>
    </mc:Choice>
  </mc:AlternateContent>
  <xr:revisionPtr revIDLastSave="0" documentId="13_ncr:1_{85A95743-3971-4FB2-A17C-DB871F95AEB7}" xr6:coauthVersionLast="47" xr6:coauthVersionMax="47" xr10:uidLastSave="{00000000-0000-0000-0000-000000000000}"/>
  <bookViews>
    <workbookView xWindow="0" yWindow="0" windowWidth="13545" windowHeight="12900" tabRatio="500" activeTab="6" xr2:uid="{00000000-000D-0000-FFFF-FFFF00000000}"/>
  </bookViews>
  <sheets>
    <sheet name="INDEX" sheetId="1" r:id="rId1"/>
    <sheet name="1-Expense Tracker" sheetId="2" r:id="rId2"/>
    <sheet name="2-Fee Collection" sheetId="3" r:id="rId3"/>
    <sheet name="3-Price List" sheetId="4" r:id="rId4"/>
    <sheet name="4-Attendance" sheetId="5" r:id="rId5"/>
    <sheet name="5-Order Tracker" sheetId="6" r:id="rId6"/>
    <sheet name="6-Commission" sheetId="7" r:id="rId7"/>
    <sheet name="7-Rent Tracker" sheetId="8" r:id="rId8"/>
    <sheet name="8-Project Tracker" sheetId="9" r:id="rId9"/>
    <sheet name="9-Medical Inventory" sheetId="10" r:id="rId10"/>
    <sheet name="10-Monthly PandL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7" l="1"/>
  <c r="E22" i="11"/>
  <c r="D22" i="11"/>
  <c r="C22" i="11"/>
  <c r="F22" i="11" s="1"/>
  <c r="F21" i="11"/>
  <c r="F20" i="11"/>
  <c r="G20" i="11" s="1"/>
  <c r="G19" i="11"/>
  <c r="F19" i="11"/>
  <c r="F18" i="11"/>
  <c r="F17" i="11"/>
  <c r="F16" i="11"/>
  <c r="G16" i="11" s="1"/>
  <c r="G15" i="11"/>
  <c r="F15" i="11"/>
  <c r="F14" i="11"/>
  <c r="F13" i="11"/>
  <c r="F12" i="11"/>
  <c r="G12" i="11" s="1"/>
  <c r="C8" i="11"/>
  <c r="H7" i="11"/>
  <c r="F7" i="11"/>
  <c r="G7" i="11" s="1"/>
  <c r="E6" i="11"/>
  <c r="E8" i="11" s="1"/>
  <c r="D6" i="11"/>
  <c r="F6" i="11" s="1"/>
  <c r="G6" i="11" s="1"/>
  <c r="C6" i="11"/>
  <c r="H5" i="11"/>
  <c r="F5" i="11"/>
  <c r="G5" i="11" s="1"/>
  <c r="H4" i="11"/>
  <c r="G4" i="11"/>
  <c r="F4" i="11"/>
  <c r="A14" i="10"/>
  <c r="L10" i="10"/>
  <c r="J10" i="10"/>
  <c r="F10" i="10"/>
  <c r="G10" i="10" s="1"/>
  <c r="L9" i="10"/>
  <c r="J9" i="10"/>
  <c r="G9" i="10"/>
  <c r="F9" i="10"/>
  <c r="M9" i="10" s="1"/>
  <c r="L8" i="10"/>
  <c r="J8" i="10"/>
  <c r="F8" i="10"/>
  <c r="M8" i="10" s="1"/>
  <c r="L7" i="10"/>
  <c r="J7" i="10"/>
  <c r="F7" i="10"/>
  <c r="M7" i="10" s="1"/>
  <c r="L6" i="10"/>
  <c r="J6" i="10"/>
  <c r="F6" i="10"/>
  <c r="G6" i="10" s="1"/>
  <c r="L5" i="10"/>
  <c r="J5" i="10"/>
  <c r="F5" i="10"/>
  <c r="M5" i="10" s="1"/>
  <c r="L4" i="10"/>
  <c r="J4" i="10"/>
  <c r="F4" i="10"/>
  <c r="M4" i="10" s="1"/>
  <c r="L3" i="10"/>
  <c r="F14" i="10" s="1"/>
  <c r="J3" i="10"/>
  <c r="G14" i="10" s="1"/>
  <c r="F3" i="10"/>
  <c r="M3" i="10" s="1"/>
  <c r="D13" i="9"/>
  <c r="C13" i="9"/>
  <c r="B13" i="9"/>
  <c r="A13" i="9"/>
  <c r="M9" i="9"/>
  <c r="L9" i="9"/>
  <c r="K9" i="9"/>
  <c r="G9" i="9"/>
  <c r="M8" i="9"/>
  <c r="L8" i="9"/>
  <c r="K8" i="9"/>
  <c r="G8" i="9"/>
  <c r="M7" i="9"/>
  <c r="L7" i="9"/>
  <c r="K7" i="9"/>
  <c r="G7" i="9"/>
  <c r="M6" i="9"/>
  <c r="L6" i="9"/>
  <c r="K6" i="9"/>
  <c r="G6" i="9"/>
  <c r="M5" i="9"/>
  <c r="L5" i="9"/>
  <c r="K5" i="9"/>
  <c r="G5" i="9"/>
  <c r="M4" i="9"/>
  <c r="L4" i="9"/>
  <c r="K4" i="9"/>
  <c r="G4" i="9"/>
  <c r="M3" i="9"/>
  <c r="F13" i="9" s="1"/>
  <c r="L3" i="9"/>
  <c r="E13" i="9" s="1"/>
  <c r="K3" i="9"/>
  <c r="G3" i="9"/>
  <c r="C12" i="8"/>
  <c r="A12" i="8"/>
  <c r="J8" i="8"/>
  <c r="K8" i="8" s="1"/>
  <c r="I8" i="8"/>
  <c r="L8" i="8" s="1"/>
  <c r="G8" i="8"/>
  <c r="K7" i="8"/>
  <c r="J7" i="8"/>
  <c r="G7" i="8"/>
  <c r="I7" i="8" s="1"/>
  <c r="L7" i="8" s="1"/>
  <c r="K6" i="8"/>
  <c r="J6" i="8"/>
  <c r="G6" i="8"/>
  <c r="I6" i="8" s="1"/>
  <c r="L6" i="8" s="1"/>
  <c r="J5" i="8"/>
  <c r="K5" i="8" s="1"/>
  <c r="I5" i="8"/>
  <c r="L5" i="8" s="1"/>
  <c r="G5" i="8"/>
  <c r="J4" i="8"/>
  <c r="K4" i="8" s="1"/>
  <c r="I4" i="8"/>
  <c r="L4" i="8" s="1"/>
  <c r="G4" i="8"/>
  <c r="K3" i="8"/>
  <c r="J3" i="8"/>
  <c r="G3" i="8"/>
  <c r="B12" i="8" s="1"/>
  <c r="I16" i="7"/>
  <c r="B16" i="7"/>
  <c r="J15" i="7"/>
  <c r="G15" i="7"/>
  <c r="F15" i="7"/>
  <c r="H15" i="7" s="1"/>
  <c r="E15" i="7"/>
  <c r="D15" i="7"/>
  <c r="J14" i="7"/>
  <c r="G14" i="7"/>
  <c r="E14" i="7"/>
  <c r="F14" i="7" s="1"/>
  <c r="H14" i="7" s="1"/>
  <c r="D14" i="7"/>
  <c r="J13" i="7"/>
  <c r="G13" i="7"/>
  <c r="F13" i="7"/>
  <c r="H13" i="7" s="1"/>
  <c r="E13" i="7"/>
  <c r="D13" i="7"/>
  <c r="J12" i="7"/>
  <c r="G12" i="7"/>
  <c r="E12" i="7"/>
  <c r="F12" i="7" s="1"/>
  <c r="H12" i="7" s="1"/>
  <c r="D12" i="7"/>
  <c r="J11" i="7"/>
  <c r="G11" i="7"/>
  <c r="G16" i="7" s="1"/>
  <c r="F16" i="7"/>
  <c r="E11" i="7"/>
  <c r="D11" i="7"/>
  <c r="C12" i="6"/>
  <c r="B12" i="6"/>
  <c r="A12" i="6"/>
  <c r="K8" i="6"/>
  <c r="L8" i="6" s="1"/>
  <c r="I8" i="6"/>
  <c r="H8" i="6"/>
  <c r="K7" i="6"/>
  <c r="L7" i="6" s="1"/>
  <c r="I7" i="6"/>
  <c r="H7" i="6"/>
  <c r="K6" i="6"/>
  <c r="L6" i="6" s="1"/>
  <c r="I6" i="6"/>
  <c r="H6" i="6"/>
  <c r="K5" i="6"/>
  <c r="L5" i="6" s="1"/>
  <c r="I5" i="6"/>
  <c r="H5" i="6"/>
  <c r="K4" i="6"/>
  <c r="L4" i="6" s="1"/>
  <c r="I4" i="6"/>
  <c r="H4" i="6"/>
  <c r="K3" i="6"/>
  <c r="D12" i="6" s="1"/>
  <c r="I3" i="6"/>
  <c r="H3" i="6"/>
  <c r="AJ7" i="5"/>
  <c r="AI7" i="5"/>
  <c r="AH7" i="5"/>
  <c r="AG7" i="5"/>
  <c r="AK7" i="5" s="1"/>
  <c r="AM7" i="5" s="1"/>
  <c r="AJ6" i="5"/>
  <c r="AI6" i="5"/>
  <c r="AH6" i="5"/>
  <c r="AG6" i="5"/>
  <c r="AK6" i="5" s="1"/>
  <c r="AM6" i="5" s="1"/>
  <c r="AJ5" i="5"/>
  <c r="AI5" i="5"/>
  <c r="AH5" i="5"/>
  <c r="AG5" i="5"/>
  <c r="AK5" i="5" s="1"/>
  <c r="AM5" i="5" s="1"/>
  <c r="AJ4" i="5"/>
  <c r="AI4" i="5"/>
  <c r="AH4" i="5"/>
  <c r="AG4" i="5"/>
  <c r="AK4" i="5" s="1"/>
  <c r="AM4" i="5" s="1"/>
  <c r="AJ3" i="5"/>
  <c r="AI3" i="5"/>
  <c r="AH3" i="5"/>
  <c r="AG3" i="5"/>
  <c r="AK3" i="5" s="1"/>
  <c r="AM3" i="5" s="1"/>
  <c r="K10" i="4"/>
  <c r="I10" i="4"/>
  <c r="H10" i="4"/>
  <c r="J10" i="4" s="1"/>
  <c r="G10" i="4"/>
  <c r="K9" i="4"/>
  <c r="G9" i="4"/>
  <c r="H9" i="4" s="1"/>
  <c r="K8" i="4"/>
  <c r="I8" i="4"/>
  <c r="H8" i="4"/>
  <c r="J8" i="4" s="1"/>
  <c r="G8" i="4"/>
  <c r="K7" i="4"/>
  <c r="G7" i="4"/>
  <c r="H7" i="4" s="1"/>
  <c r="K6" i="4"/>
  <c r="I6" i="4"/>
  <c r="H6" i="4"/>
  <c r="J6" i="4" s="1"/>
  <c r="G6" i="4"/>
  <c r="K5" i="4"/>
  <c r="G5" i="4"/>
  <c r="H5" i="4" s="1"/>
  <c r="K4" i="4"/>
  <c r="I4" i="4"/>
  <c r="H4" i="4"/>
  <c r="J4" i="4" s="1"/>
  <c r="G4" i="4"/>
  <c r="K3" i="4"/>
  <c r="G3" i="4"/>
  <c r="H3" i="4" s="1"/>
  <c r="C22" i="3"/>
  <c r="A22" i="3"/>
  <c r="D18" i="3"/>
  <c r="G18" i="3" s="1"/>
  <c r="C18" i="3"/>
  <c r="B18" i="3"/>
  <c r="D17" i="3"/>
  <c r="G17" i="3" s="1"/>
  <c r="C17" i="3"/>
  <c r="B17" i="3"/>
  <c r="D16" i="3"/>
  <c r="G16" i="3" s="1"/>
  <c r="C16" i="3"/>
  <c r="B16" i="3"/>
  <c r="D15" i="3"/>
  <c r="G15" i="3" s="1"/>
  <c r="C15" i="3"/>
  <c r="B15" i="3"/>
  <c r="D14" i="3"/>
  <c r="G14" i="3" s="1"/>
  <c r="C14" i="3"/>
  <c r="B14" i="3"/>
  <c r="D13" i="3"/>
  <c r="G13" i="3" s="1"/>
  <c r="C13" i="3"/>
  <c r="B13" i="3"/>
  <c r="E30" i="2"/>
  <c r="D30" i="2"/>
  <c r="C30" i="2"/>
  <c r="B30" i="2"/>
  <c r="A30" i="2"/>
  <c r="F26" i="2"/>
  <c r="D26" i="2"/>
  <c r="B26" i="2"/>
  <c r="E26" i="2" s="1"/>
  <c r="F25" i="2"/>
  <c r="D25" i="2"/>
  <c r="B25" i="2"/>
  <c r="E25" i="2" s="1"/>
  <c r="F24" i="2"/>
  <c r="D24" i="2"/>
  <c r="B24" i="2"/>
  <c r="E24" i="2" s="1"/>
  <c r="F23" i="2"/>
  <c r="D23" i="2"/>
  <c r="B23" i="2"/>
  <c r="E23" i="2" s="1"/>
  <c r="F22" i="2"/>
  <c r="D22" i="2"/>
  <c r="B22" i="2"/>
  <c r="E22" i="2" s="1"/>
  <c r="F21" i="2"/>
  <c r="D21" i="2"/>
  <c r="B21" i="2"/>
  <c r="E21" i="2" s="1"/>
  <c r="F20" i="2"/>
  <c r="D20" i="2"/>
  <c r="B20" i="2"/>
  <c r="E20" i="2" s="1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12" i="6" l="1"/>
  <c r="G3" i="10"/>
  <c r="F12" i="6"/>
  <c r="G7" i="10"/>
  <c r="G5" i="10"/>
  <c r="E12" i="6"/>
  <c r="G12" i="6"/>
  <c r="H15" i="3"/>
  <c r="I15" i="3" s="1"/>
  <c r="L3" i="4"/>
  <c r="J3" i="4"/>
  <c r="I3" i="4"/>
  <c r="L7" i="4"/>
  <c r="J7" i="4"/>
  <c r="I7" i="4"/>
  <c r="I14" i="3"/>
  <c r="H14" i="3"/>
  <c r="I18" i="3"/>
  <c r="H18" i="3"/>
  <c r="H8" i="11"/>
  <c r="E26" i="11"/>
  <c r="G22" i="11"/>
  <c r="D22" i="3"/>
  <c r="I13" i="3"/>
  <c r="H13" i="3"/>
  <c r="H17" i="3"/>
  <c r="I17" i="3" s="1"/>
  <c r="L5" i="4"/>
  <c r="J5" i="4"/>
  <c r="I5" i="4"/>
  <c r="L9" i="4"/>
  <c r="J9" i="4"/>
  <c r="I9" i="4"/>
  <c r="H16" i="3"/>
  <c r="I16" i="3" s="1"/>
  <c r="H11" i="7"/>
  <c r="H16" i="7" s="1"/>
  <c r="I3" i="8"/>
  <c r="G4" i="10"/>
  <c r="G8" i="10"/>
  <c r="H6" i="11"/>
  <c r="B22" i="3"/>
  <c r="L4" i="4"/>
  <c r="L6" i="4"/>
  <c r="L8" i="4"/>
  <c r="L10" i="4"/>
  <c r="M6" i="10"/>
  <c r="M10" i="10"/>
  <c r="D8" i="11"/>
  <c r="D26" i="11" s="1"/>
  <c r="D27" i="11" s="1"/>
  <c r="G14" i="11"/>
  <c r="G18" i="11"/>
  <c r="G13" i="11"/>
  <c r="G17" i="11"/>
  <c r="G21" i="11"/>
  <c r="C26" i="11"/>
  <c r="C27" i="11" s="1"/>
  <c r="L3" i="6"/>
  <c r="C14" i="10" l="1"/>
  <c r="B14" i="10"/>
  <c r="E14" i="10"/>
  <c r="D14" i="10"/>
  <c r="L3" i="8"/>
  <c r="D12" i="8"/>
  <c r="F22" i="3"/>
  <c r="E22" i="3"/>
  <c r="H26" i="11"/>
  <c r="E27" i="11"/>
  <c r="F8" i="11"/>
  <c r="G12" i="8" l="1"/>
  <c r="F12" i="8"/>
  <c r="E12" i="8"/>
  <c r="F26" i="11"/>
  <c r="H19" i="11"/>
  <c r="H15" i="11"/>
  <c r="H20" i="11"/>
  <c r="H16" i="11"/>
  <c r="H12" i="11"/>
  <c r="G8" i="11"/>
  <c r="H18" i="11"/>
  <c r="H22" i="11"/>
  <c r="H21" i="11"/>
  <c r="H14" i="11"/>
  <c r="H13" i="11"/>
  <c r="H17" i="11"/>
  <c r="F27" i="11" l="1"/>
  <c r="G26" i="11"/>
</calcChain>
</file>

<file path=xl/sharedStrings.xml><?xml version="1.0" encoding="utf-8"?>
<sst xmlns="http://schemas.openxmlformats.org/spreadsheetml/2006/main" count="779" uniqueCount="475">
  <si>
    <t>REAL WORLD EXCEL — 10 PRACTICAL TASK SHEETS</t>
  </si>
  <si>
    <t>#</t>
  </si>
  <si>
    <t>Sheet Name</t>
  </si>
  <si>
    <t>Real-World Use</t>
  </si>
  <si>
    <t>Key Formulas</t>
  </si>
  <si>
    <t>Difficulty</t>
  </si>
  <si>
    <t>1</t>
  </si>
  <si>
    <t>Expense Tracker</t>
  </si>
  <si>
    <t>Personal finance, home budgeting</t>
  </si>
  <si>
    <t>SUMIF, ROUND, IF, COUNTIF</t>
  </si>
  <si>
    <t>Beginner</t>
  </si>
  <si>
    <t>2</t>
  </si>
  <si>
    <t>Fee Collection</t>
  </si>
  <si>
    <t>Schools, tuition centres, colleges</t>
  </si>
  <si>
    <t>VLOOKUP, IF, TODAY, DATEDIF, COUNTIF</t>
  </si>
  <si>
    <t>Intermediate</t>
  </si>
  <si>
    <t>3</t>
  </si>
  <si>
    <t>Price List</t>
  </si>
  <si>
    <t>Shops, distributors, sales teams</t>
  </si>
  <si>
    <t>Nested IF, ROUND, MAX, MIN</t>
  </si>
  <si>
    <t>4</t>
  </si>
  <si>
    <t>Attendance</t>
  </si>
  <si>
    <t>HR dept, payroll, leave management</t>
  </si>
  <si>
    <t>COUNTIF, NETWORKDAYS, IF, COUNTA</t>
  </si>
  <si>
    <t>5</t>
  </si>
  <si>
    <t>Order Tracker</t>
  </si>
  <si>
    <t>E-commerce, retail, distributors</t>
  </si>
  <si>
    <t>SUMIF, IF, TODAY, VLOOKUP, IFERROR</t>
  </si>
  <si>
    <t>6</t>
  </si>
  <si>
    <t>Commission</t>
  </si>
  <si>
    <t>Sales teams, insurance agents</t>
  </si>
  <si>
    <t>IF, SUMIF, ROUND, nested IF, MAX</t>
  </si>
  <si>
    <t>7</t>
  </si>
  <si>
    <t>Rent Tracker</t>
  </si>
  <si>
    <t>Landlords, PG owners, societies</t>
  </si>
  <si>
    <t>SUMIF, IF, DATEDIF, EDATE, TODAY</t>
  </si>
  <si>
    <t>8</t>
  </si>
  <si>
    <t>Project Tracker</t>
  </si>
  <si>
    <t>Managers, freelancers, students</t>
  </si>
  <si>
    <t>TODAY, IF, NETWORKDAYS, COUNTIF, DATEDIF</t>
  </si>
  <si>
    <t>9</t>
  </si>
  <si>
    <t>Medical Inventory</t>
  </si>
  <si>
    <t>Pharmacy, medical shop, hospital</t>
  </si>
  <si>
    <t>TODAY, IF, DATEDIF, VLOOKUP, SUMIF</t>
  </si>
  <si>
    <t>10</t>
  </si>
  <si>
    <t>Monthly P&amp;L</t>
  </si>
  <si>
    <t>Shop owners, small business, CA</t>
  </si>
  <si>
    <t>SUM, SUMIF, IF, ROUND, Net Profit</t>
  </si>
  <si>
    <t>MONTHLY EXPENSE TRACKER — June 2025</t>
  </si>
  <si>
    <t>Date</t>
  </si>
  <si>
    <t>Description</t>
  </si>
  <si>
    <t>Category</t>
  </si>
  <si>
    <t>Amount (Rs)</t>
  </si>
  <si>
    <t>Payment Mode</t>
  </si>
  <si>
    <t>Receipt?</t>
  </si>
  <si>
    <t>Monthly Budget (Rs)</t>
  </si>
  <si>
    <t>Status</t>
  </si>
  <si>
    <t>01-Jun-2025</t>
  </si>
  <si>
    <t>Rent</t>
  </si>
  <si>
    <t>Housing</t>
  </si>
  <si>
    <t>Bank Transfer</t>
  </si>
  <si>
    <t>Yes</t>
  </si>
  <si>
    <t>02-Jun-2025</t>
  </si>
  <si>
    <t>Grocery - BigBazaar</t>
  </si>
  <si>
    <t>Food &amp; Groceries</t>
  </si>
  <si>
    <t>UPI</t>
  </si>
  <si>
    <t>03-Jun-2025</t>
  </si>
  <si>
    <t>Petrol</t>
  </si>
  <si>
    <t>Transport</t>
  </si>
  <si>
    <t>Cash</t>
  </si>
  <si>
    <t>No</t>
  </si>
  <si>
    <t>05-Jun-2025</t>
  </si>
  <si>
    <t>Swiggy order</t>
  </si>
  <si>
    <t>07-Jun-2025</t>
  </si>
  <si>
    <t>Phone bill</t>
  </si>
  <si>
    <t>Utilities</t>
  </si>
  <si>
    <t>Auto-debit</t>
  </si>
  <si>
    <t>10-Jun-2025</t>
  </si>
  <si>
    <t>Movie tickets</t>
  </si>
  <si>
    <t>Entertainment</t>
  </si>
  <si>
    <t>12-Jun-2025</t>
  </si>
  <si>
    <t>Grocery - Local</t>
  </si>
  <si>
    <t>15-Jun-2025</t>
  </si>
  <si>
    <t>Electricity bill</t>
  </si>
  <si>
    <t>18-Jun-2025</t>
  </si>
  <si>
    <t>Gym membership</t>
  </si>
  <si>
    <t>Health</t>
  </si>
  <si>
    <t>Card</t>
  </si>
  <si>
    <t>20-Jun-2025</t>
  </si>
  <si>
    <t>Restaurant dinner</t>
  </si>
  <si>
    <t>22-Jun-2025</t>
  </si>
  <si>
    <t>Auto/cab rides</t>
  </si>
  <si>
    <t>25-Jun-2025</t>
  </si>
  <si>
    <t>Medicine</t>
  </si>
  <si>
    <t>28-Jun-2025</t>
  </si>
  <si>
    <t>Clothing</t>
  </si>
  <si>
    <t>Shopping</t>
  </si>
  <si>
    <t>30-Jun-2025</t>
  </si>
  <si>
    <t>Internet bill</t>
  </si>
  <si>
    <t>CATEGORY-WISE SUMMARY</t>
  </si>
  <si>
    <t>Total Spent (Rs)</t>
  </si>
  <si>
    <t>Budget (Rs)</t>
  </si>
  <si>
    <t>Remaining (Rs)</t>
  </si>
  <si>
    <t># Transactions</t>
  </si>
  <si>
    <t>PAYMENT MODE ANALYSIS</t>
  </si>
  <si>
    <t>UPI Total</t>
  </si>
  <si>
    <t>Cash Total</t>
  </si>
  <si>
    <t>Card Total</t>
  </si>
  <si>
    <t>Auto-debit Total</t>
  </si>
  <si>
    <t>Total All Expenses</t>
  </si>
  <si>
    <t>STUDENT FEE COLLECTION REGISTER — June 2025</t>
  </si>
  <si>
    <t>PART A: STUDENT MASTER LIST</t>
  </si>
  <si>
    <t>Student ID</t>
  </si>
  <si>
    <t>Student Name</t>
  </si>
  <si>
    <t>Class</t>
  </si>
  <si>
    <t>Guardian Name</t>
  </si>
  <si>
    <t>Phone</t>
  </si>
  <si>
    <t>Monthly Fee (Rs)</t>
  </si>
  <si>
    <t>S001</t>
  </si>
  <si>
    <t>Aarav Mehta</t>
  </si>
  <si>
    <t>10A</t>
  </si>
  <si>
    <t>Ramesh Mehta</t>
  </si>
  <si>
    <t>9876543210</t>
  </si>
  <si>
    <t>S002</t>
  </si>
  <si>
    <t>Priya Sharma</t>
  </si>
  <si>
    <t>9B</t>
  </si>
  <si>
    <t>Sunita Sharma</t>
  </si>
  <si>
    <t>9876543211</t>
  </si>
  <si>
    <t>S003</t>
  </si>
  <si>
    <t>Rajan Verma</t>
  </si>
  <si>
    <t>Mohan Verma</t>
  </si>
  <si>
    <t>9876543212</t>
  </si>
  <si>
    <t>S004</t>
  </si>
  <si>
    <t>Nisha Gupta</t>
  </si>
  <si>
    <t>Vijay Gupta</t>
  </si>
  <si>
    <t>9876543213</t>
  </si>
  <si>
    <t>S005</t>
  </si>
  <si>
    <t>Arjun Kumar</t>
  </si>
  <si>
    <t>8C</t>
  </si>
  <si>
    <t>Anil Kumar</t>
  </si>
  <si>
    <t>9876543214</t>
  </si>
  <si>
    <t>S006</t>
  </si>
  <si>
    <t>Divya Nair</t>
  </si>
  <si>
    <t>Reena Nair</t>
  </si>
  <si>
    <t>9876543215</t>
  </si>
  <si>
    <t>PART B: JUNE 2025 FEE COLLECTION REGISTER</t>
  </si>
  <si>
    <t>Name</t>
  </si>
  <si>
    <t>Fee Due (Rs)</t>
  </si>
  <si>
    <t>Payment Date</t>
  </si>
  <si>
    <t>Amount Paid (Rs)</t>
  </si>
  <si>
    <t>Balance (Rs)</t>
  </si>
  <si>
    <t>Days Overdue</t>
  </si>
  <si>
    <t>08-Jun-2025</t>
  </si>
  <si>
    <t>SUMMARY</t>
  </si>
  <si>
    <t>Total Students</t>
  </si>
  <si>
    <t>Total Fee Due (Rs)</t>
  </si>
  <si>
    <t>Total Collected (Rs)</t>
  </si>
  <si>
    <t>Total Outstanding (Rs)</t>
  </si>
  <si>
    <t>Fully Paid</t>
  </si>
  <si>
    <t>Overdue</t>
  </si>
  <si>
    <t>PRODUCT PRICE LIST WITH DISCOUNTS</t>
  </si>
  <si>
    <t>Product Name</t>
  </si>
  <si>
    <t>MRP (Rs)</t>
  </si>
  <si>
    <t>Cost Price (Rs)</t>
  </si>
  <si>
    <t>Customer Type</t>
  </si>
  <si>
    <t>Order Qty</t>
  </si>
  <si>
    <t>Discount %</t>
  </si>
  <si>
    <t>Selling Price (Rs)</t>
  </si>
  <si>
    <t>Margin (Rs)</t>
  </si>
  <si>
    <t>Margin %</t>
  </si>
  <si>
    <t>Min Sell Price (Rs)</t>
  </si>
  <si>
    <t>Price OK?</t>
  </si>
  <si>
    <t>USB-C Cable 1m</t>
  </si>
  <si>
    <t>Cables</t>
  </si>
  <si>
    <t>Retailer</t>
  </si>
  <si>
    <t>Wall Charger 20W</t>
  </si>
  <si>
    <t>Chargers</t>
  </si>
  <si>
    <t>Wholesaler</t>
  </si>
  <si>
    <t>Mobile Cover 6.5</t>
  </si>
  <si>
    <t>Accessories</t>
  </si>
  <si>
    <t>Bulk Buyer</t>
  </si>
  <si>
    <t>Screen Protector</t>
  </si>
  <si>
    <t>Wireless Earbuds</t>
  </si>
  <si>
    <t>Audio</t>
  </si>
  <si>
    <t>Phone Stand</t>
  </si>
  <si>
    <t>Walk-in</t>
  </si>
  <si>
    <t>Car Mount</t>
  </si>
  <si>
    <t>Screen Cleaner Kit</t>
  </si>
  <si>
    <t>ATTENDANCE &amp; LEAVE TRACKER — June 2025</t>
  </si>
  <si>
    <t>Emp ID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</si>
  <si>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</si>
  <si>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</si>
  <si>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</si>
  <si>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</si>
  <si>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</si>
  <si>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</si>
  <si>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</si>
  <si>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</si>
  <si>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</si>
  <si>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</si>
  <si>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</si>
  <si>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</si>
  <si>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</si>
  <si>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</si>
  <si>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</si>
  <si>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</si>
  <si>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</si>
  <si>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</si>
  <si>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</si>
  <si>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</si>
  <si>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Days Present</t>
  </si>
  <si>
    <t>Days Absent</t>
  </si>
  <si>
    <t>Leaves Taken</t>
  </si>
  <si>
    <t>Holidays</t>
  </si>
  <si>
    <t>Working Days</t>
  </si>
  <si>
    <t>Monthly Salary (Rs)</t>
  </si>
  <si>
    <t>Deduction (Rs)</t>
  </si>
  <si>
    <t>E001</t>
  </si>
  <si>
    <t>Ravi Kumar</t>
  </si>
  <si>
    <t>P</t>
  </si>
  <si>
    <t>H</t>
  </si>
  <si>
    <t>E002</t>
  </si>
  <si>
    <t>Priya Singh</t>
  </si>
  <si>
    <t>A</t>
  </si>
  <si>
    <t>L</t>
  </si>
  <si>
    <t>E003</t>
  </si>
  <si>
    <t>Aman Verma</t>
  </si>
  <si>
    <t>E004</t>
  </si>
  <si>
    <t>Sunita Rao</t>
  </si>
  <si>
    <t>E005</t>
  </si>
  <si>
    <t>Rohit Sharma</t>
  </si>
  <si>
    <t>CUSTOMER ORDER TRACKER — June 2025</t>
  </si>
  <si>
    <t>Order ID</t>
  </si>
  <si>
    <t>Customer</t>
  </si>
  <si>
    <t>Order Date</t>
  </si>
  <si>
    <t>Items Ordered</t>
  </si>
  <si>
    <t>Order Value (Rs)</t>
  </si>
  <si>
    <t>Expected Delivery</t>
  </si>
  <si>
    <t>Actual Delivery</t>
  </si>
  <si>
    <t>Delivery Status</t>
  </si>
  <si>
    <t>Days Delayed</t>
  </si>
  <si>
    <t>Payment Received (Rs)</t>
  </si>
  <si>
    <t>Payment Status</t>
  </si>
  <si>
    <t>ORD-001</t>
  </si>
  <si>
    <t>Ramesh Stores</t>
  </si>
  <si>
    <t>Mobile Covers x25</t>
  </si>
  <si>
    <t>09-Jun-2025</t>
  </si>
  <si>
    <t>ORD-002</t>
  </si>
  <si>
    <t>City Distributor</t>
  </si>
  <si>
    <t>USB Cables x50</t>
  </si>
  <si>
    <t>ORD-003</t>
  </si>
  <si>
    <t>Raj Mobile</t>
  </si>
  <si>
    <t>Chargers x30</t>
  </si>
  <si>
    <t>ORD-004</t>
  </si>
  <si>
    <t>Sharma Sales</t>
  </si>
  <si>
    <t>Screen Protectors x100</t>
  </si>
  <si>
    <t>ORD-005</t>
  </si>
  <si>
    <t>Elite Retail</t>
  </si>
  <si>
    <t>Earbuds x10</t>
  </si>
  <si>
    <t>ORD-006</t>
  </si>
  <si>
    <t>Quick Retail</t>
  </si>
  <si>
    <t>Mixed order</t>
  </si>
  <si>
    <t>27-Jun-2025</t>
  </si>
  <si>
    <t>DASHBOARD SUMMARY</t>
  </si>
  <si>
    <t>Total Orders</t>
  </si>
  <si>
    <t>Total Value (Rs)</t>
  </si>
  <si>
    <t>Outstanding (Rs)</t>
  </si>
  <si>
    <t>Overdue Orders</t>
  </si>
  <si>
    <t>On Time Deliveries</t>
  </si>
  <si>
    <t>Late Deliveries</t>
  </si>
  <si>
    <t>Pending Deliveries</t>
  </si>
  <si>
    <t>MONTHLY SALES COMMISSION SHEET — June 2025</t>
  </si>
  <si>
    <t>COMMISSION SLAB STRUCTURE</t>
  </si>
  <si>
    <t>Slab</t>
  </si>
  <si>
    <t>Sales Range</t>
  </si>
  <si>
    <t>Commission %</t>
  </si>
  <si>
    <t>Bonus (if target met)</t>
  </si>
  <si>
    <t>Slab 1</t>
  </si>
  <si>
    <t>Rs 0 to Rs 50,000</t>
  </si>
  <si>
    <t>3%</t>
  </si>
  <si>
    <t>No bonus</t>
  </si>
  <si>
    <t>Slab 2</t>
  </si>
  <si>
    <t>Rs 50,001 to Rs 1,00,000</t>
  </si>
  <si>
    <t>5%</t>
  </si>
  <si>
    <t>Rs 2,000</t>
  </si>
  <si>
    <t>Slab 3</t>
  </si>
  <si>
    <t>Rs 1,00,001 to Rs 2,00,000</t>
  </si>
  <si>
    <t>8%</t>
  </si>
  <si>
    <t>Rs 5,000</t>
  </si>
  <si>
    <t>Slab 4</t>
  </si>
  <si>
    <t>Above Rs 2,00,000</t>
  </si>
  <si>
    <t>12%</t>
  </si>
  <si>
    <t>Rs 10,000</t>
  </si>
  <si>
    <t>JUNE 2025 COMMISSION REGISTER</t>
  </si>
  <si>
    <t>Salesperson</t>
  </si>
  <si>
    <t>June Sales (Rs)</t>
  </si>
  <si>
    <t>Target (Rs)</t>
  </si>
  <si>
    <t>% of Target</t>
  </si>
  <si>
    <t>Base Commission (Rs)</t>
  </si>
  <si>
    <t>Bonus (Rs)</t>
  </si>
  <si>
    <t>Total Payout (Rs)</t>
  </si>
  <si>
    <t>Last Month Sales (Rs)</t>
  </si>
  <si>
    <t>MoM Change</t>
  </si>
  <si>
    <t>Priya Nair</t>
  </si>
  <si>
    <t>Rohit Gupta</t>
  </si>
  <si>
    <t>TOTAL</t>
  </si>
  <si>
    <t>RENT &amp; UTILITY BILL TRACKER — June 2025</t>
  </si>
  <si>
    <t>Tenant Name</t>
  </si>
  <si>
    <t>Lease Start</t>
  </si>
  <si>
    <t>Monthly Rent (Rs)</t>
  </si>
  <si>
    <t>Electricity (Rs)</t>
  </si>
  <si>
    <t>Water (Rs)</t>
  </si>
  <si>
    <t>Maintenance (Rs)</t>
  </si>
  <si>
    <t>Total Due (Rs)</t>
  </si>
  <si>
    <t>Paid June (Rs)</t>
  </si>
  <si>
    <t>Balance June (Rs)</t>
  </si>
  <si>
    <t>Lease End Date</t>
  </si>
  <si>
    <t>Months Remaining</t>
  </si>
  <si>
    <t>01-Jan-2025</t>
  </si>
  <si>
    <t>01-Mar-2025</t>
  </si>
  <si>
    <t>01-Jun-2024</t>
  </si>
  <si>
    <t>01-Sep-2024</t>
  </si>
  <si>
    <t>15-Feb-2025</t>
  </si>
  <si>
    <t>Kavya Patel</t>
  </si>
  <si>
    <t>01-Apr-2025</t>
  </si>
  <si>
    <t>Total Tenants</t>
  </si>
  <si>
    <t>Total Monthly Due (Rs)</t>
  </si>
  <si>
    <t>Not Paid</t>
  </si>
  <si>
    <t>Partial</t>
  </si>
  <si>
    <t>PROJECT TASK &amp; DEADLINE TRACKER</t>
  </si>
  <si>
    <t>Task ID</t>
  </si>
  <si>
    <t>Task Name</t>
  </si>
  <si>
    <t>Assigned To</t>
  </si>
  <si>
    <t>Priority</t>
  </si>
  <si>
    <t>Start Date</t>
  </si>
  <si>
    <t>Deadline</t>
  </si>
  <si>
    <t>Days Allowed</t>
  </si>
  <si>
    <t>Completion %</t>
  </si>
  <si>
    <t>Actual Finish</t>
  </si>
  <si>
    <t>Days Remaining</t>
  </si>
  <si>
    <t>Overdue Flag</t>
  </si>
  <si>
    <t>Delay Days</t>
  </si>
  <si>
    <t>T01</t>
  </si>
  <si>
    <t>Requirement gathering</t>
  </si>
  <si>
    <t>Ravi</t>
  </si>
  <si>
    <t>High</t>
  </si>
  <si>
    <t>Complete</t>
  </si>
  <si>
    <t>06-Jun-2025</t>
  </si>
  <si>
    <t>T02</t>
  </si>
  <si>
    <t>UI/UX design</t>
  </si>
  <si>
    <t>Priya</t>
  </si>
  <si>
    <t>14-Jun-2025</t>
  </si>
  <si>
    <t>T03</t>
  </si>
  <si>
    <t>Backend development</t>
  </si>
  <si>
    <t>Aman</t>
  </si>
  <si>
    <t>In Progress</t>
  </si>
  <si>
    <t>T04</t>
  </si>
  <si>
    <t>Database setup</t>
  </si>
  <si>
    <t>Sunita</t>
  </si>
  <si>
    <t>Medium</t>
  </si>
  <si>
    <t>T05</t>
  </si>
  <si>
    <t>Testing &amp; QA</t>
  </si>
  <si>
    <t>Rohit</t>
  </si>
  <si>
    <t>10-Jul-2025</t>
  </si>
  <si>
    <t>Not Started</t>
  </si>
  <si>
    <t>T06</t>
  </si>
  <si>
    <t>Client presentation</t>
  </si>
  <si>
    <t>Kavya</t>
  </si>
  <si>
    <t>01-Jul-2025</t>
  </si>
  <si>
    <t>05-Jul-2025</t>
  </si>
  <si>
    <t>T07</t>
  </si>
  <si>
    <t>Deployment</t>
  </si>
  <si>
    <t>06-Jul-2025</t>
  </si>
  <si>
    <t>15-Jul-2025</t>
  </si>
  <si>
    <t>PROJECT SUMMARY</t>
  </si>
  <si>
    <t>Total Tasks</t>
  </si>
  <si>
    <t>Avg Delay (days)</t>
  </si>
  <si>
    <t>MEDICAL STORE INVENTORY &amp; EXPIRY TRACKER</t>
  </si>
  <si>
    <t>Medicine Name</t>
  </si>
  <si>
    <t>Batch No</t>
  </si>
  <si>
    <t>MFG Date</t>
  </si>
  <si>
    <t>Expiry Date</t>
  </si>
  <si>
    <t>Days to Expiry</t>
  </si>
  <si>
    <t>Expiry Status</t>
  </si>
  <si>
    <t>Qty in Stock</t>
  </si>
  <si>
    <t>Min Stock</t>
  </si>
  <si>
    <t>Reorder Needed?</t>
  </si>
  <si>
    <t>Stock Value (Rs)</t>
  </si>
  <si>
    <t>Action</t>
  </si>
  <si>
    <t>Paracetamol 500mg</t>
  </si>
  <si>
    <t>Analgesic</t>
  </si>
  <si>
    <t>B2401</t>
  </si>
  <si>
    <t>01-Jan-2024</t>
  </si>
  <si>
    <t>01-Jan-2026</t>
  </si>
  <si>
    <t>Amoxicillin 250mg</t>
  </si>
  <si>
    <t>Antibiotic</t>
  </si>
  <si>
    <t>B2302</t>
  </si>
  <si>
    <t>01-Mar-2023</t>
  </si>
  <si>
    <t>Vitamin D3 1000IU</t>
  </si>
  <si>
    <t>Supplement</t>
  </si>
  <si>
    <t>B2404</t>
  </si>
  <si>
    <t>01-Apr-2024</t>
  </si>
  <si>
    <t>01-Oct-2025</t>
  </si>
  <si>
    <t>Metformin 500mg</t>
  </si>
  <si>
    <t>Diabetes</t>
  </si>
  <si>
    <t>B2312</t>
  </si>
  <si>
    <t>01-Dec-2023</t>
  </si>
  <si>
    <t>01-Dec-2024</t>
  </si>
  <si>
    <t>Cetirizine 10mg</t>
  </si>
  <si>
    <t>Allergy</t>
  </si>
  <si>
    <t>B2405</t>
  </si>
  <si>
    <t>01-May-2024</t>
  </si>
  <si>
    <t>01-May-2026</t>
  </si>
  <si>
    <t>Azithromycin 500mg</t>
  </si>
  <si>
    <t>B2403</t>
  </si>
  <si>
    <t>01-Mar-2024</t>
  </si>
  <si>
    <t>01-Sep-2025</t>
  </si>
  <si>
    <t>Omeprazole 20mg</t>
  </si>
  <si>
    <t>Gastric</t>
  </si>
  <si>
    <t>B2406</t>
  </si>
  <si>
    <t>01-Jun-2026</t>
  </si>
  <si>
    <t>Glibenclamide 5mg</t>
  </si>
  <si>
    <t>B2310</t>
  </si>
  <si>
    <t>01-Oct-2023</t>
  </si>
  <si>
    <t>INVENTORY SUMMARY</t>
  </si>
  <si>
    <t>Total Medicines</t>
  </si>
  <si>
    <t>Expired</t>
  </si>
  <si>
    <t>Critical (&lt;30d)</t>
  </si>
  <si>
    <t>Watch (&lt;60d)</t>
  </si>
  <si>
    <t>Good</t>
  </si>
  <si>
    <t>Total Stock Value (Rs)</t>
  </si>
  <si>
    <t>Items Need Reorder</t>
  </si>
  <si>
    <t>MONTHLY PROFIT &amp; LOSS STATEMENT — Q1 (April-May-June 2025)</t>
  </si>
  <si>
    <t>PART A: INCOME</t>
  </si>
  <si>
    <t>Income Category</t>
  </si>
  <si>
    <t>April (Rs)</t>
  </si>
  <si>
    <t>May (Rs)</t>
  </si>
  <si>
    <t>June (Rs)</t>
  </si>
  <si>
    <t>Q1 Total (Rs)</t>
  </si>
  <si>
    <t>Q1 Avg (Rs)</t>
  </si>
  <si>
    <t>Trend</t>
  </si>
  <si>
    <t>Sales Revenue</t>
  </si>
  <si>
    <t>Cash + Credit sales</t>
  </si>
  <si>
    <t>Sales Returns</t>
  </si>
  <si>
    <t>Returns inward (deduct)</t>
  </si>
  <si>
    <t>Net Sales</t>
  </si>
  <si>
    <t>Gross Sales - Returns</t>
  </si>
  <si>
    <t>Other Income</t>
  </si>
  <si>
    <t>Interest, misc income</t>
  </si>
  <si>
    <t>TOTAL INCOME</t>
  </si>
  <si>
    <t>PART B: EXPENSES</t>
  </si>
  <si>
    <t>Expense Category</t>
  </si>
  <si>
    <t>% of Q1 Sales</t>
  </si>
  <si>
    <t>Cost of Goods Sold</t>
  </si>
  <si>
    <t>Opening stock + Purchases - Closing</t>
  </si>
  <si>
    <t>Salaries</t>
  </si>
  <si>
    <t>Owner + staff wages</t>
  </si>
  <si>
    <t>Shop + godown rent</t>
  </si>
  <si>
    <t>Electricity</t>
  </si>
  <si>
    <t>Electricity + generator</t>
  </si>
  <si>
    <t>Delivery + pickup costs</t>
  </si>
  <si>
    <t>Marketing</t>
  </si>
  <si>
    <t>Ads, pamphlets, social media</t>
  </si>
  <si>
    <t>Packaging</t>
  </si>
  <si>
    <t>Bags, boxes, tape</t>
  </si>
  <si>
    <t>Repairs &amp; Maintenance</t>
  </si>
  <si>
    <t>Equipment servicing</t>
  </si>
  <si>
    <t>Miscellaneous</t>
  </si>
  <si>
    <t>Petty expenses, sundry</t>
  </si>
  <si>
    <t>Depreciation</t>
  </si>
  <si>
    <t>Furniture + fixtures 10% p.a.</t>
  </si>
  <si>
    <t>TOTAL EXPENSES</t>
  </si>
  <si>
    <t>PART C: NET PROFIT / LOSS</t>
  </si>
  <si>
    <t>NET PROFIT / (LOSS)</t>
  </si>
  <si>
    <t>Total Income - 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</si>
</sst>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%"/>
    <numFmt numFmtId="165" formatCode="0.0\%"/>
    <numFmt numFmtId="166" formatCode="dd\-mmm\-yyyy"/>
    <numFmt numFmtId="167" formatCode="mmm\-yyyy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A1612"/>
      <name val="Arial"/>
      <charset val="1"/>
    </font>
    <font>
      <b/>
      <sz val="10"/>
      <color rgb="FF9B2226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612"/>
        <bgColor rgb="FF000000"/>
      </patternFill>
    </fill>
    <fill>
      <patternFill patternType="solid">
        <fgColor rgb="FFE8F4EA"/>
        <bgColor rgb="FFE0F2F2"/>
      </patternFill>
    </fill>
    <fill>
      <patternFill patternType="solid">
        <fgColor rgb="FFD6EAF8"/>
        <bgColor rgb="FFE0F2F2"/>
      </patternFill>
    </fill>
    <fill>
      <patternFill patternType="solid">
        <fgColor rgb="FFFEF3DC"/>
        <bgColor rgb="FFFCE8E9"/>
      </patternFill>
    </fill>
    <fill>
      <patternFill patternType="solid">
        <fgColor rgb="FFEDE8F7"/>
        <bgColor rgb="FFFCE8E9"/>
      </patternFill>
    </fill>
    <fill>
      <patternFill patternType="solid">
        <fgColor rgb="FFE0F2F2"/>
        <bgColor rgb="FFE8F4EA"/>
      </patternFill>
    </fill>
    <fill>
      <patternFill patternType="solid">
        <fgColor rgb="FFFCE8E9"/>
        <bgColor rgb="FFEDE8F7"/>
      </patternFill>
    </fill>
    <fill>
      <patternFill patternType="solid">
        <fgColor rgb="FF1A6B3A"/>
        <bgColor rgb="FF0D6B6B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4EA"/>
      </patternFill>
    </fill>
    <fill>
      <patternFill patternType="solid">
        <fgColor rgb="FF1A3657"/>
        <bgColor rgb="FF333333"/>
      </patternFill>
    </fill>
    <fill>
      <patternFill patternType="solid">
        <fgColor rgb="FF0D6B6B"/>
        <bgColor rgb="FF1A6B3A"/>
      </patternFill>
    </fill>
    <fill>
      <patternFill patternType="solid">
        <fgColor rgb="FFC45C1A"/>
        <bgColor rgb="FFB8860B"/>
      </patternFill>
    </fill>
    <fill>
      <patternFill patternType="solid">
        <fgColor rgb="FF5C3D8F"/>
        <bgColor rgb="FF666699"/>
      </patternFill>
    </fill>
    <fill>
      <patternFill patternType="solid">
        <fgColor rgb="FF9B2226"/>
        <bgColor rgb="FF993366"/>
      </patternFill>
    </fill>
    <fill>
      <patternFill patternType="solid">
        <fgColor rgb="FFB8860B"/>
        <bgColor rgb="FFC45C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3" fontId="3" fillId="10" borderId="1" xfId="0" applyNumberFormat="1" applyFont="1" applyFill="1" applyBorder="1" applyAlignment="1">
      <alignment horizontal="right" vertical="center"/>
    </xf>
    <xf numFmtId="3" fontId="3" fillId="10" borderId="1" xfId="0" applyNumberFormat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3" fontId="3" fillId="11" borderId="1" xfId="0" applyNumberFormat="1" applyFont="1" applyFill="1" applyBorder="1" applyAlignment="1">
      <alignment horizontal="right" vertical="center"/>
    </xf>
    <xf numFmtId="3" fontId="3" fillId="11" borderId="1" xfId="0" applyNumberFormat="1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3" fontId="0" fillId="11" borderId="1" xfId="0" applyNumberFormat="1" applyFill="1" applyBorder="1" applyAlignment="1">
      <alignment horizontal="right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 wrapText="1"/>
    </xf>
    <xf numFmtId="3" fontId="0" fillId="10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165" fontId="3" fillId="10" borderId="1" xfId="0" applyNumberFormat="1" applyFont="1" applyFill="1" applyBorder="1" applyAlignment="1">
      <alignment horizontal="right" vertical="center"/>
    </xf>
    <xf numFmtId="164" fontId="3" fillId="11" borderId="1" xfId="0" applyNumberFormat="1" applyFont="1" applyFill="1" applyBorder="1" applyAlignment="1">
      <alignment horizontal="right" vertical="center"/>
    </xf>
    <xf numFmtId="4" fontId="3" fillId="11" borderId="1" xfId="0" applyNumberFormat="1" applyFont="1" applyFill="1" applyBorder="1" applyAlignment="1">
      <alignment horizontal="right" vertical="center"/>
    </xf>
    <xf numFmtId="165" fontId="3" fillId="11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4" fillId="10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/>
    <xf numFmtId="0" fontId="2" fillId="17" borderId="1" xfId="0" applyFont="1" applyFill="1" applyBorder="1" applyAlignment="1">
      <alignment horizontal="center" vertical="center" wrapText="1"/>
    </xf>
    <xf numFmtId="166" fontId="3" fillId="10" borderId="1" xfId="0" applyNumberFormat="1" applyFont="1" applyFill="1" applyBorder="1" applyAlignment="1">
      <alignment horizontal="center" vertical="center" wrapText="1"/>
    </xf>
    <xf numFmtId="166" fontId="3" fillId="11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167" fontId="3" fillId="10" borderId="1" xfId="0" applyNumberFormat="1" applyFont="1" applyFill="1" applyBorder="1" applyAlignment="1">
      <alignment horizontal="left" vertical="center" wrapText="1"/>
    </xf>
    <xf numFmtId="1" fontId="3" fillId="10" borderId="1" xfId="0" applyNumberFormat="1" applyFont="1" applyFill="1" applyBorder="1" applyAlignment="1">
      <alignment horizontal="right" vertical="center"/>
    </xf>
    <xf numFmtId="167" fontId="3" fillId="11" borderId="1" xfId="0" applyNumberFormat="1" applyFont="1" applyFill="1" applyBorder="1" applyAlignment="1">
      <alignment horizontal="left" vertical="center" wrapText="1"/>
    </xf>
    <xf numFmtId="1" fontId="3" fillId="11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right" vertical="center"/>
    </xf>
    <xf numFmtId="4" fontId="4" fillId="8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3" fillId="0" borderId="1" xfId="0" applyFont="1" applyBorder="1"/>
    <xf numFmtId="3" fontId="10" fillId="3" borderId="1" xfId="0" applyNumberFormat="1" applyFont="1" applyFill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B8860B"/>
      <rgbColor rgb="FF800080"/>
      <rgbColor rgb="FF0D6B6B"/>
      <rgbColor rgb="FFCCCCCC"/>
      <rgbColor rgb="FF808080"/>
      <rgbColor rgb="FF9999FF"/>
      <rgbColor rgb="FF993366"/>
      <rgbColor rgb="FFFEF3DC"/>
      <rgbColor rgb="FFE0F2F2"/>
      <rgbColor rgb="FF660066"/>
      <rgbColor rgb="FFFF8080"/>
      <rgbColor rgb="FF0066CC"/>
      <rgbColor rgb="FFEDE8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8F4EA"/>
      <rgbColor rgb="FFFCE8E9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45C1A"/>
      <rgbColor rgb="FF666699"/>
      <rgbColor rgb="FF969696"/>
      <rgbColor rgb="FF1A3657"/>
      <rgbColor rgb="FF339966"/>
      <rgbColor rgb="FF003300"/>
      <rgbColor rgb="FF1A1612"/>
      <rgbColor rgb="FF9B2226"/>
      <rgbColor rgb="FF993366"/>
      <rgbColor rgb="FF5C3D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20" customWidth="1"/>
    <col min="3" max="3" width="30" customWidth="1"/>
    <col min="4" max="4" width="40" customWidth="1"/>
    <col min="5" max="5" width="14" customWidth="1"/>
  </cols>
  <sheetData>
    <row r="1" spans="1:6" ht="27.75" customHeight="1" x14ac:dyDescent="0.25">
      <c r="A1" s="14" t="s">
        <v>0</v>
      </c>
      <c r="B1" s="14"/>
      <c r="C1" s="14"/>
      <c r="D1" s="14"/>
      <c r="E1" s="14"/>
      <c r="F1" s="14"/>
    </row>
    <row r="2" spans="1:6" ht="21.75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/>
    </row>
    <row r="3" spans="1:6" ht="15" customHeight="1" x14ac:dyDescent="0.25">
      <c r="A3" s="16" t="s">
        <v>6</v>
      </c>
      <c r="B3" s="17" t="s">
        <v>7</v>
      </c>
      <c r="C3" s="18" t="s">
        <v>8</v>
      </c>
      <c r="D3" s="18" t="s">
        <v>9</v>
      </c>
      <c r="E3" s="16" t="s">
        <v>10</v>
      </c>
      <c r="F3" s="18"/>
    </row>
    <row r="4" spans="1:6" ht="15" customHeight="1" x14ac:dyDescent="0.25">
      <c r="A4" s="19" t="s">
        <v>11</v>
      </c>
      <c r="B4" s="20" t="s">
        <v>12</v>
      </c>
      <c r="C4" s="21" t="s">
        <v>13</v>
      </c>
      <c r="D4" s="21" t="s">
        <v>14</v>
      </c>
      <c r="E4" s="19" t="s">
        <v>15</v>
      </c>
      <c r="F4" s="21"/>
    </row>
    <row r="5" spans="1:6" ht="15" customHeight="1" x14ac:dyDescent="0.25">
      <c r="A5" s="22" t="s">
        <v>16</v>
      </c>
      <c r="B5" s="23" t="s">
        <v>17</v>
      </c>
      <c r="C5" s="24" t="s">
        <v>18</v>
      </c>
      <c r="D5" s="24" t="s">
        <v>19</v>
      </c>
      <c r="E5" s="22" t="s">
        <v>15</v>
      </c>
      <c r="F5" s="24"/>
    </row>
    <row r="6" spans="1:6" ht="15" customHeight="1" x14ac:dyDescent="0.25">
      <c r="A6" s="25" t="s">
        <v>20</v>
      </c>
      <c r="B6" s="26" t="s">
        <v>21</v>
      </c>
      <c r="C6" s="27" t="s">
        <v>22</v>
      </c>
      <c r="D6" s="27" t="s">
        <v>23</v>
      </c>
      <c r="E6" s="25" t="s">
        <v>15</v>
      </c>
      <c r="F6" s="27"/>
    </row>
    <row r="7" spans="1:6" ht="15" customHeight="1" x14ac:dyDescent="0.25">
      <c r="A7" s="28" t="s">
        <v>24</v>
      </c>
      <c r="B7" s="29" t="s">
        <v>25</v>
      </c>
      <c r="C7" s="30" t="s">
        <v>26</v>
      </c>
      <c r="D7" s="30" t="s">
        <v>27</v>
      </c>
      <c r="E7" s="28" t="s">
        <v>15</v>
      </c>
      <c r="F7" s="30"/>
    </row>
    <row r="8" spans="1:6" ht="15" customHeight="1" x14ac:dyDescent="0.25">
      <c r="A8" s="31" t="s">
        <v>28</v>
      </c>
      <c r="B8" s="32" t="s">
        <v>29</v>
      </c>
      <c r="C8" s="33" t="s">
        <v>30</v>
      </c>
      <c r="D8" s="33" t="s">
        <v>31</v>
      </c>
      <c r="E8" s="31" t="s">
        <v>15</v>
      </c>
      <c r="F8" s="33"/>
    </row>
    <row r="9" spans="1:6" ht="15" customHeight="1" x14ac:dyDescent="0.25">
      <c r="A9" s="22" t="s">
        <v>32</v>
      </c>
      <c r="B9" s="23" t="s">
        <v>33</v>
      </c>
      <c r="C9" s="24" t="s">
        <v>34</v>
      </c>
      <c r="D9" s="24" t="s">
        <v>35</v>
      </c>
      <c r="E9" s="22" t="s">
        <v>15</v>
      </c>
      <c r="F9" s="24"/>
    </row>
    <row r="10" spans="1:6" ht="23.25" customHeight="1" x14ac:dyDescent="0.25">
      <c r="A10" s="16" t="s">
        <v>36</v>
      </c>
      <c r="B10" s="17" t="s">
        <v>37</v>
      </c>
      <c r="C10" s="18" t="s">
        <v>38</v>
      </c>
      <c r="D10" s="18" t="s">
        <v>39</v>
      </c>
      <c r="E10" s="16" t="s">
        <v>15</v>
      </c>
      <c r="F10" s="18"/>
    </row>
    <row r="11" spans="1:6" ht="15" customHeight="1" x14ac:dyDescent="0.25">
      <c r="A11" s="31" t="s">
        <v>40</v>
      </c>
      <c r="B11" s="32" t="s">
        <v>41</v>
      </c>
      <c r="C11" s="33" t="s">
        <v>42</v>
      </c>
      <c r="D11" s="33" t="s">
        <v>43</v>
      </c>
      <c r="E11" s="31" t="s">
        <v>15</v>
      </c>
      <c r="F11" s="33"/>
    </row>
    <row r="12" spans="1:6" ht="15" customHeight="1" x14ac:dyDescent="0.25">
      <c r="A12" s="19" t="s">
        <v>44</v>
      </c>
      <c r="B12" s="20" t="s">
        <v>45</v>
      </c>
      <c r="C12" s="21" t="s">
        <v>46</v>
      </c>
      <c r="D12" s="21" t="s">
        <v>47</v>
      </c>
      <c r="E12" s="19" t="s">
        <v>15</v>
      </c>
      <c r="F12" s="2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4" customWidth="1"/>
    <col min="3" max="3" width="18" customWidth="1"/>
    <col min="4" max="4" width="14" customWidth="1"/>
    <col min="5" max="5" width="16" customWidth="1"/>
    <col min="6" max="6" width="10" customWidth="1"/>
    <col min="7" max="7" width="18" customWidth="1"/>
    <col min="8" max="8" width="14" customWidth="1"/>
  </cols>
  <sheetData>
    <row r="1" spans="1:8" ht="27.75" customHeight="1" x14ac:dyDescent="0.25">
      <c r="A1" s="13" t="s">
        <v>48</v>
      </c>
      <c r="B1" s="13"/>
      <c r="C1" s="13"/>
      <c r="D1" s="13"/>
      <c r="E1" s="13"/>
      <c r="F1" s="13"/>
      <c r="G1" s="13"/>
      <c r="H1" s="13"/>
    </row>
    <row r="2" spans="1:8" ht="21.75" customHeight="1" x14ac:dyDescent="0.25">
      <c r="A2" s="34" t="s">
        <v>49</v>
      </c>
      <c r="B2" s="34" t="s">
        <v>50</v>
      </c>
      <c r="C2" s="34" t="s">
        <v>51</v>
      </c>
      <c r="D2" s="34" t="s">
        <v>52</v>
      </c>
      <c r="E2" s="34" t="s">
        <v>53</v>
      </c>
      <c r="F2" s="34" t="s">
        <v>54</v>
      </c>
      <c r="G2" s="34" t="s">
        <v>55</v>
      </c>
      <c r="H2" s="34" t="s">
        <v>56</v>
      </c>
    </row>
    <row r="3" spans="1:8" ht="15" customHeight="1" x14ac:dyDescent="0.25">
      <c r="A3" s="35" t="s">
        <v>57</v>
      </c>
      <c r="B3" s="36" t="s">
        <v>58</v>
      </c>
      <c r="C3" s="36" t="s">
        <v>59</v>
      </c>
      <c r="D3" s="37">
        <v>8000</v>
      </c>
      <c r="E3" s="35" t="s">
        <v>60</v>
      </c>
      <c r="F3" s="35" t="s">
        <v>61</v>
      </c>
      <c r="G3" s="38">
        <v>8000</v>
      </c>
      <c r="H3" s="35" t="str">
        <f t="shared" ref="H3:H16" si="0">IF(SUMIF($C$3:$C$16,C3,$D$3:$D$16)&gt;G3,"Over Budget","Under Budget")</f>
        <v>Under Budget</v>
      </c>
    </row>
    <row r="4" spans="1:8" ht="15" customHeight="1" x14ac:dyDescent="0.25">
      <c r="A4" s="39" t="s">
        <v>62</v>
      </c>
      <c r="B4" s="40" t="s">
        <v>63</v>
      </c>
      <c r="C4" s="40" t="s">
        <v>64</v>
      </c>
      <c r="D4" s="41">
        <v>2340</v>
      </c>
      <c r="E4" s="39" t="s">
        <v>65</v>
      </c>
      <c r="F4" s="39" t="s">
        <v>61</v>
      </c>
      <c r="G4" s="42">
        <v>8000</v>
      </c>
      <c r="H4" s="39" t="str">
        <f t="shared" si="0"/>
        <v>Under Budget</v>
      </c>
    </row>
    <row r="5" spans="1:8" ht="15" customHeight="1" x14ac:dyDescent="0.25">
      <c r="A5" s="35" t="s">
        <v>66</v>
      </c>
      <c r="B5" s="36" t="s">
        <v>67</v>
      </c>
      <c r="C5" s="36" t="s">
        <v>68</v>
      </c>
      <c r="D5" s="37">
        <v>800</v>
      </c>
      <c r="E5" s="35" t="s">
        <v>69</v>
      </c>
      <c r="F5" s="35" t="s">
        <v>70</v>
      </c>
      <c r="G5" s="38">
        <v>3000</v>
      </c>
      <c r="H5" s="35" t="str">
        <f t="shared" si="0"/>
        <v>Under Budget</v>
      </c>
    </row>
    <row r="6" spans="1:8" ht="15" customHeight="1" x14ac:dyDescent="0.25">
      <c r="A6" s="39" t="s">
        <v>71</v>
      </c>
      <c r="B6" s="40" t="s">
        <v>72</v>
      </c>
      <c r="C6" s="40" t="s">
        <v>64</v>
      </c>
      <c r="D6" s="41">
        <v>480</v>
      </c>
      <c r="E6" s="39" t="s">
        <v>65</v>
      </c>
      <c r="F6" s="39" t="s">
        <v>70</v>
      </c>
      <c r="G6" s="42">
        <v>8000</v>
      </c>
      <c r="H6" s="39" t="str">
        <f t="shared" si="0"/>
        <v>Under Budget</v>
      </c>
    </row>
    <row r="7" spans="1:8" ht="15" customHeight="1" x14ac:dyDescent="0.25">
      <c r="A7" s="35" t="s">
        <v>73</v>
      </c>
      <c r="B7" s="36" t="s">
        <v>74</v>
      </c>
      <c r="C7" s="36" t="s">
        <v>75</v>
      </c>
      <c r="D7" s="37">
        <v>299</v>
      </c>
      <c r="E7" s="35" t="s">
        <v>76</v>
      </c>
      <c r="F7" s="35" t="s">
        <v>61</v>
      </c>
      <c r="G7" s="38">
        <v>1500</v>
      </c>
      <c r="H7" s="35" t="str">
        <f t="shared" si="0"/>
        <v>Over Budget</v>
      </c>
    </row>
    <row r="8" spans="1:8" ht="15" customHeight="1" x14ac:dyDescent="0.25">
      <c r="A8" s="39" t="s">
        <v>77</v>
      </c>
      <c r="B8" s="40" t="s">
        <v>78</v>
      </c>
      <c r="C8" s="40" t="s">
        <v>79</v>
      </c>
      <c r="D8" s="41">
        <v>600</v>
      </c>
      <c r="E8" s="39" t="s">
        <v>65</v>
      </c>
      <c r="F8" s="39" t="s">
        <v>70</v>
      </c>
      <c r="G8" s="42">
        <v>2000</v>
      </c>
      <c r="H8" s="39" t="str">
        <f t="shared" si="0"/>
        <v>Under Budget</v>
      </c>
    </row>
    <row r="9" spans="1:8" ht="15" customHeight="1" x14ac:dyDescent="0.25">
      <c r="A9" s="35" t="s">
        <v>80</v>
      </c>
      <c r="B9" s="36" t="s">
        <v>81</v>
      </c>
      <c r="C9" s="36" t="s">
        <v>64</v>
      </c>
      <c r="D9" s="37">
        <v>1800</v>
      </c>
      <c r="E9" s="35" t="s">
        <v>69</v>
      </c>
      <c r="F9" s="35" t="s">
        <v>70</v>
      </c>
      <c r="G9" s="38">
        <v>8000</v>
      </c>
      <c r="H9" s="35" t="str">
        <f t="shared" si="0"/>
        <v>Under Budget</v>
      </c>
    </row>
    <row r="10" spans="1:8" ht="15" customHeight="1" x14ac:dyDescent="0.25">
      <c r="A10" s="39" t="s">
        <v>82</v>
      </c>
      <c r="B10" s="40" t="s">
        <v>83</v>
      </c>
      <c r="C10" s="40" t="s">
        <v>75</v>
      </c>
      <c r="D10" s="41">
        <v>1200</v>
      </c>
      <c r="E10" s="39" t="s">
        <v>60</v>
      </c>
      <c r="F10" s="39" t="s">
        <v>61</v>
      </c>
      <c r="G10" s="42">
        <v>1500</v>
      </c>
      <c r="H10" s="39" t="str">
        <f t="shared" si="0"/>
        <v>Over Budget</v>
      </c>
    </row>
    <row r="11" spans="1:8" ht="15" customHeight="1" x14ac:dyDescent="0.25">
      <c r="A11" s="35" t="s">
        <v>84</v>
      </c>
      <c r="B11" s="36" t="s">
        <v>85</v>
      </c>
      <c r="C11" s="36" t="s">
        <v>86</v>
      </c>
      <c r="D11" s="37">
        <v>1500</v>
      </c>
      <c r="E11" s="35" t="s">
        <v>87</v>
      </c>
      <c r="F11" s="35" t="s">
        <v>61</v>
      </c>
      <c r="G11" s="38">
        <v>2000</v>
      </c>
      <c r="H11" s="35" t="str">
        <f t="shared" si="0"/>
        <v>Under Budget</v>
      </c>
    </row>
    <row r="12" spans="1:8" ht="15" customHeight="1" x14ac:dyDescent="0.25">
      <c r="A12" s="39" t="s">
        <v>88</v>
      </c>
      <c r="B12" s="40" t="s">
        <v>89</v>
      </c>
      <c r="C12" s="40" t="s">
        <v>64</v>
      </c>
      <c r="D12" s="41">
        <v>1850</v>
      </c>
      <c r="E12" s="39" t="s">
        <v>65</v>
      </c>
      <c r="F12" s="39" t="s">
        <v>70</v>
      </c>
      <c r="G12" s="42">
        <v>8000</v>
      </c>
      <c r="H12" s="39" t="str">
        <f t="shared" si="0"/>
        <v>Under Budget</v>
      </c>
    </row>
    <row r="13" spans="1:8" ht="15" customHeight="1" x14ac:dyDescent="0.25">
      <c r="A13" s="35" t="s">
        <v>90</v>
      </c>
      <c r="B13" s="36" t="s">
        <v>91</v>
      </c>
      <c r="C13" s="36" t="s">
        <v>68</v>
      </c>
      <c r="D13" s="37">
        <v>650</v>
      </c>
      <c r="E13" s="35" t="s">
        <v>65</v>
      </c>
      <c r="F13" s="35" t="s">
        <v>70</v>
      </c>
      <c r="G13" s="38">
        <v>3000</v>
      </c>
      <c r="H13" s="35" t="str">
        <f t="shared" si="0"/>
        <v>Under Budget</v>
      </c>
    </row>
    <row r="14" spans="1:8" ht="15" customHeight="1" x14ac:dyDescent="0.25">
      <c r="A14" s="39" t="s">
        <v>92</v>
      </c>
      <c r="B14" s="40" t="s">
        <v>93</v>
      </c>
      <c r="C14" s="40" t="s">
        <v>86</v>
      </c>
      <c r="D14" s="41">
        <v>380</v>
      </c>
      <c r="E14" s="39" t="s">
        <v>69</v>
      </c>
      <c r="F14" s="39" t="s">
        <v>70</v>
      </c>
      <c r="G14" s="42">
        <v>2000</v>
      </c>
      <c r="H14" s="39" t="str">
        <f t="shared" si="0"/>
        <v>Under Budget</v>
      </c>
    </row>
    <row r="15" spans="1:8" ht="15" customHeight="1" x14ac:dyDescent="0.25">
      <c r="A15" s="35" t="s">
        <v>94</v>
      </c>
      <c r="B15" s="36" t="s">
        <v>95</v>
      </c>
      <c r="C15" s="36" t="s">
        <v>96</v>
      </c>
      <c r="D15" s="37">
        <v>2200</v>
      </c>
      <c r="E15" s="35" t="s">
        <v>87</v>
      </c>
      <c r="F15" s="35" t="s">
        <v>61</v>
      </c>
      <c r="G15" s="38">
        <v>3000</v>
      </c>
      <c r="H15" s="35" t="str">
        <f t="shared" si="0"/>
        <v>Under Budget</v>
      </c>
    </row>
    <row r="16" spans="1:8" ht="15" customHeight="1" x14ac:dyDescent="0.25">
      <c r="A16" s="39" t="s">
        <v>97</v>
      </c>
      <c r="B16" s="40" t="s">
        <v>98</v>
      </c>
      <c r="C16" s="40" t="s">
        <v>75</v>
      </c>
      <c r="D16" s="41">
        <v>799</v>
      </c>
      <c r="E16" s="39" t="s">
        <v>76</v>
      </c>
      <c r="F16" s="39" t="s">
        <v>61</v>
      </c>
      <c r="G16" s="42">
        <v>1500</v>
      </c>
      <c r="H16" s="39" t="str">
        <f t="shared" si="0"/>
        <v>Over Budget</v>
      </c>
    </row>
    <row r="18" spans="1:8" ht="21.75" customHeight="1" x14ac:dyDescent="0.25">
      <c r="A18" s="12" t="s">
        <v>99</v>
      </c>
      <c r="B18" s="12"/>
      <c r="C18" s="12"/>
      <c r="D18" s="12"/>
      <c r="E18" s="12"/>
      <c r="F18" s="12"/>
      <c r="G18" s="12"/>
      <c r="H18" s="12"/>
    </row>
    <row r="19" spans="1:8" ht="21.75" customHeight="1" x14ac:dyDescent="0.25">
      <c r="A19" s="43" t="s">
        <v>51</v>
      </c>
      <c r="B19" s="43" t="s">
        <v>100</v>
      </c>
      <c r="C19" s="43" t="s">
        <v>101</v>
      </c>
      <c r="D19" s="43" t="s">
        <v>102</v>
      </c>
      <c r="E19" s="43" t="s">
        <v>56</v>
      </c>
      <c r="F19" s="43" t="s">
        <v>103</v>
      </c>
      <c r="G19" s="43"/>
      <c r="H19" s="43"/>
    </row>
    <row r="20" spans="1:8" ht="23.25" customHeight="1" x14ac:dyDescent="0.25">
      <c r="A20" s="44" t="s">
        <v>64</v>
      </c>
      <c r="B20" s="45">
        <f t="shared" ref="B20:B26" si="1">SUMIF($C$3:$C$16,A20,$D$3:$D$16)</f>
        <v>6470</v>
      </c>
      <c r="C20" s="45">
        <v>8000</v>
      </c>
      <c r="D20" s="45">
        <f t="shared" ref="D20:D26" si="2">C20-B20</f>
        <v>1530</v>
      </c>
      <c r="E20" s="46" t="str">
        <f t="shared" ref="E20:E26" si="3">IF(B20&gt;C20,"Over Budget","Under Budget")</f>
        <v>Under Budget</v>
      </c>
      <c r="F20" s="47">
        <f t="shared" ref="F20:F26" si="4">COUNTIF($C$3:$C$16,A20)</f>
        <v>4</v>
      </c>
    </row>
    <row r="21" spans="1:8" ht="15" customHeight="1" x14ac:dyDescent="0.25">
      <c r="A21" s="48" t="s">
        <v>68</v>
      </c>
      <c r="B21" s="49">
        <f t="shared" si="1"/>
        <v>1450</v>
      </c>
      <c r="C21" s="49">
        <v>3000</v>
      </c>
      <c r="D21" s="49">
        <f t="shared" si="2"/>
        <v>1550</v>
      </c>
      <c r="E21" s="50" t="str">
        <f t="shared" si="3"/>
        <v>Under Budget</v>
      </c>
      <c r="F21" s="51">
        <f t="shared" si="4"/>
        <v>2</v>
      </c>
    </row>
    <row r="22" spans="1:8" ht="15" customHeight="1" x14ac:dyDescent="0.25">
      <c r="A22" s="44" t="s">
        <v>75</v>
      </c>
      <c r="B22" s="45">
        <f t="shared" si="1"/>
        <v>2298</v>
      </c>
      <c r="C22" s="45">
        <v>1500</v>
      </c>
      <c r="D22" s="45">
        <f t="shared" si="2"/>
        <v>-798</v>
      </c>
      <c r="E22" s="46" t="str">
        <f t="shared" si="3"/>
        <v>Over Budget</v>
      </c>
      <c r="F22" s="47">
        <f t="shared" si="4"/>
        <v>3</v>
      </c>
    </row>
    <row r="23" spans="1:8" ht="15" customHeight="1" x14ac:dyDescent="0.25">
      <c r="A23" s="48" t="s">
        <v>86</v>
      </c>
      <c r="B23" s="49">
        <f t="shared" si="1"/>
        <v>1880</v>
      </c>
      <c r="C23" s="49">
        <v>2000</v>
      </c>
      <c r="D23" s="49">
        <f t="shared" si="2"/>
        <v>120</v>
      </c>
      <c r="E23" s="50" t="str">
        <f t="shared" si="3"/>
        <v>Under Budget</v>
      </c>
      <c r="F23" s="51">
        <f t="shared" si="4"/>
        <v>2</v>
      </c>
    </row>
    <row r="24" spans="1:8" ht="15" customHeight="1" x14ac:dyDescent="0.25">
      <c r="A24" s="44" t="s">
        <v>79</v>
      </c>
      <c r="B24" s="45">
        <f t="shared" si="1"/>
        <v>600</v>
      </c>
      <c r="C24" s="45">
        <v>2000</v>
      </c>
      <c r="D24" s="45">
        <f t="shared" si="2"/>
        <v>1400</v>
      </c>
      <c r="E24" s="46" t="str">
        <f t="shared" si="3"/>
        <v>Under Budget</v>
      </c>
      <c r="F24" s="47">
        <f t="shared" si="4"/>
        <v>1</v>
      </c>
    </row>
    <row r="25" spans="1:8" ht="15" customHeight="1" x14ac:dyDescent="0.25">
      <c r="A25" s="48" t="s">
        <v>96</v>
      </c>
      <c r="B25" s="49">
        <f t="shared" si="1"/>
        <v>2200</v>
      </c>
      <c r="C25" s="49">
        <v>3000</v>
      </c>
      <c r="D25" s="49">
        <f t="shared" si="2"/>
        <v>800</v>
      </c>
      <c r="E25" s="50" t="str">
        <f t="shared" si="3"/>
        <v>Under Budget</v>
      </c>
      <c r="F25" s="51">
        <f t="shared" si="4"/>
        <v>1</v>
      </c>
    </row>
    <row r="26" spans="1:8" ht="15" customHeight="1" x14ac:dyDescent="0.25">
      <c r="A26" s="44" t="s">
        <v>59</v>
      </c>
      <c r="B26" s="45">
        <f t="shared" si="1"/>
        <v>8000</v>
      </c>
      <c r="C26" s="45">
        <v>8000</v>
      </c>
      <c r="D26" s="45">
        <f t="shared" si="2"/>
        <v>0</v>
      </c>
      <c r="E26" s="46" t="str">
        <f t="shared" si="3"/>
        <v>Under Budget</v>
      </c>
      <c r="F26" s="47">
        <f t="shared" si="4"/>
        <v>1</v>
      </c>
    </row>
    <row r="28" spans="1:8" ht="21.75" customHeight="1" x14ac:dyDescent="0.25">
      <c r="A28" s="11" t="s">
        <v>104</v>
      </c>
      <c r="B28" s="11"/>
      <c r="C28" s="11"/>
      <c r="D28" s="11"/>
      <c r="E28" s="11"/>
      <c r="F28" s="11"/>
      <c r="G28" s="11"/>
      <c r="H28" s="11"/>
    </row>
    <row r="29" spans="1:8" ht="21.75" customHeight="1" x14ac:dyDescent="0.25">
      <c r="A29" s="52" t="s">
        <v>105</v>
      </c>
      <c r="B29" s="52" t="s">
        <v>106</v>
      </c>
      <c r="C29" s="52" t="s">
        <v>107</v>
      </c>
      <c r="D29" s="52" t="s">
        <v>108</v>
      </c>
      <c r="E29" s="52" t="s">
        <v>109</v>
      </c>
      <c r="F29" s="52"/>
      <c r="G29" s="52"/>
      <c r="H29" s="52"/>
    </row>
    <row r="30" spans="1:8" ht="15" customHeight="1" x14ac:dyDescent="0.25">
      <c r="A30" s="53">
        <f>SUMIF($E$3:$E$16,"UPI",$D$3:$D$16)</f>
        <v>5920</v>
      </c>
      <c r="B30" s="53">
        <f>SUMIF($E$3:$E$16,"Cash",$D$3:$D$16)</f>
        <v>2980</v>
      </c>
      <c r="C30" s="53">
        <f>SUMIF($E$3:$E$16,"Card",$D$3:$D$16)</f>
        <v>3700</v>
      </c>
      <c r="D30" s="53">
        <f>SUMIF($E$3:$E$16,"Auto-debit",$D$3:$D$16)</f>
        <v>1098</v>
      </c>
      <c r="E30" s="53">
        <f>ROUND(SUM($D$3:$D$16),0)</f>
        <v>22898</v>
      </c>
    </row>
  </sheetData>
  <mergeCells count="3">
    <mergeCell ref="A1:H1"/>
    <mergeCell ref="A18:H18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zoomScaleNormal="100" workbookViewId="0">
      <pane ySplit="12" topLeftCell="A1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8" customWidth="1"/>
    <col min="3" max="3" width="8" customWidth="1"/>
    <col min="4" max="5" width="14" customWidth="1"/>
    <col min="6" max="6" width="16" customWidth="1"/>
    <col min="7" max="8" width="14" customWidth="1"/>
    <col min="9" max="9" width="18" customWidth="1"/>
  </cols>
  <sheetData>
    <row r="1" spans="1:9" ht="27.75" customHeight="1" x14ac:dyDescent="0.25">
      <c r="A1" s="10" t="s">
        <v>110</v>
      </c>
      <c r="B1" s="10"/>
      <c r="C1" s="10"/>
      <c r="D1" s="10"/>
      <c r="E1" s="10"/>
      <c r="F1" s="10"/>
      <c r="G1" s="10"/>
      <c r="H1" s="10"/>
      <c r="I1" s="10"/>
    </row>
    <row r="2" spans="1:9" ht="21.75" customHeight="1" x14ac:dyDescent="0.25">
      <c r="A2" s="11" t="s">
        <v>111</v>
      </c>
      <c r="B2" s="11"/>
      <c r="C2" s="11"/>
      <c r="D2" s="11"/>
      <c r="E2" s="11"/>
      <c r="F2" s="11"/>
      <c r="G2" s="11"/>
      <c r="H2" s="11"/>
      <c r="I2" s="11"/>
    </row>
    <row r="3" spans="1:9" ht="21.75" customHeight="1" x14ac:dyDescent="0.25">
      <c r="A3" s="52" t="s">
        <v>112</v>
      </c>
      <c r="B3" s="52" t="s">
        <v>113</v>
      </c>
      <c r="C3" s="52" t="s">
        <v>114</v>
      </c>
      <c r="D3" s="52" t="s">
        <v>115</v>
      </c>
      <c r="E3" s="52" t="s">
        <v>116</v>
      </c>
      <c r="F3" s="52" t="s">
        <v>117</v>
      </c>
      <c r="G3" s="52"/>
      <c r="H3" s="52"/>
      <c r="I3" s="52"/>
    </row>
    <row r="4" spans="1:9" ht="15" customHeight="1" x14ac:dyDescent="0.25">
      <c r="A4" s="39" t="s">
        <v>118</v>
      </c>
      <c r="B4" s="40" t="s">
        <v>119</v>
      </c>
      <c r="C4" s="40" t="s">
        <v>120</v>
      </c>
      <c r="D4" s="40" t="s">
        <v>121</v>
      </c>
      <c r="E4" s="40" t="s">
        <v>122</v>
      </c>
      <c r="F4" s="41">
        <v>2500</v>
      </c>
      <c r="G4" s="40"/>
      <c r="H4" s="40"/>
      <c r="I4" s="40"/>
    </row>
    <row r="5" spans="1:9" ht="15" customHeight="1" x14ac:dyDescent="0.25">
      <c r="A5" s="35" t="s">
        <v>123</v>
      </c>
      <c r="B5" s="36" t="s">
        <v>124</v>
      </c>
      <c r="C5" s="36" t="s">
        <v>125</v>
      </c>
      <c r="D5" s="36" t="s">
        <v>126</v>
      </c>
      <c r="E5" s="36" t="s">
        <v>127</v>
      </c>
      <c r="F5" s="37">
        <v>2500</v>
      </c>
      <c r="G5" s="36"/>
      <c r="H5" s="36"/>
      <c r="I5" s="36"/>
    </row>
    <row r="6" spans="1:9" ht="15" customHeight="1" x14ac:dyDescent="0.25">
      <c r="A6" s="39" t="s">
        <v>128</v>
      </c>
      <c r="B6" s="40" t="s">
        <v>129</v>
      </c>
      <c r="C6" s="40" t="s">
        <v>120</v>
      </c>
      <c r="D6" s="40" t="s">
        <v>130</v>
      </c>
      <c r="E6" s="40" t="s">
        <v>131</v>
      </c>
      <c r="F6" s="41">
        <v>2500</v>
      </c>
      <c r="G6" s="40"/>
      <c r="H6" s="40"/>
      <c r="I6" s="40"/>
    </row>
    <row r="7" spans="1:9" ht="15" customHeight="1" x14ac:dyDescent="0.25">
      <c r="A7" s="35" t="s">
        <v>132</v>
      </c>
      <c r="B7" s="36" t="s">
        <v>133</v>
      </c>
      <c r="C7" s="36" t="s">
        <v>125</v>
      </c>
      <c r="D7" s="36" t="s">
        <v>134</v>
      </c>
      <c r="E7" s="36" t="s">
        <v>135</v>
      </c>
      <c r="F7" s="37">
        <v>2000</v>
      </c>
      <c r="G7" s="36"/>
      <c r="H7" s="36"/>
      <c r="I7" s="36"/>
    </row>
    <row r="8" spans="1:9" ht="15" customHeight="1" x14ac:dyDescent="0.25">
      <c r="A8" s="39" t="s">
        <v>136</v>
      </c>
      <c r="B8" s="40" t="s">
        <v>137</v>
      </c>
      <c r="C8" s="40" t="s">
        <v>138</v>
      </c>
      <c r="D8" s="40" t="s">
        <v>139</v>
      </c>
      <c r="E8" s="40" t="s">
        <v>140</v>
      </c>
      <c r="F8" s="41">
        <v>2000</v>
      </c>
      <c r="G8" s="40"/>
      <c r="H8" s="40"/>
      <c r="I8" s="40"/>
    </row>
    <row r="9" spans="1:9" ht="15" customHeight="1" x14ac:dyDescent="0.25">
      <c r="A9" s="35" t="s">
        <v>141</v>
      </c>
      <c r="B9" s="36" t="s">
        <v>142</v>
      </c>
      <c r="C9" s="36" t="s">
        <v>120</v>
      </c>
      <c r="D9" s="36" t="s">
        <v>143</v>
      </c>
      <c r="E9" s="36" t="s">
        <v>144</v>
      </c>
      <c r="F9" s="37">
        <v>2500</v>
      </c>
      <c r="G9" s="36"/>
      <c r="H9" s="36"/>
      <c r="I9" s="36"/>
    </row>
    <row r="11" spans="1:9" ht="21.75" customHeight="1" x14ac:dyDescent="0.25">
      <c r="A11" s="9" t="s">
        <v>145</v>
      </c>
      <c r="B11" s="9"/>
      <c r="C11" s="9"/>
      <c r="D11" s="9"/>
      <c r="E11" s="9"/>
      <c r="F11" s="9"/>
      <c r="G11" s="9"/>
      <c r="H11" s="9"/>
      <c r="I11" s="9"/>
    </row>
    <row r="12" spans="1:9" ht="21.75" customHeight="1" x14ac:dyDescent="0.25">
      <c r="A12" s="34" t="s">
        <v>112</v>
      </c>
      <c r="B12" s="34" t="s">
        <v>146</v>
      </c>
      <c r="C12" s="34" t="s">
        <v>114</v>
      </c>
      <c r="D12" s="34" t="s">
        <v>147</v>
      </c>
      <c r="E12" s="34" t="s">
        <v>148</v>
      </c>
      <c r="F12" s="34" t="s">
        <v>149</v>
      </c>
      <c r="G12" s="34" t="s">
        <v>150</v>
      </c>
      <c r="H12" s="34" t="s">
        <v>151</v>
      </c>
      <c r="I12" s="34" t="s">
        <v>56</v>
      </c>
    </row>
    <row r="13" spans="1:9" ht="15" customHeight="1" x14ac:dyDescent="0.25">
      <c r="A13" s="35" t="s">
        <v>118</v>
      </c>
      <c r="B13" s="36" t="str">
        <f t="shared" ref="B13:B18" si="0">IFERROR(VLOOKUP(A13,$A$4:$F$9,2,0),"")</f>
        <v>Aarav Mehta</v>
      </c>
      <c r="C13" s="36" t="str">
        <f t="shared" ref="C13:C18" si="1">IFERROR(VLOOKUP(A13,$A$4:$F$9,3,0),"")</f>
        <v>10A</v>
      </c>
      <c r="D13" s="37">
        <f t="shared" ref="D13:D18" si="2">IFERROR(VLOOKUP(A13,$A$4:$F$9,6,0),0)</f>
        <v>2500</v>
      </c>
      <c r="E13" s="35" t="s">
        <v>71</v>
      </c>
      <c r="F13" s="37">
        <v>2500</v>
      </c>
      <c r="G13" s="37">
        <f t="shared" ref="G13:G18" si="3">D13-F13</f>
        <v>0</v>
      </c>
      <c r="H13" s="54">
        <f t="shared" ref="H13:H18" ca="1" si="4">IF(G13&lt;=0,0,IF(E13="",TODAY()-DATE(2025,6,5),MAX(0,TODAY()-DATE(2025,6,5))))</f>
        <v>0</v>
      </c>
      <c r="I13" s="36" t="str">
        <f t="shared" ref="I13:I18" si="5">IF(G13&lt;=0,"Paid",IF(H13&gt;30,"Overdue &gt;30 days",IF(H13&gt;0,"Overdue","Paid")))</f>
        <v>Paid</v>
      </c>
    </row>
    <row r="14" spans="1:9" ht="15" customHeight="1" x14ac:dyDescent="0.25">
      <c r="A14" s="39" t="s">
        <v>123</v>
      </c>
      <c r="B14" s="40" t="str">
        <f t="shared" si="0"/>
        <v>Priya Sharma</v>
      </c>
      <c r="C14" s="40" t="str">
        <f t="shared" si="1"/>
        <v>9B</v>
      </c>
      <c r="D14" s="41">
        <f t="shared" si="2"/>
        <v>2500</v>
      </c>
      <c r="E14" s="39" t="s">
        <v>80</v>
      </c>
      <c r="F14" s="41">
        <v>2500</v>
      </c>
      <c r="G14" s="41">
        <f t="shared" si="3"/>
        <v>0</v>
      </c>
      <c r="H14" s="55">
        <f t="shared" ca="1" si="4"/>
        <v>0</v>
      </c>
      <c r="I14" s="40" t="str">
        <f t="shared" si="5"/>
        <v>Paid</v>
      </c>
    </row>
    <row r="15" spans="1:9" ht="15" customHeight="1" x14ac:dyDescent="0.25">
      <c r="A15" s="35" t="s">
        <v>128</v>
      </c>
      <c r="B15" s="36" t="str">
        <f t="shared" si="0"/>
        <v>Rajan Verma</v>
      </c>
      <c r="C15" s="36" t="str">
        <f t="shared" si="1"/>
        <v>10A</v>
      </c>
      <c r="D15" s="37">
        <f t="shared" si="2"/>
        <v>2500</v>
      </c>
      <c r="E15" s="35"/>
      <c r="F15" s="37">
        <v>0</v>
      </c>
      <c r="G15" s="37">
        <f t="shared" si="3"/>
        <v>2500</v>
      </c>
      <c r="H15" s="54">
        <f t="shared" ca="1" si="4"/>
        <v>355</v>
      </c>
      <c r="I15" s="36" t="str">
        <f t="shared" ca="1" si="5"/>
        <v>Overdue &gt;30 days</v>
      </c>
    </row>
    <row r="16" spans="1:9" ht="15" customHeight="1" x14ac:dyDescent="0.25">
      <c r="A16" s="39" t="s">
        <v>132</v>
      </c>
      <c r="B16" s="40" t="str">
        <f t="shared" si="0"/>
        <v>Nisha Gupta</v>
      </c>
      <c r="C16" s="40" t="str">
        <f t="shared" si="1"/>
        <v>9B</v>
      </c>
      <c r="D16" s="41">
        <f t="shared" si="2"/>
        <v>2000</v>
      </c>
      <c r="E16" s="39" t="s">
        <v>152</v>
      </c>
      <c r="F16" s="41">
        <v>1000</v>
      </c>
      <c r="G16" s="41">
        <f t="shared" si="3"/>
        <v>1000</v>
      </c>
      <c r="H16" s="55">
        <f t="shared" ca="1" si="4"/>
        <v>355</v>
      </c>
      <c r="I16" s="40" t="str">
        <f t="shared" ca="1" si="5"/>
        <v>Overdue &gt;30 days</v>
      </c>
    </row>
    <row r="17" spans="1:9" ht="15" customHeight="1" x14ac:dyDescent="0.25">
      <c r="A17" s="35" t="s">
        <v>136</v>
      </c>
      <c r="B17" s="36" t="str">
        <f t="shared" si="0"/>
        <v>Arjun Kumar</v>
      </c>
      <c r="C17" s="36" t="str">
        <f t="shared" si="1"/>
        <v>8C</v>
      </c>
      <c r="D17" s="37">
        <f t="shared" si="2"/>
        <v>2000</v>
      </c>
      <c r="E17" s="35"/>
      <c r="F17" s="37">
        <v>0</v>
      </c>
      <c r="G17" s="37">
        <f t="shared" si="3"/>
        <v>2000</v>
      </c>
      <c r="H17" s="54">
        <f t="shared" ca="1" si="4"/>
        <v>355</v>
      </c>
      <c r="I17" s="36" t="str">
        <f t="shared" ca="1" si="5"/>
        <v>Overdue &gt;30 days</v>
      </c>
    </row>
    <row r="18" spans="1:9" ht="15" customHeight="1" x14ac:dyDescent="0.25">
      <c r="A18" s="39" t="s">
        <v>141</v>
      </c>
      <c r="B18" s="40" t="str">
        <f t="shared" si="0"/>
        <v>Divya Nair</v>
      </c>
      <c r="C18" s="40" t="str">
        <f t="shared" si="1"/>
        <v>10A</v>
      </c>
      <c r="D18" s="41">
        <f t="shared" si="2"/>
        <v>2500</v>
      </c>
      <c r="E18" s="39" t="s">
        <v>66</v>
      </c>
      <c r="F18" s="41">
        <v>2500</v>
      </c>
      <c r="G18" s="41">
        <f t="shared" si="3"/>
        <v>0</v>
      </c>
      <c r="H18" s="55">
        <f t="shared" ca="1" si="4"/>
        <v>0</v>
      </c>
      <c r="I18" s="40" t="str">
        <f t="shared" si="5"/>
        <v>Paid</v>
      </c>
    </row>
    <row r="20" spans="1:9" ht="21.75" customHeight="1" x14ac:dyDescent="0.25">
      <c r="A20" s="12" t="s">
        <v>153</v>
      </c>
      <c r="B20" s="12"/>
      <c r="C20" s="12"/>
      <c r="D20" s="12"/>
      <c r="E20" s="12"/>
      <c r="F20" s="12"/>
      <c r="G20" s="12"/>
      <c r="H20" s="12"/>
      <c r="I20" s="12"/>
    </row>
    <row r="21" spans="1:9" ht="21.75" customHeight="1" x14ac:dyDescent="0.25">
      <c r="A21" s="43" t="s">
        <v>154</v>
      </c>
      <c r="B21" s="43" t="s">
        <v>155</v>
      </c>
      <c r="C21" s="43" t="s">
        <v>156</v>
      </c>
      <c r="D21" s="43" t="s">
        <v>157</v>
      </c>
      <c r="E21" s="43" t="s">
        <v>158</v>
      </c>
      <c r="F21" s="43" t="s">
        <v>159</v>
      </c>
      <c r="G21" s="43"/>
      <c r="H21" s="43"/>
      <c r="I21" s="43"/>
    </row>
    <row r="22" spans="1:9" ht="15" customHeight="1" x14ac:dyDescent="0.25">
      <c r="A22" s="53">
        <f>COUNTA(A13:A18)</f>
        <v>6</v>
      </c>
      <c r="B22" s="53">
        <f>SUM(D13:D18)</f>
        <v>14000</v>
      </c>
      <c r="C22" s="53">
        <f>SUM(F13:F18)</f>
        <v>8500</v>
      </c>
      <c r="D22" s="53">
        <f>SUM(G13:G18)</f>
        <v>5500</v>
      </c>
      <c r="E22" s="53">
        <f ca="1">COUNTIF(I13:I18,"Paid")</f>
        <v>3</v>
      </c>
      <c r="F22" s="53">
        <f ca="1">COUNTIF(I13:I18,"Overdue*")</f>
        <v>3</v>
      </c>
    </row>
  </sheetData>
  <mergeCells count="4">
    <mergeCell ref="A1:I1"/>
    <mergeCell ref="A2:I2"/>
    <mergeCell ref="A11:I11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7" width="12" customWidth="1"/>
    <col min="8" max="8" width="16" customWidth="1"/>
    <col min="9" max="9" width="12" customWidth="1"/>
    <col min="10" max="10" width="10" customWidth="1"/>
    <col min="11" max="11" width="16" customWidth="1"/>
    <col min="12" max="12" width="18" customWidth="1"/>
  </cols>
  <sheetData>
    <row r="1" spans="1:12" ht="27.75" customHeight="1" x14ac:dyDescent="0.25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ht="21.75" customHeight="1" x14ac:dyDescent="0.25">
      <c r="A2" s="56" t="s">
        <v>161</v>
      </c>
      <c r="B2" s="56" t="s">
        <v>51</v>
      </c>
      <c r="C2" s="56" t="s">
        <v>162</v>
      </c>
      <c r="D2" s="56" t="s">
        <v>163</v>
      </c>
      <c r="E2" s="56" t="s">
        <v>164</v>
      </c>
      <c r="F2" s="56" t="s">
        <v>165</v>
      </c>
      <c r="G2" s="56" t="s">
        <v>166</v>
      </c>
      <c r="H2" s="56" t="s">
        <v>167</v>
      </c>
      <c r="I2" s="56" t="s">
        <v>168</v>
      </c>
      <c r="J2" s="56" t="s">
        <v>169</v>
      </c>
      <c r="K2" s="56" t="s">
        <v>170</v>
      </c>
      <c r="L2" s="56" t="s">
        <v>171</v>
      </c>
    </row>
    <row r="3" spans="1:12" ht="15" customHeight="1" x14ac:dyDescent="0.25">
      <c r="A3" s="36" t="s">
        <v>172</v>
      </c>
      <c r="B3" s="36" t="s">
        <v>173</v>
      </c>
      <c r="C3" s="37">
        <v>199</v>
      </c>
      <c r="D3" s="37">
        <v>80</v>
      </c>
      <c r="E3" s="36" t="s">
        <v>174</v>
      </c>
      <c r="F3" s="54">
        <v>50</v>
      </c>
      <c r="G3" s="57">
        <f t="shared" ref="G3:G10" si="0">IF(E3="Walk-in",0,IF(E3="Retailer",IF(F3&gt;=50,12,8),IF(E3="Wholesaler",IF(F3&gt;=100,18,14),IF(F3&gt;=300,22,18))))</f>
        <v>12</v>
      </c>
      <c r="H3" s="58">
        <f t="shared" ref="H3:H10" si="1">ROUND(C3*(1-G3/100),2)</f>
        <v>175.12</v>
      </c>
      <c r="I3" s="58">
        <f t="shared" ref="I3:I10" si="2">H3-D3</f>
        <v>95.12</v>
      </c>
      <c r="J3" s="59">
        <f t="shared" ref="J3:J10" si="3">IFERROR(ROUND((H3-D3)/H3*100,1),0)</f>
        <v>54.3</v>
      </c>
      <c r="K3" s="37">
        <f t="shared" ref="K3:K10" si="4">ROUND(D3*1.15,0)</f>
        <v>92</v>
      </c>
      <c r="L3" s="35" t="str">
        <f t="shared" ref="L3:L10" si="5">IF(H3&gt;=K3,"OK","Below Min Price!")</f>
        <v>OK</v>
      </c>
    </row>
    <row r="4" spans="1:12" ht="15" customHeight="1" x14ac:dyDescent="0.25">
      <c r="A4" s="40" t="s">
        <v>175</v>
      </c>
      <c r="B4" s="40" t="s">
        <v>176</v>
      </c>
      <c r="C4" s="41">
        <v>499</v>
      </c>
      <c r="D4" s="41">
        <v>180</v>
      </c>
      <c r="E4" s="40" t="s">
        <v>177</v>
      </c>
      <c r="F4" s="55">
        <v>200</v>
      </c>
      <c r="G4" s="60">
        <f t="shared" si="0"/>
        <v>18</v>
      </c>
      <c r="H4" s="61">
        <f t="shared" si="1"/>
        <v>409.18</v>
      </c>
      <c r="I4" s="61">
        <f t="shared" si="2"/>
        <v>229.18</v>
      </c>
      <c r="J4" s="62">
        <f t="shared" si="3"/>
        <v>56</v>
      </c>
      <c r="K4" s="41">
        <f t="shared" si="4"/>
        <v>207</v>
      </c>
      <c r="L4" s="39" t="str">
        <f t="shared" si="5"/>
        <v>OK</v>
      </c>
    </row>
    <row r="5" spans="1:12" ht="15" customHeight="1" x14ac:dyDescent="0.25">
      <c r="A5" s="36" t="s">
        <v>178</v>
      </c>
      <c r="B5" s="36" t="s">
        <v>179</v>
      </c>
      <c r="C5" s="37">
        <v>299</v>
      </c>
      <c r="D5" s="37">
        <v>75</v>
      </c>
      <c r="E5" s="36" t="s">
        <v>180</v>
      </c>
      <c r="F5" s="54">
        <v>500</v>
      </c>
      <c r="G5" s="57">
        <f t="shared" si="0"/>
        <v>22</v>
      </c>
      <c r="H5" s="58">
        <f t="shared" si="1"/>
        <v>233.22</v>
      </c>
      <c r="I5" s="58">
        <f t="shared" si="2"/>
        <v>158.22</v>
      </c>
      <c r="J5" s="59">
        <f t="shared" si="3"/>
        <v>67.8</v>
      </c>
      <c r="K5" s="37">
        <f t="shared" si="4"/>
        <v>86</v>
      </c>
      <c r="L5" s="35" t="str">
        <f t="shared" si="5"/>
        <v>OK</v>
      </c>
    </row>
    <row r="6" spans="1:12" ht="15" customHeight="1" x14ac:dyDescent="0.25">
      <c r="A6" s="40" t="s">
        <v>181</v>
      </c>
      <c r="B6" s="40" t="s">
        <v>179</v>
      </c>
      <c r="C6" s="41">
        <v>149</v>
      </c>
      <c r="D6" s="41">
        <v>40</v>
      </c>
      <c r="E6" s="40" t="s">
        <v>174</v>
      </c>
      <c r="F6" s="55">
        <v>30</v>
      </c>
      <c r="G6" s="60">
        <f t="shared" si="0"/>
        <v>8</v>
      </c>
      <c r="H6" s="61">
        <f t="shared" si="1"/>
        <v>137.08000000000001</v>
      </c>
      <c r="I6" s="61">
        <f t="shared" si="2"/>
        <v>97.080000000000013</v>
      </c>
      <c r="J6" s="62">
        <f t="shared" si="3"/>
        <v>70.8</v>
      </c>
      <c r="K6" s="41">
        <f t="shared" si="4"/>
        <v>46</v>
      </c>
      <c r="L6" s="39" t="str">
        <f t="shared" si="5"/>
        <v>OK</v>
      </c>
    </row>
    <row r="7" spans="1:12" ht="15" customHeight="1" x14ac:dyDescent="0.25">
      <c r="A7" s="36" t="s">
        <v>182</v>
      </c>
      <c r="B7" s="36" t="s">
        <v>183</v>
      </c>
      <c r="C7" s="37">
        <v>999</v>
      </c>
      <c r="D7" s="37">
        <v>350</v>
      </c>
      <c r="E7" s="36" t="s">
        <v>177</v>
      </c>
      <c r="F7" s="54">
        <v>100</v>
      </c>
      <c r="G7" s="57">
        <f t="shared" si="0"/>
        <v>18</v>
      </c>
      <c r="H7" s="58">
        <f t="shared" si="1"/>
        <v>819.18</v>
      </c>
      <c r="I7" s="58">
        <f t="shared" si="2"/>
        <v>469.17999999999995</v>
      </c>
      <c r="J7" s="59">
        <f t="shared" si="3"/>
        <v>57.3</v>
      </c>
      <c r="K7" s="37">
        <f t="shared" si="4"/>
        <v>403</v>
      </c>
      <c r="L7" s="35" t="str">
        <f t="shared" si="5"/>
        <v>OK</v>
      </c>
    </row>
    <row r="8" spans="1:12" ht="15" customHeight="1" x14ac:dyDescent="0.25">
      <c r="A8" s="40" t="s">
        <v>184</v>
      </c>
      <c r="B8" s="40" t="s">
        <v>179</v>
      </c>
      <c r="C8" s="41">
        <v>249</v>
      </c>
      <c r="D8" s="41">
        <v>70</v>
      </c>
      <c r="E8" s="40" t="s">
        <v>185</v>
      </c>
      <c r="F8" s="55">
        <v>1</v>
      </c>
      <c r="G8" s="60">
        <f t="shared" si="0"/>
        <v>0</v>
      </c>
      <c r="H8" s="61">
        <f t="shared" si="1"/>
        <v>249</v>
      </c>
      <c r="I8" s="61">
        <f t="shared" si="2"/>
        <v>179</v>
      </c>
      <c r="J8" s="62">
        <f t="shared" si="3"/>
        <v>71.900000000000006</v>
      </c>
      <c r="K8" s="41">
        <f t="shared" si="4"/>
        <v>81</v>
      </c>
      <c r="L8" s="39" t="str">
        <f t="shared" si="5"/>
        <v>OK</v>
      </c>
    </row>
    <row r="9" spans="1:12" ht="15" customHeight="1" x14ac:dyDescent="0.25">
      <c r="A9" s="36" t="s">
        <v>186</v>
      </c>
      <c r="B9" s="36" t="s">
        <v>179</v>
      </c>
      <c r="C9" s="37">
        <v>349</v>
      </c>
      <c r="D9" s="37">
        <v>95</v>
      </c>
      <c r="E9" s="36" t="s">
        <v>180</v>
      </c>
      <c r="F9" s="54">
        <v>250</v>
      </c>
      <c r="G9" s="57">
        <f t="shared" si="0"/>
        <v>18</v>
      </c>
      <c r="H9" s="58">
        <f t="shared" si="1"/>
        <v>286.18</v>
      </c>
      <c r="I9" s="58">
        <f t="shared" si="2"/>
        <v>191.18</v>
      </c>
      <c r="J9" s="59">
        <f t="shared" si="3"/>
        <v>66.8</v>
      </c>
      <c r="K9" s="37">
        <f t="shared" si="4"/>
        <v>109</v>
      </c>
      <c r="L9" s="35" t="str">
        <f t="shared" si="5"/>
        <v>OK</v>
      </c>
    </row>
    <row r="10" spans="1:12" ht="15" customHeight="1" x14ac:dyDescent="0.25">
      <c r="A10" s="40" t="s">
        <v>187</v>
      </c>
      <c r="B10" s="40" t="s">
        <v>179</v>
      </c>
      <c r="C10" s="41">
        <v>99</v>
      </c>
      <c r="D10" s="41">
        <v>30</v>
      </c>
      <c r="E10" s="40" t="s">
        <v>174</v>
      </c>
      <c r="F10" s="55">
        <v>80</v>
      </c>
      <c r="G10" s="60">
        <f t="shared" si="0"/>
        <v>12</v>
      </c>
      <c r="H10" s="61">
        <f t="shared" si="1"/>
        <v>87.12</v>
      </c>
      <c r="I10" s="61">
        <f t="shared" si="2"/>
        <v>57.120000000000005</v>
      </c>
      <c r="J10" s="62">
        <f t="shared" si="3"/>
        <v>65.599999999999994</v>
      </c>
      <c r="K10" s="41">
        <f t="shared" si="4"/>
        <v>35</v>
      </c>
      <c r="L10" s="39" t="str">
        <f t="shared" si="5"/>
        <v>OK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x14ac:dyDescent="0.25"/>
  <cols>
    <col min="1" max="1" width="8" customWidth="1"/>
    <col min="2" max="2" width="16" customWidth="1"/>
    <col min="3" max="32" width="4" customWidth="1"/>
    <col min="33" max="39" width="14" customWidth="1"/>
  </cols>
  <sheetData>
    <row r="1" spans="1:39" ht="27.75" customHeight="1" x14ac:dyDescent="0.25">
      <c r="A1" s="7" t="s">
        <v>188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39" ht="21.75" customHeight="1" x14ac:dyDescent="0.25">
      <c r="A2" s="63" t="s">
        <v>189</v>
      </c>
      <c r="B2" s="63" t="s">
        <v>146</v>
      </c>
      <c r="C2" s="63" t="s">
        <v>6</v>
      </c>
      <c r="D2" s="63" t="s">
        <v>11</v>
      </c>
      <c r="E2" s="63" t="s">
        <v>16</v>
      </c>
      <c r="F2" s="63" t="s">
        <v>20</v>
      </c>
      <c r="G2" s="63" t="s">
        <v>24</v>
      </c>
      <c r="H2" s="63" t="s">
        <v>28</v>
      </c>
      <c r="I2" s="63" t="s">
        <v>32</v>
      </c>
      <c r="J2" s="63" t="s">
        <v>36</v>
      </c>
      <c r="K2" s="63" t="s">
        <v>40</v>
      </c>
      <c r="L2" s="63" t="s">
        <v>44</v>
      </c>
      <c r="M2" s="63" t="s">
        <v>190</v>
      </c>
      <c r="N2" s="63" t="s">
        <v>191</v>
      </c>
      <c r="O2" s="63" t="s">
        <v>192</v>
      </c>
      <c r="P2" s="63" t="s">
        <v>193</v>
      </c>
      <c r="Q2" s="63" t="s">
        <v>194</v>
      </c>
      <c r="R2" s="63" t="s">
        <v>195</v>
      </c>
      <c r="S2" s="63" t="s">
        <v>196</v>
      </c>
      <c r="T2" s="63" t="s">
        <v>197</v>
      </c>
      <c r="U2" s="63" t="s">
        <v>198</v>
      </c>
      <c r="V2" s="63" t="s">
        <v>199</v>
      </c>
      <c r="W2" s="63" t="s">
        <v>200</v>
      </c>
      <c r="X2" s="63" t="s">
        <v>201</v>
      </c>
      <c r="Y2" s="63" t="s">
        <v>202</v>
      </c>
      <c r="Z2" s="63" t="s">
        <v>203</v>
      </c>
      <c r="AA2" s="63" t="s">
        <v>204</v>
      </c>
      <c r="AB2" s="63" t="s">
        <v>205</v>
      </c>
      <c r="AC2" s="63" t="s">
        <v>206</v>
      </c>
      <c r="AD2" s="63" t="s">
        <v>207</v>
      </c>
      <c r="AE2" s="63" t="s">
        <v>208</v>
      </c>
      <c r="AF2" s="63" t="s">
        <v>209</v>
      </c>
      <c r="AG2" s="63" t="s">
        <v>210</v>
      </c>
      <c r="AH2" s="63" t="s">
        <v>211</v>
      </c>
      <c r="AI2" s="63" t="s">
        <v>212</v>
      </c>
      <c r="AJ2" s="63" t="s">
        <v>213</v>
      </c>
      <c r="AK2" s="63" t="s">
        <v>214</v>
      </c>
      <c r="AL2" s="63" t="s">
        <v>215</v>
      </c>
      <c r="AM2" s="63" t="s">
        <v>216</v>
      </c>
    </row>
    <row r="3" spans="1:39" ht="15" customHeight="1" x14ac:dyDescent="0.25">
      <c r="A3" s="35" t="s">
        <v>217</v>
      </c>
      <c r="B3" s="36" t="s">
        <v>218</v>
      </c>
      <c r="C3" s="64" t="s">
        <v>219</v>
      </c>
      <c r="D3" s="64" t="s">
        <v>219</v>
      </c>
      <c r="E3" s="64" t="s">
        <v>219</v>
      </c>
      <c r="F3" s="64" t="s">
        <v>219</v>
      </c>
      <c r="G3" s="64" t="s">
        <v>219</v>
      </c>
      <c r="H3" s="64" t="s">
        <v>219</v>
      </c>
      <c r="I3" s="64" t="s">
        <v>219</v>
      </c>
      <c r="J3" s="65" t="s">
        <v>220</v>
      </c>
      <c r="K3" s="64" t="s">
        <v>219</v>
      </c>
      <c r="L3" s="64" t="s">
        <v>219</v>
      </c>
      <c r="M3" s="64" t="s">
        <v>219</v>
      </c>
      <c r="N3" s="64" t="s">
        <v>219</v>
      </c>
      <c r="O3" s="64" t="s">
        <v>219</v>
      </c>
      <c r="P3" s="64" t="s">
        <v>219</v>
      </c>
      <c r="Q3" s="65" t="s">
        <v>220</v>
      </c>
      <c r="R3" s="64" t="s">
        <v>219</v>
      </c>
      <c r="S3" s="64" t="s">
        <v>219</v>
      </c>
      <c r="T3" s="64" t="s">
        <v>219</v>
      </c>
      <c r="U3" s="64" t="s">
        <v>219</v>
      </c>
      <c r="V3" s="64" t="s">
        <v>219</v>
      </c>
      <c r="W3" s="64" t="s">
        <v>219</v>
      </c>
      <c r="X3" s="65" t="s">
        <v>220</v>
      </c>
      <c r="Y3" s="64" t="s">
        <v>219</v>
      </c>
      <c r="Z3" s="64" t="s">
        <v>219</v>
      </c>
      <c r="AA3" s="64" t="s">
        <v>219</v>
      </c>
      <c r="AB3" s="64" t="s">
        <v>219</v>
      </c>
      <c r="AC3" s="64" t="s">
        <v>219</v>
      </c>
      <c r="AD3" s="64" t="s">
        <v>219</v>
      </c>
      <c r="AE3" s="65" t="s">
        <v>220</v>
      </c>
      <c r="AF3" s="64" t="s">
        <v>219</v>
      </c>
      <c r="AG3" s="66">
        <f>COUNTIF(C3:AF3,"P")</f>
        <v>26</v>
      </c>
      <c r="AH3" s="66">
        <f>COUNTIF(C3:AF3,"A")</f>
        <v>0</v>
      </c>
      <c r="AI3" s="66">
        <f>COUNTIF(C3:AF3,"L")</f>
        <v>0</v>
      </c>
      <c r="AJ3" s="66">
        <f>COUNTIF(C3:AF3,"H")</f>
        <v>4</v>
      </c>
      <c r="AK3" s="66">
        <f>AG3+AH3+AI3</f>
        <v>26</v>
      </c>
      <c r="AL3" s="67">
        <v>18000</v>
      </c>
      <c r="AM3" s="68">
        <f>IFERROR(ROUND((AL3/AK3)*AH3,0),0)</f>
        <v>0</v>
      </c>
    </row>
    <row r="4" spans="1:39" ht="15" customHeight="1" x14ac:dyDescent="0.25">
      <c r="A4" s="39" t="s">
        <v>221</v>
      </c>
      <c r="B4" s="40" t="s">
        <v>222</v>
      </c>
      <c r="C4" s="64" t="s">
        <v>219</v>
      </c>
      <c r="D4" s="69" t="s">
        <v>223</v>
      </c>
      <c r="E4" s="64" t="s">
        <v>219</v>
      </c>
      <c r="F4" s="64" t="s">
        <v>219</v>
      </c>
      <c r="G4" s="64" t="s">
        <v>219</v>
      </c>
      <c r="H4" s="64" t="s">
        <v>219</v>
      </c>
      <c r="I4" s="64" t="s">
        <v>219</v>
      </c>
      <c r="J4" s="65" t="s">
        <v>220</v>
      </c>
      <c r="K4" s="64" t="s">
        <v>219</v>
      </c>
      <c r="L4" s="64" t="s">
        <v>219</v>
      </c>
      <c r="M4" s="64" t="s">
        <v>219</v>
      </c>
      <c r="N4" s="64" t="s">
        <v>219</v>
      </c>
      <c r="O4" s="64" t="s">
        <v>219</v>
      </c>
      <c r="P4" s="70" t="s">
        <v>224</v>
      </c>
      <c r="Q4" s="65" t="s">
        <v>220</v>
      </c>
      <c r="R4" s="64" t="s">
        <v>219</v>
      </c>
      <c r="S4" s="64" t="s">
        <v>219</v>
      </c>
      <c r="T4" s="64" t="s">
        <v>219</v>
      </c>
      <c r="U4" s="64" t="s">
        <v>219</v>
      </c>
      <c r="V4" s="64" t="s">
        <v>219</v>
      </c>
      <c r="W4" s="64" t="s">
        <v>219</v>
      </c>
      <c r="X4" s="65" t="s">
        <v>220</v>
      </c>
      <c r="Y4" s="64" t="s">
        <v>219</v>
      </c>
      <c r="Z4" s="64" t="s">
        <v>219</v>
      </c>
      <c r="AA4" s="64" t="s">
        <v>219</v>
      </c>
      <c r="AB4" s="64" t="s">
        <v>219</v>
      </c>
      <c r="AC4" s="64" t="s">
        <v>219</v>
      </c>
      <c r="AD4" s="64" t="s">
        <v>219</v>
      </c>
      <c r="AE4" s="65" t="s">
        <v>220</v>
      </c>
      <c r="AF4" s="64" t="s">
        <v>219</v>
      </c>
      <c r="AG4" s="71">
        <f>COUNTIF(C4:AF4,"P")</f>
        <v>24</v>
      </c>
      <c r="AH4" s="71">
        <f>COUNTIF(C4:AF4,"A")</f>
        <v>1</v>
      </c>
      <c r="AI4" s="71">
        <f>COUNTIF(C4:AF4,"L")</f>
        <v>1</v>
      </c>
      <c r="AJ4" s="71">
        <f>COUNTIF(C4:AF4,"H")</f>
        <v>4</v>
      </c>
      <c r="AK4" s="71">
        <f>AG4+AH4+AI4</f>
        <v>26</v>
      </c>
      <c r="AL4" s="67">
        <v>22000</v>
      </c>
      <c r="AM4" s="72">
        <f>IFERROR(ROUND((AL4/AK4)*AH4,0),0)</f>
        <v>846</v>
      </c>
    </row>
    <row r="5" spans="1:39" ht="15" customHeight="1" x14ac:dyDescent="0.25">
      <c r="A5" s="35" t="s">
        <v>225</v>
      </c>
      <c r="B5" s="36" t="s">
        <v>226</v>
      </c>
      <c r="C5" s="64" t="s">
        <v>219</v>
      </c>
      <c r="D5" s="64" t="s">
        <v>219</v>
      </c>
      <c r="E5" s="64" t="s">
        <v>219</v>
      </c>
      <c r="F5" s="69" t="s">
        <v>223</v>
      </c>
      <c r="G5" s="64" t="s">
        <v>219</v>
      </c>
      <c r="H5" s="64" t="s">
        <v>219</v>
      </c>
      <c r="I5" s="64" t="s">
        <v>219</v>
      </c>
      <c r="J5" s="65" t="s">
        <v>220</v>
      </c>
      <c r="K5" s="69" t="s">
        <v>223</v>
      </c>
      <c r="L5" s="64" t="s">
        <v>219</v>
      </c>
      <c r="M5" s="64" t="s">
        <v>219</v>
      </c>
      <c r="N5" s="64" t="s">
        <v>219</v>
      </c>
      <c r="O5" s="64" t="s">
        <v>219</v>
      </c>
      <c r="P5" s="64" t="s">
        <v>219</v>
      </c>
      <c r="Q5" s="65" t="s">
        <v>220</v>
      </c>
      <c r="R5" s="64" t="s">
        <v>219</v>
      </c>
      <c r="S5" s="64" t="s">
        <v>219</v>
      </c>
      <c r="T5" s="64" t="s">
        <v>219</v>
      </c>
      <c r="U5" s="64" t="s">
        <v>219</v>
      </c>
      <c r="V5" s="64" t="s">
        <v>219</v>
      </c>
      <c r="W5" s="70" t="s">
        <v>224</v>
      </c>
      <c r="X5" s="65" t="s">
        <v>220</v>
      </c>
      <c r="Y5" s="64" t="s">
        <v>219</v>
      </c>
      <c r="Z5" s="64" t="s">
        <v>219</v>
      </c>
      <c r="AA5" s="64" t="s">
        <v>219</v>
      </c>
      <c r="AB5" s="64" t="s">
        <v>219</v>
      </c>
      <c r="AC5" s="64" t="s">
        <v>219</v>
      </c>
      <c r="AD5" s="64" t="s">
        <v>219</v>
      </c>
      <c r="AE5" s="65" t="s">
        <v>220</v>
      </c>
      <c r="AF5" s="70" t="s">
        <v>224</v>
      </c>
      <c r="AG5" s="66">
        <f>COUNTIF(C5:AF5,"P")</f>
        <v>22</v>
      </c>
      <c r="AH5" s="66">
        <f>COUNTIF(C5:AF5,"A")</f>
        <v>2</v>
      </c>
      <c r="AI5" s="66">
        <f>COUNTIF(C5:AF5,"L")</f>
        <v>2</v>
      </c>
      <c r="AJ5" s="66">
        <f>COUNTIF(C5:AF5,"H")</f>
        <v>4</v>
      </c>
      <c r="AK5" s="66">
        <f>AG5+AH5+AI5</f>
        <v>26</v>
      </c>
      <c r="AL5" s="67">
        <v>14480</v>
      </c>
      <c r="AM5" s="68">
        <f>IFERROR(ROUND((AL5/AK5)*AH5,0),0)</f>
        <v>1114</v>
      </c>
    </row>
    <row r="6" spans="1:39" ht="15" customHeight="1" x14ac:dyDescent="0.25">
      <c r="A6" s="39" t="s">
        <v>227</v>
      </c>
      <c r="B6" s="40" t="s">
        <v>228</v>
      </c>
      <c r="C6" s="64" t="s">
        <v>219</v>
      </c>
      <c r="D6" s="64" t="s">
        <v>219</v>
      </c>
      <c r="E6" s="64" t="s">
        <v>219</v>
      </c>
      <c r="F6" s="64" t="s">
        <v>219</v>
      </c>
      <c r="G6" s="64" t="s">
        <v>219</v>
      </c>
      <c r="H6" s="64" t="s">
        <v>219</v>
      </c>
      <c r="I6" s="64" t="s">
        <v>219</v>
      </c>
      <c r="J6" s="65" t="s">
        <v>220</v>
      </c>
      <c r="K6" s="64" t="s">
        <v>219</v>
      </c>
      <c r="L6" s="64" t="s">
        <v>219</v>
      </c>
      <c r="M6" s="64" t="s">
        <v>219</v>
      </c>
      <c r="N6" s="64" t="s">
        <v>219</v>
      </c>
      <c r="O6" s="64" t="s">
        <v>219</v>
      </c>
      <c r="P6" s="64" t="s">
        <v>219</v>
      </c>
      <c r="Q6" s="65" t="s">
        <v>220</v>
      </c>
      <c r="R6" s="64" t="s">
        <v>219</v>
      </c>
      <c r="S6" s="64" t="s">
        <v>219</v>
      </c>
      <c r="T6" s="64" t="s">
        <v>219</v>
      </c>
      <c r="U6" s="64" t="s">
        <v>219</v>
      </c>
      <c r="V6" s="64" t="s">
        <v>219</v>
      </c>
      <c r="W6" s="64" t="s">
        <v>219</v>
      </c>
      <c r="X6" s="65" t="s">
        <v>220</v>
      </c>
      <c r="Y6" s="64" t="s">
        <v>219</v>
      </c>
      <c r="Z6" s="64" t="s">
        <v>219</v>
      </c>
      <c r="AA6" s="64" t="s">
        <v>219</v>
      </c>
      <c r="AB6" s="64" t="s">
        <v>219</v>
      </c>
      <c r="AC6" s="64" t="s">
        <v>219</v>
      </c>
      <c r="AD6" s="64" t="s">
        <v>219</v>
      </c>
      <c r="AE6" s="65" t="s">
        <v>220</v>
      </c>
      <c r="AF6" s="64" t="s">
        <v>219</v>
      </c>
      <c r="AG6" s="71">
        <f>COUNTIF(C6:AF6,"P")</f>
        <v>26</v>
      </c>
      <c r="AH6" s="71">
        <f>COUNTIF(C6:AF6,"A")</f>
        <v>0</v>
      </c>
      <c r="AI6" s="71">
        <f>COUNTIF(C6:AF6,"L")</f>
        <v>0</v>
      </c>
      <c r="AJ6" s="71">
        <f>COUNTIF(C6:AF6,"H")</f>
        <v>4</v>
      </c>
      <c r="AK6" s="71">
        <f>AG6+AH6+AI6</f>
        <v>26</v>
      </c>
      <c r="AL6" s="67">
        <v>20000</v>
      </c>
      <c r="AM6" s="72">
        <f>IFERROR(ROUND((AL6/AK6)*AH6,0),0)</f>
        <v>0</v>
      </c>
    </row>
    <row r="7" spans="1:39" ht="15" customHeight="1" x14ac:dyDescent="0.25">
      <c r="A7" s="35" t="s">
        <v>229</v>
      </c>
      <c r="B7" s="36" t="s">
        <v>230</v>
      </c>
      <c r="C7" s="70" t="s">
        <v>224</v>
      </c>
      <c r="D7" s="70" t="s">
        <v>224</v>
      </c>
      <c r="E7" s="64" t="s">
        <v>219</v>
      </c>
      <c r="F7" s="64" t="s">
        <v>219</v>
      </c>
      <c r="G7" s="64" t="s">
        <v>219</v>
      </c>
      <c r="H7" s="64" t="s">
        <v>219</v>
      </c>
      <c r="I7" s="64" t="s">
        <v>219</v>
      </c>
      <c r="J7" s="65" t="s">
        <v>220</v>
      </c>
      <c r="K7" s="64" t="s">
        <v>219</v>
      </c>
      <c r="L7" s="64" t="s">
        <v>219</v>
      </c>
      <c r="M7" s="64" t="s">
        <v>219</v>
      </c>
      <c r="N7" s="64" t="s">
        <v>219</v>
      </c>
      <c r="O7" s="64" t="s">
        <v>219</v>
      </c>
      <c r="P7" s="64" t="s">
        <v>219</v>
      </c>
      <c r="Q7" s="65" t="s">
        <v>220</v>
      </c>
      <c r="R7" s="64" t="s">
        <v>219</v>
      </c>
      <c r="S7" s="69" t="s">
        <v>223</v>
      </c>
      <c r="T7" s="64" t="s">
        <v>219</v>
      </c>
      <c r="U7" s="64" t="s">
        <v>219</v>
      </c>
      <c r="V7" s="64" t="s">
        <v>219</v>
      </c>
      <c r="W7" s="64" t="s">
        <v>219</v>
      </c>
      <c r="X7" s="65" t="s">
        <v>220</v>
      </c>
      <c r="Y7" s="64" t="s">
        <v>219</v>
      </c>
      <c r="Z7" s="64" t="s">
        <v>219</v>
      </c>
      <c r="AA7" s="64" t="s">
        <v>219</v>
      </c>
      <c r="AB7" s="64" t="s">
        <v>219</v>
      </c>
      <c r="AC7" s="64" t="s">
        <v>219</v>
      </c>
      <c r="AD7" s="64" t="s">
        <v>219</v>
      </c>
      <c r="AE7" s="65" t="s">
        <v>220</v>
      </c>
      <c r="AF7" s="64" t="s">
        <v>219</v>
      </c>
      <c r="AG7" s="66">
        <f>COUNTIF(C7:AF7,"P")</f>
        <v>23</v>
      </c>
      <c r="AH7" s="66">
        <f>COUNTIF(C7:AF7,"A")</f>
        <v>1</v>
      </c>
      <c r="AI7" s="66">
        <f>COUNTIF(C7:AF7,"L")</f>
        <v>2</v>
      </c>
      <c r="AJ7" s="66">
        <f>COUNTIF(C7:AF7,"H")</f>
        <v>4</v>
      </c>
      <c r="AK7" s="66">
        <f>AG7+AH7+AI7</f>
        <v>26</v>
      </c>
      <c r="AL7" s="67">
        <v>16000</v>
      </c>
      <c r="AM7" s="68">
        <f>IFERROR(ROUND((AL7/AK7)*AH7,0),0)</f>
        <v>615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8" customWidth="1"/>
    <col min="3" max="3" width="12" customWidth="1"/>
    <col min="4" max="4" width="22" customWidth="1"/>
    <col min="5" max="5" width="14" customWidth="1"/>
    <col min="6" max="7" width="16" customWidth="1"/>
    <col min="8" max="8" width="14" customWidth="1"/>
    <col min="9" max="9" width="12" customWidth="1"/>
    <col min="10" max="10" width="18" customWidth="1"/>
    <col min="11" max="11" width="14" customWidth="1"/>
    <col min="12" max="12" width="24" customWidth="1"/>
  </cols>
  <sheetData>
    <row r="1" spans="1:12" ht="27.75" customHeight="1" x14ac:dyDescent="0.25">
      <c r="A1" s="6" t="s">
        <v>231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.75" customHeight="1" x14ac:dyDescent="0.25">
      <c r="A2" s="52" t="s">
        <v>232</v>
      </c>
      <c r="B2" s="52" t="s">
        <v>233</v>
      </c>
      <c r="C2" s="52" t="s">
        <v>234</v>
      </c>
      <c r="D2" s="52" t="s">
        <v>235</v>
      </c>
      <c r="E2" s="52" t="s">
        <v>236</v>
      </c>
      <c r="F2" s="52" t="s">
        <v>237</v>
      </c>
      <c r="G2" s="52" t="s">
        <v>238</v>
      </c>
      <c r="H2" s="52" t="s">
        <v>239</v>
      </c>
      <c r="I2" s="52" t="s">
        <v>240</v>
      </c>
      <c r="J2" s="52" t="s">
        <v>241</v>
      </c>
      <c r="K2" s="52" t="s">
        <v>150</v>
      </c>
      <c r="L2" s="52" t="s">
        <v>242</v>
      </c>
    </row>
    <row r="3" spans="1:12" ht="15" customHeight="1" x14ac:dyDescent="0.25">
      <c r="A3" s="35" t="s">
        <v>243</v>
      </c>
      <c r="B3" s="36" t="s">
        <v>244</v>
      </c>
      <c r="C3" s="35" t="s">
        <v>57</v>
      </c>
      <c r="D3" s="36" t="s">
        <v>245</v>
      </c>
      <c r="E3" s="37">
        <v>5000</v>
      </c>
      <c r="F3" s="35" t="s">
        <v>77</v>
      </c>
      <c r="G3" s="35" t="s">
        <v>246</v>
      </c>
      <c r="H3" s="36" t="str">
        <f t="shared" ref="H3:H8" ca="1" si="0">IF(G3="",IF(TODAY()&gt;F3,"Overdue","Pending"),IF(G3&lt;=F3,"On Time","Late"))</f>
        <v>On Time</v>
      </c>
      <c r="I3" s="35">
        <f t="shared" ref="I3:I8" ca="1" si="1">IFERROR(IF(G3="",MAX(0,TODAY()-F3),MAX(0,G3-F3)),0)</f>
        <v>0</v>
      </c>
      <c r="J3" s="37">
        <v>5000</v>
      </c>
      <c r="K3" s="37">
        <f t="shared" ref="K3:K8" si="2">E3-J3</f>
        <v>0</v>
      </c>
      <c r="L3" s="36" t="str">
        <f t="shared" ref="L3:L8" si="3">IF(K3=0,"Fully Paid",IF(J3=0,"Unpaid","Partial - Rs "&amp;K3&amp;" due"))</f>
        <v>Fully Paid</v>
      </c>
    </row>
    <row r="4" spans="1:12" ht="15" customHeight="1" x14ac:dyDescent="0.25">
      <c r="A4" s="39" t="s">
        <v>247</v>
      </c>
      <c r="B4" s="40" t="s">
        <v>248</v>
      </c>
      <c r="C4" s="39" t="s">
        <v>66</v>
      </c>
      <c r="D4" s="40" t="s">
        <v>249</v>
      </c>
      <c r="E4" s="41">
        <v>7000</v>
      </c>
      <c r="F4" s="39" t="s">
        <v>82</v>
      </c>
      <c r="G4" s="39" t="s">
        <v>84</v>
      </c>
      <c r="H4" s="40" t="str">
        <f t="shared" ca="1" si="0"/>
        <v>Late</v>
      </c>
      <c r="I4" s="39">
        <f t="shared" ca="1" si="1"/>
        <v>3</v>
      </c>
      <c r="J4" s="41">
        <v>7000</v>
      </c>
      <c r="K4" s="41">
        <f t="shared" si="2"/>
        <v>0</v>
      </c>
      <c r="L4" s="40" t="str">
        <f t="shared" si="3"/>
        <v>Fully Paid</v>
      </c>
    </row>
    <row r="5" spans="1:12" ht="15" customHeight="1" x14ac:dyDescent="0.25">
      <c r="A5" s="35" t="s">
        <v>250</v>
      </c>
      <c r="B5" s="36" t="s">
        <v>251</v>
      </c>
      <c r="C5" s="35" t="s">
        <v>71</v>
      </c>
      <c r="D5" s="36" t="s">
        <v>252</v>
      </c>
      <c r="E5" s="37">
        <v>8970</v>
      </c>
      <c r="F5" s="35" t="s">
        <v>80</v>
      </c>
      <c r="G5" s="35"/>
      <c r="H5" s="36" t="str">
        <f t="shared" ca="1" si="0"/>
        <v>Pending</v>
      </c>
      <c r="I5" s="35">
        <f t="shared" ca="1" si="1"/>
        <v>348</v>
      </c>
      <c r="J5" s="37">
        <v>0</v>
      </c>
      <c r="K5" s="37">
        <f t="shared" si="2"/>
        <v>8970</v>
      </c>
      <c r="L5" s="36" t="str">
        <f t="shared" si="3"/>
        <v>Unpaid</v>
      </c>
    </row>
    <row r="6" spans="1:12" ht="15" customHeight="1" x14ac:dyDescent="0.25">
      <c r="A6" s="39" t="s">
        <v>253</v>
      </c>
      <c r="B6" s="40" t="s">
        <v>254</v>
      </c>
      <c r="C6" s="39" t="s">
        <v>77</v>
      </c>
      <c r="D6" s="40" t="s">
        <v>255</v>
      </c>
      <c r="E6" s="41">
        <v>11800</v>
      </c>
      <c r="F6" s="39" t="s">
        <v>88</v>
      </c>
      <c r="G6" s="39" t="s">
        <v>88</v>
      </c>
      <c r="H6" s="40" t="str">
        <f t="shared" ca="1" si="0"/>
        <v>On Time</v>
      </c>
      <c r="I6" s="39">
        <f t="shared" ca="1" si="1"/>
        <v>0</v>
      </c>
      <c r="J6" s="41">
        <v>5000</v>
      </c>
      <c r="K6" s="41">
        <f t="shared" si="2"/>
        <v>6800</v>
      </c>
      <c r="L6" s="40" t="str">
        <f t="shared" si="3"/>
        <v>Partial - Rs 6800 due</v>
      </c>
    </row>
    <row r="7" spans="1:12" ht="15" customHeight="1" x14ac:dyDescent="0.25">
      <c r="A7" s="35" t="s">
        <v>256</v>
      </c>
      <c r="B7" s="36" t="s">
        <v>257</v>
      </c>
      <c r="C7" s="35" t="s">
        <v>82</v>
      </c>
      <c r="D7" s="36" t="s">
        <v>258</v>
      </c>
      <c r="E7" s="37">
        <v>8990</v>
      </c>
      <c r="F7" s="35" t="s">
        <v>92</v>
      </c>
      <c r="G7" s="35"/>
      <c r="H7" s="36" t="str">
        <f t="shared" ca="1" si="0"/>
        <v>Pending</v>
      </c>
      <c r="I7" s="35">
        <f t="shared" ca="1" si="1"/>
        <v>335</v>
      </c>
      <c r="J7" s="37">
        <v>0</v>
      </c>
      <c r="K7" s="37">
        <f t="shared" si="2"/>
        <v>8990</v>
      </c>
      <c r="L7" s="36" t="str">
        <f t="shared" si="3"/>
        <v>Unpaid</v>
      </c>
    </row>
    <row r="8" spans="1:12" ht="15" customHeight="1" x14ac:dyDescent="0.25">
      <c r="A8" s="39" t="s">
        <v>259</v>
      </c>
      <c r="B8" s="40" t="s">
        <v>260</v>
      </c>
      <c r="C8" s="39" t="s">
        <v>88</v>
      </c>
      <c r="D8" s="40" t="s">
        <v>261</v>
      </c>
      <c r="E8" s="41">
        <v>3540</v>
      </c>
      <c r="F8" s="39" t="s">
        <v>94</v>
      </c>
      <c r="G8" s="39" t="s">
        <v>262</v>
      </c>
      <c r="H8" s="40" t="str">
        <f t="shared" ca="1" si="0"/>
        <v>On Time</v>
      </c>
      <c r="I8" s="39">
        <f t="shared" ca="1" si="1"/>
        <v>0</v>
      </c>
      <c r="J8" s="41">
        <v>3540</v>
      </c>
      <c r="K8" s="41">
        <f t="shared" si="2"/>
        <v>0</v>
      </c>
      <c r="L8" s="40" t="str">
        <f t="shared" si="3"/>
        <v>Fully Paid</v>
      </c>
    </row>
    <row r="10" spans="1:12" ht="21.75" customHeight="1" x14ac:dyDescent="0.25">
      <c r="A10" s="12" t="s">
        <v>263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ht="21.75" customHeight="1" x14ac:dyDescent="0.25">
      <c r="A11" s="43" t="s">
        <v>264</v>
      </c>
      <c r="B11" s="43" t="s">
        <v>265</v>
      </c>
      <c r="C11" s="43" t="s">
        <v>156</v>
      </c>
      <c r="D11" s="43" t="s">
        <v>266</v>
      </c>
      <c r="E11" s="43" t="s">
        <v>267</v>
      </c>
      <c r="F11" s="43" t="s">
        <v>268</v>
      </c>
      <c r="G11" s="43" t="s">
        <v>269</v>
      </c>
      <c r="H11" s="43" t="s">
        <v>270</v>
      </c>
      <c r="I11" s="43"/>
      <c r="J11" s="43"/>
      <c r="K11" s="43"/>
      <c r="L11" s="43"/>
    </row>
    <row r="12" spans="1:12" ht="15" customHeight="1" x14ac:dyDescent="0.25">
      <c r="A12" s="53">
        <f>COUNTA(A3:A8)</f>
        <v>6</v>
      </c>
      <c r="B12" s="53">
        <f>SUM(E3:E8)</f>
        <v>45300</v>
      </c>
      <c r="C12" s="53">
        <f>SUM(J3:J8)</f>
        <v>20540</v>
      </c>
      <c r="D12" s="53">
        <f>SUM(K3:K8)</f>
        <v>24760</v>
      </c>
      <c r="E12" s="53">
        <f ca="1">COUNTIF(H3:H8,"Overdue")</f>
        <v>0</v>
      </c>
      <c r="F12" s="53">
        <f ca="1">COUNTIF(H3:H8,"On Time")</f>
        <v>3</v>
      </c>
      <c r="G12" s="53">
        <f ca="1">COUNTIF(H3:H8,"Late")</f>
        <v>1</v>
      </c>
      <c r="H12" s="53">
        <f ca="1">COUNTIF(H3:H8,"Pending")</f>
        <v>2</v>
      </c>
    </row>
  </sheetData>
  <mergeCells count="2">
    <mergeCell ref="A1:L1"/>
    <mergeCell ref="A10:L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tabSelected="1" topLeftCell="D1" zoomScaleNormal="100" workbookViewId="0">
      <pane ySplit="10" topLeftCell="A11" activePane="bottomLeft" state="frozen"/>
      <selection pane="bottomLeft" activeCell="J11" sqref="J11"/>
    </sheetView>
  </sheetViews>
  <sheetFormatPr defaultColWidth="8.7109375" defaultRowHeight="15" x14ac:dyDescent="0.25"/>
  <cols>
    <col min="1" max="2" width="16" customWidth="1"/>
    <col min="3" max="5" width="14" customWidth="1"/>
    <col min="6" max="6" width="20" customWidth="1"/>
    <col min="7" max="7" width="14" customWidth="1"/>
    <col min="8" max="8" width="18" customWidth="1"/>
    <col min="9" max="9" width="20" customWidth="1"/>
    <col min="10" max="10" width="18" customWidth="1"/>
  </cols>
  <sheetData>
    <row r="1" spans="1:10" ht="27.75" customHeight="1" x14ac:dyDescent="0.25">
      <c r="A1" s="5" t="s">
        <v>271</v>
      </c>
      <c r="B1" s="5"/>
      <c r="C1" s="5"/>
      <c r="D1" s="5"/>
      <c r="E1" s="5"/>
      <c r="F1" s="5"/>
      <c r="G1" s="5"/>
      <c r="H1" s="5"/>
      <c r="I1" s="5"/>
      <c r="J1" s="5"/>
    </row>
    <row r="2" spans="1:10" ht="21.75" customHeight="1" x14ac:dyDescent="0.25">
      <c r="A2" s="4" t="s">
        <v>272</v>
      </c>
      <c r="B2" s="4"/>
      <c r="C2" s="4"/>
      <c r="D2" s="4"/>
      <c r="E2" s="4"/>
      <c r="F2" s="4"/>
      <c r="G2" s="4"/>
      <c r="H2" s="4"/>
      <c r="I2" s="4"/>
      <c r="J2" s="4"/>
    </row>
    <row r="3" spans="1:10" ht="21.75" customHeight="1" x14ac:dyDescent="0.25">
      <c r="A3" s="15" t="s">
        <v>273</v>
      </c>
      <c r="B3" s="15" t="s">
        <v>274</v>
      </c>
      <c r="C3" s="15" t="s">
        <v>275</v>
      </c>
      <c r="D3" s="15" t="s">
        <v>276</v>
      </c>
      <c r="E3" s="15"/>
      <c r="F3" s="15"/>
      <c r="G3" s="15"/>
      <c r="H3" s="15"/>
      <c r="I3" s="15"/>
      <c r="J3" s="15"/>
    </row>
    <row r="4" spans="1:10" ht="15" customHeight="1" x14ac:dyDescent="0.25">
      <c r="A4" s="40" t="s">
        <v>277</v>
      </c>
      <c r="B4" s="40" t="s">
        <v>278</v>
      </c>
      <c r="C4" s="40" t="s">
        <v>279</v>
      </c>
      <c r="D4" s="40" t="s">
        <v>280</v>
      </c>
      <c r="E4" s="40"/>
      <c r="F4" s="40"/>
      <c r="G4" s="40"/>
      <c r="H4" s="40"/>
      <c r="I4" s="40"/>
      <c r="J4" s="40"/>
    </row>
    <row r="5" spans="1:10" ht="23.25" customHeight="1" x14ac:dyDescent="0.25">
      <c r="A5" s="36" t="s">
        <v>281</v>
      </c>
      <c r="B5" s="36" t="s">
        <v>282</v>
      </c>
      <c r="C5" s="36" t="s">
        <v>283</v>
      </c>
      <c r="D5" s="36" t="s">
        <v>284</v>
      </c>
      <c r="E5" s="36"/>
      <c r="F5" s="36"/>
      <c r="G5" s="36"/>
      <c r="H5" s="36"/>
      <c r="I5" s="36"/>
      <c r="J5" s="36"/>
    </row>
    <row r="6" spans="1:10" ht="23.25" customHeight="1" x14ac:dyDescent="0.25">
      <c r="A6" s="40" t="s">
        <v>285</v>
      </c>
      <c r="B6" s="40" t="s">
        <v>286</v>
      </c>
      <c r="C6" s="40" t="s">
        <v>287</v>
      </c>
      <c r="D6" s="40" t="s">
        <v>288</v>
      </c>
      <c r="E6" s="40"/>
      <c r="F6" s="40"/>
      <c r="G6" s="40"/>
      <c r="H6" s="40"/>
      <c r="I6" s="40"/>
      <c r="J6" s="40"/>
    </row>
    <row r="7" spans="1:10" ht="15" customHeight="1" x14ac:dyDescent="0.25">
      <c r="A7" s="36" t="s">
        <v>289</v>
      </c>
      <c r="B7" s="36" t="s">
        <v>290</v>
      </c>
      <c r="C7" s="36" t="s">
        <v>291</v>
      </c>
      <c r="D7" s="36" t="s">
        <v>292</v>
      </c>
      <c r="E7" s="36"/>
      <c r="F7" s="36"/>
      <c r="G7" s="36"/>
      <c r="H7" s="36"/>
      <c r="I7" s="36"/>
      <c r="J7" s="36"/>
    </row>
    <row r="9" spans="1:10" ht="21.75" customHeight="1" x14ac:dyDescent="0.25">
      <c r="A9" s="3" t="s">
        <v>293</v>
      </c>
      <c r="B9" s="3"/>
      <c r="C9" s="3"/>
      <c r="D9" s="3"/>
      <c r="E9" s="3"/>
      <c r="F9" s="3"/>
      <c r="G9" s="3"/>
      <c r="H9" s="3"/>
      <c r="I9" s="3"/>
      <c r="J9" s="3"/>
    </row>
    <row r="10" spans="1:10" ht="21.75" customHeight="1" x14ac:dyDescent="0.25">
      <c r="A10" s="73" t="s">
        <v>294</v>
      </c>
      <c r="B10" s="73" t="s">
        <v>295</v>
      </c>
      <c r="C10" s="73" t="s">
        <v>296</v>
      </c>
      <c r="D10" s="73" t="s">
        <v>297</v>
      </c>
      <c r="E10" s="73" t="s">
        <v>275</v>
      </c>
      <c r="F10" s="73" t="s">
        <v>298</v>
      </c>
      <c r="G10" s="73" t="s">
        <v>299</v>
      </c>
      <c r="H10" s="73" t="s">
        <v>300</v>
      </c>
      <c r="I10" s="73" t="s">
        <v>301</v>
      </c>
      <c r="J10" s="73" t="s">
        <v>302</v>
      </c>
    </row>
    <row r="11" spans="1:10" ht="15" customHeight="1" x14ac:dyDescent="0.25">
      <c r="A11" s="36" t="s">
        <v>218</v>
      </c>
      <c r="B11" s="37">
        <v>78500</v>
      </c>
      <c r="C11" s="37">
        <v>75000</v>
      </c>
      <c r="D11" s="59">
        <f>ROUND(B11/C11*100,1)</f>
        <v>104.7</v>
      </c>
      <c r="E11" s="57">
        <f>IF(B11&gt;200000,12,IF(B11&gt;100000,8,IF(B11&gt;50000,5,3)))</f>
        <v>5</v>
      </c>
      <c r="F11" s="37">
        <f>ROUND(B11*E11/100,0)</f>
        <v>3925</v>
      </c>
      <c r="G11" s="37">
        <f>IF(B11&gt;=C11,IF(B11&gt;200000,10000,IF(B11&gt;100000,5000,IF(B11&gt;50000,2000,0))),0)</f>
        <v>2000</v>
      </c>
      <c r="H11" s="37">
        <f>F11+G11</f>
        <v>5925</v>
      </c>
      <c r="I11" s="37">
        <v>65000</v>
      </c>
      <c r="J11" s="36" t="str">
        <f>IF(B11&gt;I11,"Up "&amp;ROUND((B11-I11)/I11*100,1)&amp;"%","Down "&amp;ROUND((I11-B11)/I11*100,1)&amp;"%")</f>
        <v>Up 20.8%</v>
      </c>
    </row>
    <row r="12" spans="1:10" ht="15" customHeight="1" x14ac:dyDescent="0.25">
      <c r="A12" s="40" t="s">
        <v>303</v>
      </c>
      <c r="B12" s="41">
        <v>115000</v>
      </c>
      <c r="C12" s="41">
        <v>100000</v>
      </c>
      <c r="D12" s="62">
        <f>ROUND(B12/C12*100,1)</f>
        <v>115</v>
      </c>
      <c r="E12" s="60">
        <f>IF(B12&gt;200000,12,IF(B12&gt;100000,8,IF(B12&gt;50000,5,3)))</f>
        <v>8</v>
      </c>
      <c r="F12" s="41">
        <f>ROUND(B12*E12/100,0)</f>
        <v>9200</v>
      </c>
      <c r="G12" s="41">
        <f>IF(B12&gt;=C12,IF(B12&gt;200000,10000,IF(B12&gt;100000,5000,IF(B12&gt;50000,2000,0))),0)</f>
        <v>5000</v>
      </c>
      <c r="H12" s="41">
        <f>F12+G12</f>
        <v>14200</v>
      </c>
      <c r="I12" s="41">
        <v>98000</v>
      </c>
      <c r="J12" s="40" t="str">
        <f>IF(B12&gt;I12,"Up "&amp;ROUND((B12-I12)/I12*100,1)&amp;"%","Down "&amp;ROUND((I12-B12)/I12*100,1)&amp;"%")</f>
        <v>Up 17.3%</v>
      </c>
    </row>
    <row r="13" spans="1:10" ht="15" customHeight="1" x14ac:dyDescent="0.25">
      <c r="A13" s="36" t="s">
        <v>226</v>
      </c>
      <c r="B13" s="37">
        <v>45200</v>
      </c>
      <c r="C13" s="37">
        <v>75000</v>
      </c>
      <c r="D13" s="59">
        <f>ROUND(B13/C13*100,1)</f>
        <v>60.3</v>
      </c>
      <c r="E13" s="57">
        <f>IF(B13&gt;200000,12,IF(B13&gt;100000,8,IF(B13&gt;50000,5,3)))</f>
        <v>3</v>
      </c>
      <c r="F13" s="37">
        <f>ROUND(B13*E13/100,0)</f>
        <v>1356</v>
      </c>
      <c r="G13" s="37">
        <f>IF(B13&gt;=C13,IF(B13&gt;200000,10000,IF(B13&gt;100000,5000,IF(B13&gt;50000,2000,0))),0)</f>
        <v>0</v>
      </c>
      <c r="H13" s="37">
        <f>F13+G13</f>
        <v>1356</v>
      </c>
      <c r="I13" s="37">
        <v>55000</v>
      </c>
      <c r="J13" s="36" t="str">
        <f>IF(B13&gt;I13,"Up "&amp;ROUND((B13-I13)/I13*100,1)&amp;"%","Down "&amp;ROUND((I13-B13)/I13*100,1)&amp;"%")</f>
        <v>Down 17.8%</v>
      </c>
    </row>
    <row r="14" spans="1:10" ht="15" customHeight="1" x14ac:dyDescent="0.25">
      <c r="A14" s="40" t="s">
        <v>228</v>
      </c>
      <c r="B14" s="41">
        <v>225000</v>
      </c>
      <c r="C14" s="41">
        <v>150000</v>
      </c>
      <c r="D14" s="62">
        <f>ROUND(B14/C14*100,1)</f>
        <v>150</v>
      </c>
      <c r="E14" s="60">
        <f>IF(B14&gt;200000,12,IF(B14&gt;100000,8,IF(B14&gt;50000,5,3)))</f>
        <v>12</v>
      </c>
      <c r="F14" s="41">
        <f>ROUND(B14*E14/100,0)</f>
        <v>27000</v>
      </c>
      <c r="G14" s="41">
        <f>IF(B14&gt;=C14,IF(B14&gt;200000,10000,IF(B14&gt;100000,5000,IF(B14&gt;50000,2000,0))),0)</f>
        <v>10000</v>
      </c>
      <c r="H14" s="41">
        <f>F14+G14</f>
        <v>37000</v>
      </c>
      <c r="I14" s="41">
        <v>172000</v>
      </c>
      <c r="J14" s="40" t="str">
        <f>IF(B14&gt;I14,"Up "&amp;ROUND((B14-I14)/I14*100,1)&amp;"%","Down "&amp;ROUND((I14-B14)/I14*100,1)&amp;"%")</f>
        <v>Up 30.8%</v>
      </c>
    </row>
    <row r="15" spans="1:10" ht="15" customHeight="1" x14ac:dyDescent="0.25">
      <c r="A15" s="36" t="s">
        <v>304</v>
      </c>
      <c r="B15" s="37">
        <v>88000</v>
      </c>
      <c r="C15" s="37">
        <v>75000</v>
      </c>
      <c r="D15" s="59">
        <f>ROUND(B15/C15*100,1)</f>
        <v>117.3</v>
      </c>
      <c r="E15" s="57">
        <f>IF(B15&gt;200000,12,IF(B15&gt;100000,8,IF(B15&gt;50000,5,3)))</f>
        <v>5</v>
      </c>
      <c r="F15" s="37">
        <f>ROUND(B15*E15/100,0)</f>
        <v>4400</v>
      </c>
      <c r="G15" s="37">
        <f>IF(B15&gt;=C15,IF(B15&gt;200000,10000,IF(B15&gt;100000,5000,IF(B15&gt;50000,2000,0))),0)</f>
        <v>2000</v>
      </c>
      <c r="H15" s="37">
        <f>F15+G15</f>
        <v>6400</v>
      </c>
      <c r="I15" s="37">
        <v>72000</v>
      </c>
      <c r="J15" s="36" t="str">
        <f>IF(B15&gt;I15,"Up "&amp;ROUND((B15-I15)/I15*100,1)&amp;"%","Down "&amp;ROUND((I15-B15)/I15*100,1)&amp;"%")</f>
        <v>Up 22.2%</v>
      </c>
    </row>
    <row r="16" spans="1:10" ht="15" customHeight="1" x14ac:dyDescent="0.25">
      <c r="A16" s="74" t="s">
        <v>305</v>
      </c>
      <c r="B16" s="74">
        <f>SUM(B11:B15)</f>
        <v>551700</v>
      </c>
      <c r="F16" s="74">
        <f>SUM(F11:F15)</f>
        <v>45881</v>
      </c>
      <c r="G16" s="74">
        <f>SUM(G11:G15)</f>
        <v>19000</v>
      </c>
      <c r="H16" s="74">
        <f>SUM(H11:H15)</f>
        <v>64881</v>
      </c>
      <c r="I16" s="74">
        <f>SUM(I11:I15)</f>
        <v>462000</v>
      </c>
    </row>
  </sheetData>
  <mergeCells count="3">
    <mergeCell ref="A1:J1"/>
    <mergeCell ref="A2:J2"/>
    <mergeCell ref="A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3" width="16" customWidth="1"/>
    <col min="4" max="4" width="14" customWidth="1"/>
    <col min="5" max="5" width="10" customWidth="1"/>
    <col min="6" max="9" width="14" customWidth="1"/>
    <col min="10" max="11" width="16" customWidth="1"/>
    <col min="12" max="12" width="24" customWidth="1"/>
  </cols>
  <sheetData>
    <row r="1" spans="1:12" ht="27.75" customHeight="1" x14ac:dyDescent="0.25">
      <c r="A1" s="2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.75" customHeight="1" x14ac:dyDescent="0.25">
      <c r="A2" s="75" t="s">
        <v>307</v>
      </c>
      <c r="B2" s="75" t="s">
        <v>308</v>
      </c>
      <c r="C2" s="75" t="s">
        <v>309</v>
      </c>
      <c r="D2" s="75" t="s">
        <v>310</v>
      </c>
      <c r="E2" s="75" t="s">
        <v>311</v>
      </c>
      <c r="F2" s="75" t="s">
        <v>312</v>
      </c>
      <c r="G2" s="75" t="s">
        <v>313</v>
      </c>
      <c r="H2" s="75" t="s">
        <v>314</v>
      </c>
      <c r="I2" s="75" t="s">
        <v>315</v>
      </c>
      <c r="J2" s="75" t="s">
        <v>316</v>
      </c>
      <c r="K2" s="75" t="s">
        <v>317</v>
      </c>
      <c r="L2" s="75" t="s">
        <v>242</v>
      </c>
    </row>
    <row r="3" spans="1:12" ht="15" customHeight="1" x14ac:dyDescent="0.25">
      <c r="A3" s="36" t="s">
        <v>218</v>
      </c>
      <c r="B3" s="76" t="s">
        <v>318</v>
      </c>
      <c r="C3" s="37">
        <v>12000</v>
      </c>
      <c r="D3" s="37">
        <v>800</v>
      </c>
      <c r="E3" s="37">
        <v>200</v>
      </c>
      <c r="F3" s="37">
        <v>500</v>
      </c>
      <c r="G3" s="37">
        <f t="shared" ref="G3:G8" si="0">C3+D3+E3+F3</f>
        <v>13500</v>
      </c>
      <c r="H3" s="37"/>
      <c r="I3" s="37">
        <f t="shared" ref="I3:I8" si="1">G3-H3</f>
        <v>13500</v>
      </c>
      <c r="J3" s="76">
        <f t="shared" ref="J3:J8" si="2">EDATE(B3,11)</f>
        <v>45992</v>
      </c>
      <c r="K3" s="54">
        <f t="shared" ref="K3:K8" ca="1" si="3">IFERROR(MAX(0,DATEDIF(TODAY(),J3,"M")),0)</f>
        <v>0</v>
      </c>
      <c r="L3" s="36" t="str">
        <f t="shared" ref="L3:L8" si="4">IF(I3=0,"Paid",IF(H3=0,"Not Paid","Partial - Rs "&amp;I3&amp;" due"))</f>
        <v>Not Paid</v>
      </c>
    </row>
    <row r="4" spans="1:12" ht="15" customHeight="1" x14ac:dyDescent="0.25">
      <c r="A4" s="40" t="s">
        <v>222</v>
      </c>
      <c r="B4" s="77" t="s">
        <v>319</v>
      </c>
      <c r="C4" s="41">
        <v>15000</v>
      </c>
      <c r="D4" s="41">
        <v>1200</v>
      </c>
      <c r="E4" s="41">
        <v>200</v>
      </c>
      <c r="F4" s="41">
        <v>500</v>
      </c>
      <c r="G4" s="41">
        <f t="shared" si="0"/>
        <v>16900</v>
      </c>
      <c r="H4" s="41"/>
      <c r="I4" s="41">
        <f t="shared" si="1"/>
        <v>16900</v>
      </c>
      <c r="J4" s="77">
        <f t="shared" si="2"/>
        <v>46054</v>
      </c>
      <c r="K4" s="55">
        <f t="shared" ca="1" si="3"/>
        <v>0</v>
      </c>
      <c r="L4" s="40" t="str">
        <f t="shared" si="4"/>
        <v>Not Paid</v>
      </c>
    </row>
    <row r="5" spans="1:12" ht="15" customHeight="1" x14ac:dyDescent="0.25">
      <c r="A5" s="36" t="s">
        <v>226</v>
      </c>
      <c r="B5" s="76" t="s">
        <v>320</v>
      </c>
      <c r="C5" s="37">
        <v>10000</v>
      </c>
      <c r="D5" s="37">
        <v>600</v>
      </c>
      <c r="E5" s="37">
        <v>200</v>
      </c>
      <c r="F5" s="37">
        <v>500</v>
      </c>
      <c r="G5" s="37">
        <f t="shared" si="0"/>
        <v>11300</v>
      </c>
      <c r="H5" s="37"/>
      <c r="I5" s="37">
        <f t="shared" si="1"/>
        <v>11300</v>
      </c>
      <c r="J5" s="76">
        <f t="shared" si="2"/>
        <v>45778</v>
      </c>
      <c r="K5" s="54">
        <f t="shared" ca="1" si="3"/>
        <v>0</v>
      </c>
      <c r="L5" s="36" t="str">
        <f t="shared" si="4"/>
        <v>Not Paid</v>
      </c>
    </row>
    <row r="6" spans="1:12" ht="15" customHeight="1" x14ac:dyDescent="0.25">
      <c r="A6" s="40" t="s">
        <v>228</v>
      </c>
      <c r="B6" s="77" t="s">
        <v>321</v>
      </c>
      <c r="C6" s="41">
        <v>18000</v>
      </c>
      <c r="D6" s="41">
        <v>1500</v>
      </c>
      <c r="E6" s="41">
        <v>200</v>
      </c>
      <c r="F6" s="41">
        <v>500</v>
      </c>
      <c r="G6" s="41">
        <f t="shared" si="0"/>
        <v>20200</v>
      </c>
      <c r="H6" s="41"/>
      <c r="I6" s="41">
        <f t="shared" si="1"/>
        <v>20200</v>
      </c>
      <c r="J6" s="77">
        <f t="shared" si="2"/>
        <v>45870</v>
      </c>
      <c r="K6" s="55">
        <f t="shared" ca="1" si="3"/>
        <v>0</v>
      </c>
      <c r="L6" s="40" t="str">
        <f t="shared" si="4"/>
        <v>Not Paid</v>
      </c>
    </row>
    <row r="7" spans="1:12" ht="15" customHeight="1" x14ac:dyDescent="0.25">
      <c r="A7" s="36" t="s">
        <v>230</v>
      </c>
      <c r="B7" s="76" t="s">
        <v>322</v>
      </c>
      <c r="C7" s="37">
        <v>14000</v>
      </c>
      <c r="D7" s="37">
        <v>950</v>
      </c>
      <c r="E7" s="37">
        <v>200</v>
      </c>
      <c r="F7" s="37">
        <v>500</v>
      </c>
      <c r="G7" s="37">
        <f t="shared" si="0"/>
        <v>15650</v>
      </c>
      <c r="H7" s="37"/>
      <c r="I7" s="37">
        <f t="shared" si="1"/>
        <v>15650</v>
      </c>
      <c r="J7" s="76">
        <f t="shared" si="2"/>
        <v>46037</v>
      </c>
      <c r="K7" s="54">
        <f t="shared" ca="1" si="3"/>
        <v>0</v>
      </c>
      <c r="L7" s="36" t="str">
        <f t="shared" si="4"/>
        <v>Not Paid</v>
      </c>
    </row>
    <row r="8" spans="1:12" ht="15" customHeight="1" x14ac:dyDescent="0.25">
      <c r="A8" s="40" t="s">
        <v>323</v>
      </c>
      <c r="B8" s="77" t="s">
        <v>324</v>
      </c>
      <c r="C8" s="41">
        <v>13000</v>
      </c>
      <c r="D8" s="41">
        <v>700</v>
      </c>
      <c r="E8" s="41">
        <v>200</v>
      </c>
      <c r="F8" s="41">
        <v>500</v>
      </c>
      <c r="G8" s="41">
        <f t="shared" si="0"/>
        <v>14400</v>
      </c>
      <c r="H8" s="41"/>
      <c r="I8" s="41">
        <f t="shared" si="1"/>
        <v>14400</v>
      </c>
      <c r="J8" s="77">
        <f t="shared" si="2"/>
        <v>46082</v>
      </c>
      <c r="K8" s="55">
        <f t="shared" ca="1" si="3"/>
        <v>0</v>
      </c>
      <c r="L8" s="40" t="str">
        <f t="shared" si="4"/>
        <v>Not Paid</v>
      </c>
    </row>
    <row r="10" spans="1:12" ht="21.75" customHeight="1" x14ac:dyDescent="0.25">
      <c r="A10" s="12" t="s">
        <v>153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ht="21.75" customHeight="1" x14ac:dyDescent="0.25">
      <c r="A11" s="43" t="s">
        <v>325</v>
      </c>
      <c r="B11" s="43" t="s">
        <v>326</v>
      </c>
      <c r="C11" s="43" t="s">
        <v>156</v>
      </c>
      <c r="D11" s="43" t="s">
        <v>157</v>
      </c>
      <c r="E11" s="43" t="s">
        <v>158</v>
      </c>
      <c r="F11" s="43" t="s">
        <v>327</v>
      </c>
      <c r="G11" s="43" t="s">
        <v>328</v>
      </c>
      <c r="H11" s="43"/>
      <c r="I11" s="43"/>
      <c r="J11" s="43"/>
      <c r="K11" s="43"/>
      <c r="L11" s="43"/>
    </row>
    <row r="12" spans="1:12" ht="15" customHeight="1" x14ac:dyDescent="0.25">
      <c r="A12" s="53">
        <f>COUNTA(A3:A8)</f>
        <v>6</v>
      </c>
      <c r="B12" s="53">
        <f>SUM(G3:G8)</f>
        <v>91950</v>
      </c>
      <c r="C12" s="53">
        <f>SUM(H3:H8)</f>
        <v>0</v>
      </c>
      <c r="D12" s="53">
        <f>SUM(I3:I8)</f>
        <v>91950</v>
      </c>
      <c r="E12" s="53">
        <f>COUNTIF(L3:L8,"Paid")</f>
        <v>0</v>
      </c>
      <c r="F12" s="53">
        <f>COUNTIF(L3:L8,"Not Paid")</f>
        <v>6</v>
      </c>
      <c r="G12" s="53">
        <f>COUNTIF(L3:L8,"Partial*")</f>
        <v>0</v>
      </c>
    </row>
  </sheetData>
  <mergeCells count="2">
    <mergeCell ref="A1:L1"/>
    <mergeCell ref="A10:L1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26" customWidth="1"/>
    <col min="3" max="3" width="16" customWidth="1"/>
    <col min="4" max="4" width="10" customWidth="1"/>
    <col min="5" max="7" width="13" customWidth="1"/>
    <col min="8" max="10" width="14" customWidth="1"/>
    <col min="11" max="11" width="15" customWidth="1"/>
    <col min="12" max="12" width="14" customWidth="1"/>
    <col min="13" max="13" width="12" customWidth="1"/>
  </cols>
  <sheetData>
    <row r="1" spans="1:13" ht="27.75" customHeight="1" x14ac:dyDescent="0.25">
      <c r="A1" s="7" t="s">
        <v>329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21.75" customHeight="1" x14ac:dyDescent="0.25">
      <c r="A2" s="63" t="s">
        <v>330</v>
      </c>
      <c r="B2" s="63" t="s">
        <v>331</v>
      </c>
      <c r="C2" s="63" t="s">
        <v>332</v>
      </c>
      <c r="D2" s="63" t="s">
        <v>333</v>
      </c>
      <c r="E2" s="63" t="s">
        <v>334</v>
      </c>
      <c r="F2" s="63" t="s">
        <v>335</v>
      </c>
      <c r="G2" s="63" t="s">
        <v>336</v>
      </c>
      <c r="H2" s="63" t="s">
        <v>56</v>
      </c>
      <c r="I2" s="63" t="s">
        <v>337</v>
      </c>
      <c r="J2" s="63" t="s">
        <v>338</v>
      </c>
      <c r="K2" s="63" t="s">
        <v>339</v>
      </c>
      <c r="L2" s="63" t="s">
        <v>340</v>
      </c>
      <c r="M2" s="63" t="s">
        <v>341</v>
      </c>
    </row>
    <row r="3" spans="1:13" ht="15" customHeight="1" x14ac:dyDescent="0.25">
      <c r="A3" s="35" t="s">
        <v>342</v>
      </c>
      <c r="B3" s="36" t="s">
        <v>343</v>
      </c>
      <c r="C3" s="36" t="s">
        <v>344</v>
      </c>
      <c r="D3" s="35" t="s">
        <v>345</v>
      </c>
      <c r="E3" s="76" t="s">
        <v>57</v>
      </c>
      <c r="F3" s="76" t="s">
        <v>73</v>
      </c>
      <c r="G3" s="54">
        <f t="shared" ref="G3:G9" si="0">IFERROR(NETWORKDAYS(E3,F3),0)</f>
        <v>5</v>
      </c>
      <c r="H3" s="36" t="s">
        <v>346</v>
      </c>
      <c r="I3" s="57">
        <v>100</v>
      </c>
      <c r="J3" s="76" t="s">
        <v>347</v>
      </c>
      <c r="K3" s="54">
        <f t="shared" ref="K3:K9" ca="1" si="1">IF(H3="Complete",0,IFERROR(NETWORKDAYS(TODAY(),F3),0))</f>
        <v>0</v>
      </c>
      <c r="L3" s="35" t="str">
        <f t="shared" ref="L3:L9" ca="1" si="2">IF(H3="Complete","Done",IF(TODAY()&gt;F3,"OVERDUE",IF(NETWORKDAYS(TODAY(),F3)&lt;=2,"Due Soon","On Track")))</f>
        <v>Done</v>
      </c>
      <c r="M3" s="54">
        <f t="shared" ref="M3:M9" si="3">IF(AND(H3="Complete",J3&lt;&gt;""),IFERROR(MAX(0,NETWORKDAYS(F3,J3)-1),0),0)</f>
        <v>0</v>
      </c>
    </row>
    <row r="4" spans="1:13" ht="15" customHeight="1" x14ac:dyDescent="0.25">
      <c r="A4" s="39" t="s">
        <v>348</v>
      </c>
      <c r="B4" s="40" t="s">
        <v>349</v>
      </c>
      <c r="C4" s="40" t="s">
        <v>350</v>
      </c>
      <c r="D4" s="39" t="s">
        <v>345</v>
      </c>
      <c r="E4" s="77" t="s">
        <v>71</v>
      </c>
      <c r="F4" s="77" t="s">
        <v>82</v>
      </c>
      <c r="G4" s="55">
        <f t="shared" si="0"/>
        <v>7</v>
      </c>
      <c r="H4" s="40" t="s">
        <v>346</v>
      </c>
      <c r="I4" s="60">
        <v>100</v>
      </c>
      <c r="J4" s="77" t="s">
        <v>351</v>
      </c>
      <c r="K4" s="55">
        <f t="shared" ca="1" si="1"/>
        <v>0</v>
      </c>
      <c r="L4" s="39" t="str">
        <f t="shared" ca="1" si="2"/>
        <v>Done</v>
      </c>
      <c r="M4" s="55">
        <f t="shared" si="3"/>
        <v>0</v>
      </c>
    </row>
    <row r="5" spans="1:13" ht="15" customHeight="1" x14ac:dyDescent="0.25">
      <c r="A5" s="35" t="s">
        <v>352</v>
      </c>
      <c r="B5" s="36" t="s">
        <v>353</v>
      </c>
      <c r="C5" s="36" t="s">
        <v>354</v>
      </c>
      <c r="D5" s="35" t="s">
        <v>345</v>
      </c>
      <c r="E5" s="76" t="s">
        <v>77</v>
      </c>
      <c r="F5" s="76" t="s">
        <v>97</v>
      </c>
      <c r="G5" s="54">
        <f t="shared" si="0"/>
        <v>15</v>
      </c>
      <c r="H5" s="36" t="s">
        <v>355</v>
      </c>
      <c r="I5" s="57">
        <v>65</v>
      </c>
      <c r="J5" s="76"/>
      <c r="K5" s="54">
        <f t="shared" ca="1" si="1"/>
        <v>-237</v>
      </c>
      <c r="L5" s="35" t="str">
        <f t="shared" ca="1" si="2"/>
        <v>Due Soon</v>
      </c>
      <c r="M5" s="54">
        <f t="shared" si="3"/>
        <v>0</v>
      </c>
    </row>
    <row r="6" spans="1:13" ht="15" customHeight="1" x14ac:dyDescent="0.25">
      <c r="A6" s="39" t="s">
        <v>356</v>
      </c>
      <c r="B6" s="40" t="s">
        <v>357</v>
      </c>
      <c r="C6" s="40" t="s">
        <v>358</v>
      </c>
      <c r="D6" s="39" t="s">
        <v>359</v>
      </c>
      <c r="E6" s="77" t="s">
        <v>80</v>
      </c>
      <c r="F6" s="77" t="s">
        <v>92</v>
      </c>
      <c r="G6" s="55">
        <f t="shared" si="0"/>
        <v>10</v>
      </c>
      <c r="H6" s="40" t="s">
        <v>346</v>
      </c>
      <c r="I6" s="60">
        <v>100</v>
      </c>
      <c r="J6" s="77" t="s">
        <v>94</v>
      </c>
      <c r="K6" s="55">
        <f t="shared" ca="1" si="1"/>
        <v>0</v>
      </c>
      <c r="L6" s="39" t="str">
        <f t="shared" ca="1" si="2"/>
        <v>Done</v>
      </c>
      <c r="M6" s="55">
        <f t="shared" si="3"/>
        <v>2</v>
      </c>
    </row>
    <row r="7" spans="1:13" ht="15" customHeight="1" x14ac:dyDescent="0.25">
      <c r="A7" s="35" t="s">
        <v>360</v>
      </c>
      <c r="B7" s="36" t="s">
        <v>361</v>
      </c>
      <c r="C7" s="36" t="s">
        <v>362</v>
      </c>
      <c r="D7" s="35" t="s">
        <v>345</v>
      </c>
      <c r="E7" s="76" t="s">
        <v>92</v>
      </c>
      <c r="F7" s="76" t="s">
        <v>363</v>
      </c>
      <c r="G7" s="54">
        <f t="shared" si="0"/>
        <v>12</v>
      </c>
      <c r="H7" s="36" t="s">
        <v>364</v>
      </c>
      <c r="I7" s="57">
        <v>0</v>
      </c>
      <c r="J7" s="76"/>
      <c r="K7" s="54">
        <f t="shared" ca="1" si="1"/>
        <v>-229</v>
      </c>
      <c r="L7" s="35" t="str">
        <f t="shared" ca="1" si="2"/>
        <v>Due Soon</v>
      </c>
      <c r="M7" s="54">
        <f t="shared" si="3"/>
        <v>0</v>
      </c>
    </row>
    <row r="8" spans="1:13" ht="15" customHeight="1" x14ac:dyDescent="0.25">
      <c r="A8" s="39" t="s">
        <v>365</v>
      </c>
      <c r="B8" s="40" t="s">
        <v>366</v>
      </c>
      <c r="C8" s="40" t="s">
        <v>367</v>
      </c>
      <c r="D8" s="39" t="s">
        <v>359</v>
      </c>
      <c r="E8" s="77" t="s">
        <v>368</v>
      </c>
      <c r="F8" s="77" t="s">
        <v>369</v>
      </c>
      <c r="G8" s="55">
        <f t="shared" si="0"/>
        <v>4</v>
      </c>
      <c r="H8" s="40" t="s">
        <v>364</v>
      </c>
      <c r="I8" s="60">
        <v>0</v>
      </c>
      <c r="J8" s="77"/>
      <c r="K8" s="55">
        <f t="shared" ca="1" si="1"/>
        <v>-232</v>
      </c>
      <c r="L8" s="39" t="str">
        <f t="shared" ca="1" si="2"/>
        <v>Due Soon</v>
      </c>
      <c r="M8" s="55">
        <f t="shared" si="3"/>
        <v>0</v>
      </c>
    </row>
    <row r="9" spans="1:13" ht="15" customHeight="1" x14ac:dyDescent="0.25">
      <c r="A9" s="35" t="s">
        <v>370</v>
      </c>
      <c r="B9" s="36" t="s">
        <v>371</v>
      </c>
      <c r="C9" s="36" t="s">
        <v>354</v>
      </c>
      <c r="D9" s="35" t="s">
        <v>345</v>
      </c>
      <c r="E9" s="76" t="s">
        <v>372</v>
      </c>
      <c r="F9" s="76" t="s">
        <v>373</v>
      </c>
      <c r="G9" s="54">
        <f t="shared" si="0"/>
        <v>7</v>
      </c>
      <c r="H9" s="36" t="s">
        <v>364</v>
      </c>
      <c r="I9" s="57">
        <v>0</v>
      </c>
      <c r="J9" s="76"/>
      <c r="K9" s="54">
        <f t="shared" ca="1" si="1"/>
        <v>-226</v>
      </c>
      <c r="L9" s="35" t="str">
        <f t="shared" ca="1" si="2"/>
        <v>Due Soon</v>
      </c>
      <c r="M9" s="54">
        <f t="shared" si="3"/>
        <v>0</v>
      </c>
    </row>
    <row r="11" spans="1:13" ht="21.75" customHeight="1" x14ac:dyDescent="0.25">
      <c r="A11" s="12" t="s">
        <v>374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3" ht="21.75" customHeight="1" x14ac:dyDescent="0.25">
      <c r="A12" s="43" t="s">
        <v>375</v>
      </c>
      <c r="B12" s="43" t="s">
        <v>346</v>
      </c>
      <c r="C12" s="43" t="s">
        <v>355</v>
      </c>
      <c r="D12" s="43" t="s">
        <v>364</v>
      </c>
      <c r="E12" s="43" t="s">
        <v>159</v>
      </c>
      <c r="F12" s="43" t="s">
        <v>376</v>
      </c>
      <c r="G12" s="43"/>
      <c r="H12" s="43"/>
      <c r="I12" s="43"/>
      <c r="J12" s="43"/>
      <c r="K12" s="43"/>
      <c r="L12" s="43"/>
      <c r="M12" s="43"/>
    </row>
    <row r="13" spans="1:13" ht="15" customHeight="1" x14ac:dyDescent="0.25">
      <c r="A13" s="78">
        <f>COUNTA(A3:A9)</f>
        <v>7</v>
      </c>
      <c r="B13" s="78">
        <f>COUNTIF(H3:H9,"Complete")</f>
        <v>3</v>
      </c>
      <c r="C13" s="78">
        <f>COUNTIF(H3:H9,"In Progress")</f>
        <v>1</v>
      </c>
      <c r="D13" s="78">
        <f>COUNTIF(H3:H9,"Not Started")</f>
        <v>3</v>
      </c>
      <c r="E13" s="78">
        <f ca="1">COUNTIF(L3:L9,"OVERDUE")</f>
        <v>0</v>
      </c>
      <c r="F13" s="78">
        <f>IFERROR(AVERAGEIF(H3:H9,"Complete",M3:M9),0)</f>
        <v>0.66666666666666663</v>
      </c>
    </row>
  </sheetData>
  <mergeCells count="2">
    <mergeCell ref="A1:K1"/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4" customWidth="1"/>
    <col min="3" max="3" width="10" customWidth="1"/>
    <col min="4" max="5" width="12" customWidth="1"/>
    <col min="6" max="6" width="14" customWidth="1"/>
    <col min="7" max="7" width="28" customWidth="1"/>
    <col min="8" max="8" width="12" customWidth="1"/>
    <col min="9" max="9" width="10" customWidth="1"/>
    <col min="10" max="10" width="30" customWidth="1"/>
    <col min="11" max="12" width="14" customWidth="1"/>
    <col min="13" max="13" width="32" customWidth="1"/>
  </cols>
  <sheetData>
    <row r="1" spans="1:13" ht="27.75" customHeight="1" x14ac:dyDescent="0.25">
      <c r="A1" s="5" t="s">
        <v>377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21.75" customHeight="1" x14ac:dyDescent="0.25">
      <c r="A2" s="73" t="s">
        <v>378</v>
      </c>
      <c r="B2" s="73" t="s">
        <v>51</v>
      </c>
      <c r="C2" s="73" t="s">
        <v>379</v>
      </c>
      <c r="D2" s="73" t="s">
        <v>380</v>
      </c>
      <c r="E2" s="73" t="s">
        <v>381</v>
      </c>
      <c r="F2" s="73" t="s">
        <v>382</v>
      </c>
      <c r="G2" s="73" t="s">
        <v>383</v>
      </c>
      <c r="H2" s="73" t="s">
        <v>384</v>
      </c>
      <c r="I2" s="73" t="s">
        <v>385</v>
      </c>
      <c r="J2" s="73" t="s">
        <v>386</v>
      </c>
      <c r="K2" s="73" t="s">
        <v>163</v>
      </c>
      <c r="L2" s="73" t="s">
        <v>387</v>
      </c>
      <c r="M2" s="73" t="s">
        <v>388</v>
      </c>
    </row>
    <row r="3" spans="1:13" ht="15" customHeight="1" x14ac:dyDescent="0.25">
      <c r="A3" s="36" t="s">
        <v>389</v>
      </c>
      <c r="B3" s="36" t="s">
        <v>390</v>
      </c>
      <c r="C3" s="35" t="s">
        <v>391</v>
      </c>
      <c r="D3" s="79" t="s">
        <v>392</v>
      </c>
      <c r="E3" s="79" t="s">
        <v>393</v>
      </c>
      <c r="F3" s="80">
        <f t="shared" ref="F3:F10" ca="1" si="0">IFERROR(E3-TODAY(),0)</f>
        <v>-145</v>
      </c>
      <c r="G3" s="36" t="str">
        <f t="shared" ref="G3:G10" ca="1" si="1">IF(F3&lt;0,"EXPIRED",IF(F3&lt;=30,"Critical - Expiring &lt;30 days",IF(F3&lt;=60,"Watch - Expiring &lt;60 days",IF(F3&lt;=180,"Plan - Expiring &lt;180 days","Good"))))</f>
        <v>EXPIRED</v>
      </c>
      <c r="H3" s="37">
        <v>500</v>
      </c>
      <c r="I3" s="37">
        <v>100</v>
      </c>
      <c r="J3" s="36" t="str">
        <f t="shared" ref="J3:J10" si="2">IF(H3&lt;I3,"ORDER NOW - "&amp;(I3*3-H3)&amp;" units needed","Stock OK")</f>
        <v>Stock OK</v>
      </c>
      <c r="K3" s="58">
        <v>2.5</v>
      </c>
      <c r="L3" s="58">
        <f t="shared" ref="L3:L10" si="3">H3*K3</f>
        <v>1250</v>
      </c>
      <c r="M3" s="36" t="str">
        <f t="shared" ref="M3:M10" ca="1" si="4">IF(F3&lt;0,"Return/Dispose immediately",IF(F3&lt;=60,"Apply for return to supplier",IF(H3&lt;I3,"Reorder stock","No action needed")))</f>
        <v>Return/Dispose immediately</v>
      </c>
    </row>
    <row r="4" spans="1:13" ht="15" customHeight="1" x14ac:dyDescent="0.25">
      <c r="A4" s="40" t="s">
        <v>394</v>
      </c>
      <c r="B4" s="40" t="s">
        <v>395</v>
      </c>
      <c r="C4" s="39" t="s">
        <v>396</v>
      </c>
      <c r="D4" s="81" t="s">
        <v>397</v>
      </c>
      <c r="E4" s="81" t="s">
        <v>319</v>
      </c>
      <c r="F4" s="82">
        <f t="shared" ca="1" si="0"/>
        <v>-451</v>
      </c>
      <c r="G4" s="40" t="str">
        <f t="shared" ca="1" si="1"/>
        <v>EXPIRED</v>
      </c>
      <c r="H4" s="41">
        <v>80</v>
      </c>
      <c r="I4" s="41">
        <v>50</v>
      </c>
      <c r="J4" s="40" t="str">
        <f t="shared" si="2"/>
        <v>Stock OK</v>
      </c>
      <c r="K4" s="61">
        <v>12</v>
      </c>
      <c r="L4" s="61">
        <f t="shared" si="3"/>
        <v>960</v>
      </c>
      <c r="M4" s="40" t="str">
        <f t="shared" ca="1" si="4"/>
        <v>Return/Dispose immediately</v>
      </c>
    </row>
    <row r="5" spans="1:13" ht="15" customHeight="1" x14ac:dyDescent="0.25">
      <c r="A5" s="36" t="s">
        <v>398</v>
      </c>
      <c r="B5" s="36" t="s">
        <v>399</v>
      </c>
      <c r="C5" s="35" t="s">
        <v>400</v>
      </c>
      <c r="D5" s="79" t="s">
        <v>401</v>
      </c>
      <c r="E5" s="79" t="s">
        <v>402</v>
      </c>
      <c r="F5" s="80">
        <f t="shared" ca="1" si="0"/>
        <v>-237</v>
      </c>
      <c r="G5" s="36" t="str">
        <f t="shared" ca="1" si="1"/>
        <v>EXPIRED</v>
      </c>
      <c r="H5" s="37">
        <v>200</v>
      </c>
      <c r="I5" s="37">
        <v>30</v>
      </c>
      <c r="J5" s="36" t="str">
        <f t="shared" si="2"/>
        <v>Stock OK</v>
      </c>
      <c r="K5" s="58">
        <v>25</v>
      </c>
      <c r="L5" s="58">
        <f t="shared" si="3"/>
        <v>5000</v>
      </c>
      <c r="M5" s="36" t="str">
        <f t="shared" ca="1" si="4"/>
        <v>Return/Dispose immediately</v>
      </c>
    </row>
    <row r="6" spans="1:13" ht="15" customHeight="1" x14ac:dyDescent="0.25">
      <c r="A6" s="40" t="s">
        <v>403</v>
      </c>
      <c r="B6" s="40" t="s">
        <v>404</v>
      </c>
      <c r="C6" s="39" t="s">
        <v>405</v>
      </c>
      <c r="D6" s="81" t="s">
        <v>406</v>
      </c>
      <c r="E6" s="81" t="s">
        <v>407</v>
      </c>
      <c r="F6" s="82">
        <f t="shared" ca="1" si="0"/>
        <v>-541</v>
      </c>
      <c r="G6" s="40" t="str">
        <f t="shared" ca="1" si="1"/>
        <v>EXPIRED</v>
      </c>
      <c r="H6" s="41">
        <v>45</v>
      </c>
      <c r="I6" s="41">
        <v>100</v>
      </c>
      <c r="J6" s="40" t="str">
        <f t="shared" si="2"/>
        <v>ORDER NOW - 255 units needed</v>
      </c>
      <c r="K6" s="61">
        <v>8</v>
      </c>
      <c r="L6" s="61">
        <f t="shared" si="3"/>
        <v>360</v>
      </c>
      <c r="M6" s="40" t="str">
        <f t="shared" ca="1" si="4"/>
        <v>Return/Dispose immediately</v>
      </c>
    </row>
    <row r="7" spans="1:13" ht="15" customHeight="1" x14ac:dyDescent="0.25">
      <c r="A7" s="36" t="s">
        <v>408</v>
      </c>
      <c r="B7" s="36" t="s">
        <v>409</v>
      </c>
      <c r="C7" s="35" t="s">
        <v>410</v>
      </c>
      <c r="D7" s="79" t="s">
        <v>411</v>
      </c>
      <c r="E7" s="79" t="s">
        <v>412</v>
      </c>
      <c r="F7" s="80">
        <f t="shared" ca="1" si="0"/>
        <v>-25</v>
      </c>
      <c r="G7" s="36" t="str">
        <f t="shared" ca="1" si="1"/>
        <v>EXPIRED</v>
      </c>
      <c r="H7" s="37">
        <v>300</v>
      </c>
      <c r="I7" s="37">
        <v>80</v>
      </c>
      <c r="J7" s="36" t="str">
        <f t="shared" si="2"/>
        <v>Stock OK</v>
      </c>
      <c r="K7" s="58">
        <v>3</v>
      </c>
      <c r="L7" s="58">
        <f t="shared" si="3"/>
        <v>900</v>
      </c>
      <c r="M7" s="36" t="str">
        <f t="shared" ca="1" si="4"/>
        <v>Return/Dispose immediately</v>
      </c>
    </row>
    <row r="8" spans="1:13" ht="15" customHeight="1" x14ac:dyDescent="0.25">
      <c r="A8" s="40" t="s">
        <v>413</v>
      </c>
      <c r="B8" s="40" t="s">
        <v>395</v>
      </c>
      <c r="C8" s="39" t="s">
        <v>414</v>
      </c>
      <c r="D8" s="81" t="s">
        <v>415</v>
      </c>
      <c r="E8" s="81" t="s">
        <v>416</v>
      </c>
      <c r="F8" s="82">
        <f t="shared" ca="1" si="0"/>
        <v>-267</v>
      </c>
      <c r="G8" s="40" t="str">
        <f t="shared" ca="1" si="1"/>
        <v>EXPIRED</v>
      </c>
      <c r="H8" s="41">
        <v>20</v>
      </c>
      <c r="I8" s="41">
        <v>50</v>
      </c>
      <c r="J8" s="40" t="str">
        <f t="shared" si="2"/>
        <v>ORDER NOW - 130 units needed</v>
      </c>
      <c r="K8" s="61">
        <v>45</v>
      </c>
      <c r="L8" s="61">
        <f t="shared" si="3"/>
        <v>900</v>
      </c>
      <c r="M8" s="40" t="str">
        <f t="shared" ca="1" si="4"/>
        <v>Return/Dispose immediately</v>
      </c>
    </row>
    <row r="9" spans="1:13" ht="15" customHeight="1" x14ac:dyDescent="0.25">
      <c r="A9" s="36" t="s">
        <v>417</v>
      </c>
      <c r="B9" s="36" t="s">
        <v>418</v>
      </c>
      <c r="C9" s="35" t="s">
        <v>419</v>
      </c>
      <c r="D9" s="79" t="s">
        <v>320</v>
      </c>
      <c r="E9" s="79" t="s">
        <v>420</v>
      </c>
      <c r="F9" s="80">
        <f t="shared" ca="1" si="0"/>
        <v>6</v>
      </c>
      <c r="G9" s="36" t="str">
        <f t="shared" ca="1" si="1"/>
        <v>Critical - Expiring &lt;30 days</v>
      </c>
      <c r="H9" s="37">
        <v>150</v>
      </c>
      <c r="I9" s="37">
        <v>40</v>
      </c>
      <c r="J9" s="36" t="str">
        <f t="shared" si="2"/>
        <v>Stock OK</v>
      </c>
      <c r="K9" s="58">
        <v>6</v>
      </c>
      <c r="L9" s="58">
        <f t="shared" si="3"/>
        <v>900</v>
      </c>
      <c r="M9" s="36" t="str">
        <f t="shared" ca="1" si="4"/>
        <v>Apply for return to supplier</v>
      </c>
    </row>
    <row r="10" spans="1:13" ht="15" customHeight="1" x14ac:dyDescent="0.25">
      <c r="A10" s="40" t="s">
        <v>421</v>
      </c>
      <c r="B10" s="40" t="s">
        <v>404</v>
      </c>
      <c r="C10" s="39" t="s">
        <v>422</v>
      </c>
      <c r="D10" s="81" t="s">
        <v>423</v>
      </c>
      <c r="E10" s="81" t="s">
        <v>324</v>
      </c>
      <c r="F10" s="82">
        <f t="shared" ca="1" si="0"/>
        <v>-420</v>
      </c>
      <c r="G10" s="40" t="str">
        <f t="shared" ca="1" si="1"/>
        <v>EXPIRED</v>
      </c>
      <c r="H10" s="41">
        <v>10</v>
      </c>
      <c r="I10" s="41">
        <v>20</v>
      </c>
      <c r="J10" s="40" t="str">
        <f t="shared" si="2"/>
        <v>ORDER NOW - 50 units needed</v>
      </c>
      <c r="K10" s="61">
        <v>180</v>
      </c>
      <c r="L10" s="61">
        <f t="shared" si="3"/>
        <v>1800</v>
      </c>
      <c r="M10" s="40" t="str">
        <f t="shared" ca="1" si="4"/>
        <v>Return/Dispose immediately</v>
      </c>
    </row>
    <row r="12" spans="1:13" ht="21.75" customHeight="1" x14ac:dyDescent="0.25">
      <c r="A12" s="12" t="s">
        <v>424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3" ht="21.75" customHeight="1" x14ac:dyDescent="0.25">
      <c r="A13" s="43" t="s">
        <v>425</v>
      </c>
      <c r="B13" s="43" t="s">
        <v>426</v>
      </c>
      <c r="C13" s="43" t="s">
        <v>427</v>
      </c>
      <c r="D13" s="43" t="s">
        <v>428</v>
      </c>
      <c r="E13" s="43" t="s">
        <v>429</v>
      </c>
      <c r="F13" s="43" t="s">
        <v>430</v>
      </c>
      <c r="G13" s="43" t="s">
        <v>431</v>
      </c>
      <c r="H13" s="43"/>
      <c r="I13" s="43"/>
      <c r="J13" s="43"/>
      <c r="K13" s="43"/>
      <c r="L13" s="43"/>
      <c r="M13" s="43"/>
    </row>
    <row r="14" spans="1:13" ht="15" customHeight="1" x14ac:dyDescent="0.25">
      <c r="A14" s="83">
        <f>COUNTA(A3:A10)</f>
        <v>8</v>
      </c>
      <c r="B14" s="83">
        <f ca="1">COUNTIF(G3:G10,"EXPIRED")</f>
        <v>7</v>
      </c>
      <c r="C14" s="83">
        <f ca="1">COUNTIF(G3:G10,"Critical*")</f>
        <v>1</v>
      </c>
      <c r="D14" s="83">
        <f ca="1">COUNTIF(G3:G10,"Watch*")</f>
        <v>0</v>
      </c>
      <c r="E14" s="83">
        <f ca="1">COUNTIF(G3:G10,"Good")</f>
        <v>0</v>
      </c>
      <c r="F14" s="84">
        <f>SUM(L3:L10)</f>
        <v>12070</v>
      </c>
      <c r="G14" s="83">
        <f>COUNTIF(J3:J10,"ORDER*")</f>
        <v>3</v>
      </c>
    </row>
  </sheetData>
  <mergeCells count="2">
    <mergeCell ref="A1:L1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30" customWidth="1"/>
    <col min="3" max="8" width="14" customWidth="1"/>
  </cols>
  <sheetData>
    <row r="1" spans="1:8" ht="27.75" customHeight="1" x14ac:dyDescent="0.25">
      <c r="A1" s="1" t="s">
        <v>432</v>
      </c>
      <c r="B1" s="1"/>
      <c r="C1" s="1"/>
      <c r="D1" s="1"/>
      <c r="E1" s="1"/>
      <c r="F1" s="1"/>
      <c r="G1" s="1"/>
      <c r="H1" s="1"/>
    </row>
    <row r="2" spans="1:8" ht="21.75" customHeight="1" x14ac:dyDescent="0.25">
      <c r="A2" s="9" t="s">
        <v>433</v>
      </c>
      <c r="B2" s="9"/>
      <c r="C2" s="9"/>
      <c r="D2" s="9"/>
      <c r="E2" s="9"/>
      <c r="F2" s="9"/>
      <c r="G2" s="9"/>
      <c r="H2" s="9"/>
    </row>
    <row r="3" spans="1:8" ht="21.75" customHeight="1" x14ac:dyDescent="0.25">
      <c r="A3" s="34" t="s">
        <v>434</v>
      </c>
      <c r="B3" s="34" t="s">
        <v>50</v>
      </c>
      <c r="C3" s="34" t="s">
        <v>435</v>
      </c>
      <c r="D3" s="34" t="s">
        <v>436</v>
      </c>
      <c r="E3" s="34" t="s">
        <v>437</v>
      </c>
      <c r="F3" s="34" t="s">
        <v>438</v>
      </c>
      <c r="G3" s="34" t="s">
        <v>439</v>
      </c>
      <c r="H3" s="34" t="s">
        <v>440</v>
      </c>
    </row>
    <row r="4" spans="1:8" ht="15" customHeight="1" x14ac:dyDescent="0.25">
      <c r="A4" s="40" t="s">
        <v>441</v>
      </c>
      <c r="B4" s="40" t="s">
        <v>442</v>
      </c>
      <c r="C4" s="41">
        <v>52000</v>
      </c>
      <c r="D4" s="41">
        <v>47000</v>
      </c>
      <c r="E4" s="41">
        <v>58000</v>
      </c>
      <c r="F4" s="41">
        <f>C4+D4+E4</f>
        <v>157000</v>
      </c>
      <c r="G4" s="41">
        <f>ROUND(F4/3,0)</f>
        <v>52333</v>
      </c>
      <c r="H4" s="40" t="str">
        <f>IF(E4&gt;D4,"Improving","Declining")</f>
        <v>Improving</v>
      </c>
    </row>
    <row r="5" spans="1:8" ht="15" customHeight="1" x14ac:dyDescent="0.25">
      <c r="A5" s="36" t="s">
        <v>443</v>
      </c>
      <c r="B5" s="36" t="s">
        <v>444</v>
      </c>
      <c r="C5" s="37">
        <v>-2000</v>
      </c>
      <c r="D5" s="37">
        <v>-1500</v>
      </c>
      <c r="E5" s="37">
        <v>-2360</v>
      </c>
      <c r="F5" s="37">
        <f>C5+D5+E5</f>
        <v>-5860</v>
      </c>
      <c r="G5" s="37">
        <f>ROUND(F5/3,0)</f>
        <v>-1953</v>
      </c>
      <c r="H5" s="36" t="str">
        <f>IF(E5&gt;D5,"Improving","Declining")</f>
        <v>Declining</v>
      </c>
    </row>
    <row r="6" spans="1:8" ht="15" customHeight="1" x14ac:dyDescent="0.25">
      <c r="A6" s="23" t="s">
        <v>445</v>
      </c>
      <c r="B6" s="23" t="s">
        <v>446</v>
      </c>
      <c r="C6" s="85">
        <f>C4+C5</f>
        <v>50000</v>
      </c>
      <c r="D6" s="85">
        <f>D4+D5</f>
        <v>45500</v>
      </c>
      <c r="E6" s="85">
        <f>E4+E5</f>
        <v>55640</v>
      </c>
      <c r="F6" s="85">
        <f>C6+D6+E6</f>
        <v>151140</v>
      </c>
      <c r="G6" s="85">
        <f>ROUND(F6/3,0)</f>
        <v>50380</v>
      </c>
      <c r="H6" s="23" t="str">
        <f>IF(E6&gt;D6,"Improving","Declining")</f>
        <v>Improving</v>
      </c>
    </row>
    <row r="7" spans="1:8" ht="15" customHeight="1" x14ac:dyDescent="0.25">
      <c r="A7" s="36" t="s">
        <v>447</v>
      </c>
      <c r="B7" s="36" t="s">
        <v>448</v>
      </c>
      <c r="C7" s="37">
        <v>500</v>
      </c>
      <c r="D7" s="37">
        <v>400</v>
      </c>
      <c r="E7" s="37">
        <v>600</v>
      </c>
      <c r="F7" s="37">
        <f>C7+D7+E7</f>
        <v>1500</v>
      </c>
      <c r="G7" s="37">
        <f>ROUND(F7/3,0)</f>
        <v>500</v>
      </c>
      <c r="H7" s="36" t="str">
        <f>IF(E7&gt;D7,"Improving","Declining")</f>
        <v>Improving</v>
      </c>
    </row>
    <row r="8" spans="1:8" ht="15" customHeight="1" x14ac:dyDescent="0.25">
      <c r="A8" s="23" t="s">
        <v>449</v>
      </c>
      <c r="B8" s="23"/>
      <c r="C8" s="85">
        <f>C6+C7</f>
        <v>50500</v>
      </c>
      <c r="D8" s="85">
        <f>D6+D7</f>
        <v>45900</v>
      </c>
      <c r="E8" s="85">
        <f>E6+E7</f>
        <v>56240</v>
      </c>
      <c r="F8" s="85">
        <f>C8+D8+E8</f>
        <v>152640</v>
      </c>
      <c r="G8" s="85">
        <f>ROUND(F8/3,0)</f>
        <v>50880</v>
      </c>
      <c r="H8" s="23" t="str">
        <f>IF(E8&gt;D8,"Improving","Declining")</f>
        <v>Improving</v>
      </c>
    </row>
    <row r="10" spans="1:8" ht="21.75" customHeight="1" x14ac:dyDescent="0.25">
      <c r="A10" s="3" t="s">
        <v>450</v>
      </c>
      <c r="B10" s="3"/>
      <c r="C10" s="3"/>
      <c r="D10" s="3"/>
      <c r="E10" s="3"/>
      <c r="F10" s="3"/>
      <c r="G10" s="3"/>
      <c r="H10" s="3"/>
    </row>
    <row r="11" spans="1:8" ht="21.75" customHeight="1" x14ac:dyDescent="0.25">
      <c r="A11" s="73" t="s">
        <v>451</v>
      </c>
      <c r="B11" s="73" t="s">
        <v>50</v>
      </c>
      <c r="C11" s="73" t="s">
        <v>435</v>
      </c>
      <c r="D11" s="73" t="s">
        <v>436</v>
      </c>
      <c r="E11" s="73" t="s">
        <v>437</v>
      </c>
      <c r="F11" s="73" t="s">
        <v>438</v>
      </c>
      <c r="G11" s="73" t="s">
        <v>439</v>
      </c>
      <c r="H11" s="73" t="s">
        <v>452</v>
      </c>
    </row>
    <row r="12" spans="1:8" ht="23.25" customHeight="1" x14ac:dyDescent="0.25">
      <c r="A12" s="40" t="s">
        <v>453</v>
      </c>
      <c r="B12" s="40" t="s">
        <v>454</v>
      </c>
      <c r="C12" s="41">
        <v>28000</v>
      </c>
      <c r="D12" s="41">
        <v>26000</v>
      </c>
      <c r="E12" s="41">
        <v>30000</v>
      </c>
      <c r="F12" s="41">
        <f t="shared" ref="F12:F22" si="0">C12+D12+E12</f>
        <v>84000</v>
      </c>
      <c r="G12" s="41">
        <f t="shared" ref="G12:G22" si="1">ROUND(F12/3,0)</f>
        <v>28000</v>
      </c>
      <c r="H12" s="62">
        <f t="shared" ref="H12:H22" si="2">IFERROR(ROUND(F12/F$8*100,1),0)</f>
        <v>55</v>
      </c>
    </row>
    <row r="13" spans="1:8" ht="15" customHeight="1" x14ac:dyDescent="0.25">
      <c r="A13" s="36" t="s">
        <v>455</v>
      </c>
      <c r="B13" s="36" t="s">
        <v>456</v>
      </c>
      <c r="C13" s="37">
        <v>18000</v>
      </c>
      <c r="D13" s="37">
        <v>18000</v>
      </c>
      <c r="E13" s="37">
        <v>18000</v>
      </c>
      <c r="F13" s="37">
        <f t="shared" si="0"/>
        <v>54000</v>
      </c>
      <c r="G13" s="37">
        <f t="shared" si="1"/>
        <v>18000</v>
      </c>
      <c r="H13" s="59">
        <f t="shared" si="2"/>
        <v>35.4</v>
      </c>
    </row>
    <row r="14" spans="1:8" ht="15" customHeight="1" x14ac:dyDescent="0.25">
      <c r="A14" s="40" t="s">
        <v>58</v>
      </c>
      <c r="B14" s="40" t="s">
        <v>457</v>
      </c>
      <c r="C14" s="41">
        <v>8000</v>
      </c>
      <c r="D14" s="41">
        <v>8000</v>
      </c>
      <c r="E14" s="41">
        <v>8000</v>
      </c>
      <c r="F14" s="41">
        <f t="shared" si="0"/>
        <v>24000</v>
      </c>
      <c r="G14" s="41">
        <f t="shared" si="1"/>
        <v>8000</v>
      </c>
      <c r="H14" s="62">
        <f t="shared" si="2"/>
        <v>15.7</v>
      </c>
    </row>
    <row r="15" spans="1:8" ht="15" customHeight="1" x14ac:dyDescent="0.25">
      <c r="A15" s="36" t="s">
        <v>458</v>
      </c>
      <c r="B15" s="36" t="s">
        <v>459</v>
      </c>
      <c r="C15" s="37">
        <v>1800</v>
      </c>
      <c r="D15" s="37">
        <v>2100</v>
      </c>
      <c r="E15" s="37">
        <v>1900</v>
      </c>
      <c r="F15" s="37">
        <f t="shared" si="0"/>
        <v>5800</v>
      </c>
      <c r="G15" s="37">
        <f t="shared" si="1"/>
        <v>1933</v>
      </c>
      <c r="H15" s="59">
        <f t="shared" si="2"/>
        <v>3.8</v>
      </c>
    </row>
    <row r="16" spans="1:8" ht="15" customHeight="1" x14ac:dyDescent="0.25">
      <c r="A16" s="40" t="s">
        <v>68</v>
      </c>
      <c r="B16" s="40" t="s">
        <v>460</v>
      </c>
      <c r="C16" s="41">
        <v>1200</v>
      </c>
      <c r="D16" s="41">
        <v>900</v>
      </c>
      <c r="E16" s="41">
        <v>1400</v>
      </c>
      <c r="F16" s="41">
        <f t="shared" si="0"/>
        <v>3500</v>
      </c>
      <c r="G16" s="41">
        <f t="shared" si="1"/>
        <v>1167</v>
      </c>
      <c r="H16" s="62">
        <f t="shared" si="2"/>
        <v>2.2999999999999998</v>
      </c>
    </row>
    <row r="17" spans="1:8" ht="15" customHeight="1" x14ac:dyDescent="0.25">
      <c r="A17" s="36" t="s">
        <v>461</v>
      </c>
      <c r="B17" s="36" t="s">
        <v>462</v>
      </c>
      <c r="C17" s="37">
        <v>2000</v>
      </c>
      <c r="D17" s="37">
        <v>3000</v>
      </c>
      <c r="E17" s="37">
        <v>2500</v>
      </c>
      <c r="F17" s="37">
        <f t="shared" si="0"/>
        <v>7500</v>
      </c>
      <c r="G17" s="37">
        <f t="shared" si="1"/>
        <v>2500</v>
      </c>
      <c r="H17" s="59">
        <f t="shared" si="2"/>
        <v>4.9000000000000004</v>
      </c>
    </row>
    <row r="18" spans="1:8" ht="15" customHeight="1" x14ac:dyDescent="0.25">
      <c r="A18" s="40" t="s">
        <v>463</v>
      </c>
      <c r="B18" s="40" t="s">
        <v>464</v>
      </c>
      <c r="C18" s="41">
        <v>600</v>
      </c>
      <c r="D18" s="41">
        <v>550</v>
      </c>
      <c r="E18" s="41">
        <v>700</v>
      </c>
      <c r="F18" s="41">
        <f t="shared" si="0"/>
        <v>1850</v>
      </c>
      <c r="G18" s="41">
        <f t="shared" si="1"/>
        <v>617</v>
      </c>
      <c r="H18" s="62">
        <f t="shared" si="2"/>
        <v>1.2</v>
      </c>
    </row>
    <row r="19" spans="1:8" ht="15" customHeight="1" x14ac:dyDescent="0.25">
      <c r="A19" s="36" t="s">
        <v>465</v>
      </c>
      <c r="B19" s="36" t="s">
        <v>466</v>
      </c>
      <c r="C19" s="37">
        <v>0</v>
      </c>
      <c r="D19" s="37">
        <v>1500</v>
      </c>
      <c r="E19" s="37">
        <v>0</v>
      </c>
      <c r="F19" s="37">
        <f t="shared" si="0"/>
        <v>1500</v>
      </c>
      <c r="G19" s="37">
        <f t="shared" si="1"/>
        <v>500</v>
      </c>
      <c r="H19" s="59">
        <f t="shared" si="2"/>
        <v>1</v>
      </c>
    </row>
    <row r="20" spans="1:8" ht="15" customHeight="1" x14ac:dyDescent="0.25">
      <c r="A20" s="40" t="s">
        <v>467</v>
      </c>
      <c r="B20" s="40" t="s">
        <v>468</v>
      </c>
      <c r="C20" s="41">
        <v>800</v>
      </c>
      <c r="D20" s="41">
        <v>650</v>
      </c>
      <c r="E20" s="41">
        <v>900</v>
      </c>
      <c r="F20" s="41">
        <f t="shared" si="0"/>
        <v>2350</v>
      </c>
      <c r="G20" s="41">
        <f t="shared" si="1"/>
        <v>783</v>
      </c>
      <c r="H20" s="62">
        <f t="shared" si="2"/>
        <v>1.5</v>
      </c>
    </row>
    <row r="21" spans="1:8" ht="15" customHeight="1" x14ac:dyDescent="0.25">
      <c r="A21" s="36" t="s">
        <v>469</v>
      </c>
      <c r="B21" s="36" t="s">
        <v>470</v>
      </c>
      <c r="C21" s="37">
        <v>1250</v>
      </c>
      <c r="D21" s="37">
        <v>1250</v>
      </c>
      <c r="E21" s="37">
        <v>1250</v>
      </c>
      <c r="F21" s="37">
        <f t="shared" si="0"/>
        <v>3750</v>
      </c>
      <c r="G21" s="37">
        <f t="shared" si="1"/>
        <v>1250</v>
      </c>
      <c r="H21" s="59">
        <f t="shared" si="2"/>
        <v>2.5</v>
      </c>
    </row>
    <row r="22" spans="1:8" ht="15" customHeight="1" x14ac:dyDescent="0.25">
      <c r="A22" s="32" t="s">
        <v>471</v>
      </c>
      <c r="B22" s="32"/>
      <c r="C22" s="86">
        <f>SUM(C12:C21)</f>
        <v>61650</v>
      </c>
      <c r="D22" s="86">
        <f>SUM(D12:D21)</f>
        <v>61950</v>
      </c>
      <c r="E22" s="86">
        <f>SUM(E12:E21)</f>
        <v>64650</v>
      </c>
      <c r="F22" s="86">
        <f t="shared" si="0"/>
        <v>188250</v>
      </c>
      <c r="G22" s="86">
        <f t="shared" si="1"/>
        <v>62750</v>
      </c>
      <c r="H22" s="87">
        <f t="shared" si="2"/>
        <v>123.3</v>
      </c>
    </row>
    <row r="24" spans="1:8" ht="21.75" customHeight="1" x14ac:dyDescent="0.25">
      <c r="A24" s="12" t="s">
        <v>472</v>
      </c>
      <c r="B24" s="12"/>
      <c r="C24" s="12"/>
      <c r="D24" s="12"/>
      <c r="E24" s="12"/>
      <c r="F24" s="12"/>
      <c r="G24" s="12"/>
      <c r="H24" s="12"/>
    </row>
    <row r="25" spans="1:8" ht="21.75" customHeight="1" x14ac:dyDescent="0.25">
      <c r="A25" s="43"/>
      <c r="B25" s="43"/>
      <c r="C25" s="43" t="s">
        <v>435</v>
      </c>
      <c r="D25" s="43" t="s">
        <v>436</v>
      </c>
      <c r="E25" s="43" t="s">
        <v>437</v>
      </c>
      <c r="F25" s="43" t="s">
        <v>438</v>
      </c>
      <c r="G25" s="43" t="s">
        <v>439</v>
      </c>
      <c r="H25" s="43" t="s">
        <v>440</v>
      </c>
    </row>
    <row r="26" spans="1:8" ht="15" customHeight="1" x14ac:dyDescent="0.25">
      <c r="A26" s="88" t="s">
        <v>473</v>
      </c>
      <c r="B26" s="89" t="s">
        <v>474</v>
      </c>
      <c r="C26" s="90">
        <f>C8-C22</f>
        <v>-11150</v>
      </c>
      <c r="D26" s="90">
        <f>D8-D22</f>
        <v>-16050</v>
      </c>
      <c r="E26" s="90">
        <f>E8-E22</f>
        <v>-8410</v>
      </c>
      <c r="F26" s="90">
        <f>F8-F22</f>
        <v>-35610</v>
      </c>
      <c r="G26" s="91">
        <f>ROUND(F26/3,0)</f>
        <v>-11870</v>
      </c>
      <c r="H26" s="92" t="str">
        <f>IF(E26&gt;D26,"Improving","Declining")</f>
        <v>Improving</v>
      </c>
    </row>
    <row r="27" spans="1:8" ht="15" customHeight="1" x14ac:dyDescent="0.25">
      <c r="A27" s="93" t="s">
        <v>56</v>
      </c>
      <c r="B27" s="93"/>
      <c r="C27" s="93" t="str">
        <f>IF(C26&gt;0,"Profit","Loss")</f>
        <v>Loss</v>
      </c>
      <c r="D27" s="93" t="str">
        <f>IF(D26&gt;0,"Profit","Loss")</f>
        <v>Loss</v>
      </c>
      <c r="E27" s="93" t="str">
        <f>IF(E26&gt;0,"Profit","Loss")</f>
        <v>Loss</v>
      </c>
      <c r="F27" s="93" t="str">
        <f>IF(F26&gt;0,"Profit","Loss")</f>
        <v>Loss</v>
      </c>
      <c r="G27" s="93"/>
      <c r="H27" s="93"/>
    </row>
  </sheetData>
  <mergeCells count="4">
    <mergeCell ref="A1:H1"/>
    <mergeCell ref="A2:H2"/>
    <mergeCell ref="A10:H10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1-Expense Tracker</vt:lpstr>
      <vt:lpstr>2-Fee Collection</vt:lpstr>
      <vt:lpstr>3-Price List</vt:lpstr>
      <vt:lpstr>4-Attendance</vt:lpstr>
      <vt:lpstr>5-Order Tracker</vt:lpstr>
      <vt:lpstr>6-Commission</vt:lpstr>
      <vt:lpstr>7-Rent Tracker</vt:lpstr>
      <vt:lpstr>8-Project Tracker</vt:lpstr>
      <vt:lpstr>9-Medical Inventory</vt:lpstr>
      <vt:lpstr>10-Monthly PandL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Batch3</cp:lastModifiedBy>
  <cp:revision>0</cp:revision>
  <dcterms:created xsi:type="dcterms:W3CDTF">2026-05-26T06:44:19Z</dcterms:created>
  <dcterms:modified xsi:type="dcterms:W3CDTF">2026-05-26T07:39:40Z</dcterms:modified>
  <dc:language>en-US</dc:language>
</cp:coreProperties>
</file>